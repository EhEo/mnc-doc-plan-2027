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 windowWidth="20730" windowHeight="11700"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[5]Sheet7!$A$19:$A$20</definedName>
    <definedName name="Co">#REF!</definedName>
    <definedName name="code">#REF!</definedName>
    <definedName name="CODENO">'[7]BOM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[9]!it</definedName>
    <definedName name="j356C8">#REF!</definedName>
    <definedName name="jan">#REF!</definedName>
    <definedName name="kcong">#REF!</definedName>
    <definedName name="KKE_Sheet10_List">#REF!</definedName>
    <definedName name="lll">[9]!lll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[9]!NORM</definedName>
    <definedName name="PRINT_AREA_MI">#REF!</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[10]Notes!$B$4:$B$13</definedName>
    <definedName name="q">#REF!</definedName>
    <definedName name="qqqq">#REF!</definedName>
    <definedName name="qty">#REF!</definedName>
    <definedName name="Question_Scores">'[11]Data Summary - Do Not Use'!$E$10:$E$12</definedName>
    <definedName name="scao98">#REF!</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[1]Sheet1!#REF!</definedName>
    <definedName name="sssss">[9]!sssss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[12]Sheet1!$A$1:$A$5</definedName>
    <definedName name="table2">[12]Sheet1!$B$1:$B$4</definedName>
    <definedName name="TaxTV">10%</definedName>
    <definedName name="TaxXL">5%</definedName>
    <definedName name="Tchuan">#REF!</definedName>
    <definedName name="TEST1">[1]Sheet1!#REF!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'[13]BOM LIST 정리'!#REF!</definedName>
    <definedName name="VARIINST">#REF!</definedName>
    <definedName name="VARIPURC">#REF!</definedName>
    <definedName name="vd">#REF!</definedName>
    <definedName name="VER">[5]Sheet7!$A$23:$A$24</definedName>
    <definedName name="W">#REF!</definedName>
    <definedName name="WOST">[9]!WOST</definedName>
    <definedName name="x">#REF!</definedName>
    <definedName name="XB_80">#REF!</definedName>
    <definedName name="xh">#REF!</definedName>
    <definedName name="xn">#REF!</definedName>
    <definedName name="Y">'[13]BOM LIST 정리'!#REF!</definedName>
    <definedName name="ZYX">#REF!</definedName>
    <definedName name="ZZZ">#REF!</definedName>
    <definedName name="경통1">[9]!경통1</definedName>
    <definedName name="경통2">[9]!경통2</definedName>
    <definedName name="ㄴ">#REF!</definedName>
    <definedName name="ㄴㄴ">[9]!ㄴㄴ</definedName>
    <definedName name="대표자">[16]기본데이타!$C$6</definedName>
    <definedName name="동화">[1]Sheet1!#REF!</definedName>
    <definedName name="ㅁ">[1]Sheet1!#REF!</definedName>
    <definedName name="ㅁ1">'[17]매출이익(실적)'!#REF!</definedName>
    <definedName name="ㅁ109">#REF!</definedName>
    <definedName name="ㅁㅁㅁ">[1]Sheet1!#REF!</definedName>
    <definedName name="ㅁㅂ">[1]Sheet1!#REF!</definedName>
    <definedName name="면허번호">[16]기본데이타!$C$9</definedName>
    <definedName name="몰려">#REF!</definedName>
    <definedName name="ㅂㅈ">[1]Sheet1!#REF!</definedName>
    <definedName name="부적합유형">#REF!</definedName>
    <definedName name="생산계획">'[19]1월월보'!#REF!</definedName>
    <definedName name="서일">[7]기준정보!$A$4:$B$20</definedName>
    <definedName name="서일ITEM구분">'[7]BOM LIST 정리'!$D$7:$G$146</definedName>
    <definedName name="ㅇ">[1]Sheet1!#REF!</definedName>
    <definedName name="업체현황">'[21]#REF'!#REF!</definedName>
    <definedName name="우리그">[1]Sheet1!#REF!</definedName>
    <definedName name="원가절감전체">[23]O_970122!#REF!</definedName>
    <definedName name="임시L">'[7]BOM LIST 정리'!$C$248</definedName>
    <definedName name="임시NO">#REF!</definedName>
    <definedName name="입고단가">'[13]입고단가 LIST'!$B$6:$L$610</definedName>
    <definedName name="제조하">'[25]제조 경영'!#REF!</definedName>
    <definedName name="종합현황">[27]사기정계!#REF!</definedName>
    <definedName name="주소">[16]기본데이타!$C$8</definedName>
    <definedName name="진단일">[16]기본데이타!$C$12</definedName>
    <definedName name="항목별">'[19]1월월보'!#REF!</definedName>
    <definedName name="화인더">[27]사기정계!#REF!</definedName>
    <definedName name="회사명">[16]기본데이타!$C$5</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sss" localSheetId="1">[1]Sheet1!#REF!</definedName>
    <definedName name="TEST1" localSheetId="1">[1]Sheet1!#REF!</definedName>
    <definedName name="U" localSheetId="1">'[13]BOM LIST 정리'!#REF!</definedName>
    <definedName name="Y" localSheetId="1">'[13]BOM LIST 정리'!#REF!</definedName>
    <definedName name="ㄴ" localSheetId="1">#REF!</definedName>
    <definedName name="동화" localSheetId="1">[1]Sheet1!#REF!</definedName>
    <definedName name="ㅁ" localSheetId="1">[1]Sheet1!#REF!</definedName>
    <definedName name="ㅁ1" localSheetId="1">'[17]매출이익(실적)'!#REF!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'[19]1월월보'!#REF!</definedName>
    <definedName name="ㅇ" localSheetId="1">[1]Sheet1!#REF!</definedName>
    <definedName name="업체현황" localSheetId="1">'[21]#REF'!#REF!</definedName>
    <definedName name="우리그" localSheetId="1">[1]Sheet1!#REF!</definedName>
    <definedName name="원가절감전체" localSheetId="1">[23]O_970122!#REF!</definedName>
    <definedName name="임시NO" localSheetId="1">#REF!</definedName>
    <definedName name="제조하" localSheetId="1">'[25]제조 경영'!#REF!</definedName>
    <definedName name="종합현황" localSheetId="1">[27]사기정계!#REF!</definedName>
    <definedName name="항목별" localSheetId="1">'[19]1월월보'!#REF!</definedName>
    <definedName name="화인더" localSheetId="1">[27]사기정계!#REF!</definedName>
    <definedName name="_xlnm.Print_Area" localSheetId="1">'Result Report'!$B$1:$S$27</definedName>
    <definedName name="_DAT1" localSheetId="2">[2]Sheet1!#REF!</definedName>
    <definedName name="_DAT13" localSheetId="2">[2]Sheet1!#REF!</definedName>
    <definedName name="_DAT16" localSheetId="2">[2]Sheet1!#REF!</definedName>
    <definedName name="_DAT17" localSheetId="2">[2]Sheet1!#REF!</definedName>
    <definedName name="_DAT18" localSheetId="2">[2]Sheet1!#REF!</definedName>
    <definedName name="_DAT19" localSheetId="2">[2]Sheet1!#REF!</definedName>
    <definedName name="_DAT20" localSheetId="2">[2]Sheet1!#REF!</definedName>
    <definedName name="_DAT3" localSheetId="2">[2]Sheet1!#REF!</definedName>
    <definedName name="_DAT9" localSheetId="2">[2]Sheet1!#REF!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CODENO" localSheetId="2">'[6]BOM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[8]!it</definedName>
    <definedName name="jan" localSheetId="2">#REF!</definedName>
    <definedName name="lll" localSheetId="2">[8]!lll</definedName>
    <definedName name="MRP" localSheetId="2">#REF!</definedName>
    <definedName name="NORM" localSheetId="2">[8]!NORM</definedName>
    <definedName name="qqqq" localSheetId="2">#REF!</definedName>
    <definedName name="sss" localSheetId="2">[2]Sheet1!#REF!</definedName>
    <definedName name="sssss" localSheetId="2">[8]!sssss</definedName>
    <definedName name="TEST1" localSheetId="2">[2]Sheet1!#REF!</definedName>
    <definedName name="U" localSheetId="2">'[14]BOM LIST 정리'!#REF!</definedName>
    <definedName name="WOST" localSheetId="2">[8]!WOST</definedName>
    <definedName name="Y" localSheetId="2">'[14]BOM LIST 정리'!#REF!</definedName>
    <definedName name="경통1" localSheetId="2">[8]!경통1</definedName>
    <definedName name="경통2" localSheetId="2">[8]!경통2</definedName>
    <definedName name="ㄴ" localSheetId="2">#REF!</definedName>
    <definedName name="ㄴㄴ" localSheetId="2">[8]!ㄴㄴ</definedName>
    <definedName name="대표자" localSheetId="2">[15]기본데이타!$C$6</definedName>
    <definedName name="동화" localSheetId="2">[2]Sheet1!#REF!</definedName>
    <definedName name="ㅁ" localSheetId="2">[2]Sheet1!#REF!</definedName>
    <definedName name="ㅁ1" localSheetId="2">'[18]매출이익(실적)'!#REF!</definedName>
    <definedName name="ㅁ109" localSheetId="2">#REF!</definedName>
    <definedName name="ㅁㅁㅁ" localSheetId="2">[2]Sheet1!#REF!</definedName>
    <definedName name="ㅁㅂ" localSheetId="2">[2]Sheet1!#REF!</definedName>
    <definedName name="면허번호" localSheetId="2">[15]기본데이타!$C$9</definedName>
    <definedName name="몰려" localSheetId="2">#REF!</definedName>
    <definedName name="ㅂㅈ" localSheetId="2">[2]Sheet1!#REF!</definedName>
    <definedName name="생산계획" localSheetId="2">'[20]1월월보'!#REF!</definedName>
    <definedName name="서일" localSheetId="2">[6]기준정보!$A$4:$B$20</definedName>
    <definedName name="서일ITEM구분" localSheetId="2">'[6]BOM LIST 정리'!$D$7:$G$146</definedName>
    <definedName name="ㅇ" localSheetId="2">[2]Sheet1!#REF!</definedName>
    <definedName name="업체현황" localSheetId="2">'[22]#REF'!#REF!</definedName>
    <definedName name="우리그" localSheetId="2">[2]Sheet1!#REF!</definedName>
    <definedName name="원가절감전체" localSheetId="2">[24]O_970122!#REF!</definedName>
    <definedName name="임시L" localSheetId="2">'[6]BOM LIST 정리'!$C$248</definedName>
    <definedName name="임시NO" localSheetId="2">#REF!</definedName>
    <definedName name="입고단가" localSheetId="2">'[14]입고단가 LIST'!$B$6:$L$610</definedName>
    <definedName name="제조하" localSheetId="2">'[26]제조 경영'!#REF!</definedName>
    <definedName name="종합현황" localSheetId="2">[28]사기정계!#REF!</definedName>
    <definedName name="주소" localSheetId="2">[15]기본데이타!$C$8</definedName>
    <definedName name="진단일" localSheetId="2">[15]기본데이타!$C$12</definedName>
    <definedName name="항목별" localSheetId="2">'[20]1월월보'!#REF!</definedName>
    <definedName name="화인더" localSheetId="2">[28]사기정계!#REF!</definedName>
    <definedName name="회사명" localSheetId="2">[15]기본데이타!$C$5</definedName>
    <definedName name="_xlnm.Print_Area" localSheetId="2">'Non-Conforming Item'!$A$1:$O$39</definedName>
    <definedName name="_DAT1" localSheetId="3">[1]Sheet1!#REF!</definedName>
    <definedName name="_DAT13" localSheetId="3">[1]Sheet1!#REF!</definedName>
    <definedName name="_DAT16" localSheetId="3">[1]Sheet1!#REF!</definedName>
    <definedName name="_DAT17" localSheetId="3">[1]Sheet1!#REF!</definedName>
    <definedName name="_DAT18" localSheetId="3">[1]Sheet1!#REF!</definedName>
    <definedName name="_DAT19" localSheetId="3">[1]Sheet1!#REF!</definedName>
    <definedName name="_DAT20" localSheetId="3">[1]Sheet1!#REF!</definedName>
    <definedName name="_DAT3" localSheetId="3">[1]Sheet1!#REF!</definedName>
    <definedName name="_DAT9" localSheetId="3">[1]Sheet1!#REF!</definedName>
    <definedName name="Assessment_Types" localSheetId="3">#REF!</definedName>
    <definedName name="Calqty" localSheetId="3">#REF!</definedName>
    <definedName name="code" localSheetId="3">#REF!</definedName>
    <definedName name="CONTRACT" localSheetId="3">#REF!</definedName>
    <definedName name="_xlnm.Database" localSheetId="3">#REF!</definedName>
    <definedName name="jan" localSheetId="3">#REF!</definedName>
    <definedName name="MRP" localSheetId="3">#REF!</definedName>
    <definedName name="qqqq" localSheetId="3">#REF!</definedName>
    <definedName name="qty" localSheetId="3">#REF!</definedName>
    <definedName name="sss" localSheetId="3">[1]Sheet1!#REF!</definedName>
    <definedName name="TEST1" localSheetId="3">[1]Sheet1!#REF!</definedName>
    <definedName name="U" localSheetId="3">'[13]BOM LIST 정리'!#REF!</definedName>
    <definedName name="Y" localSheetId="3">'[13]BOM LIST 정리'!#REF!</definedName>
    <definedName name="ㄴ" localSheetId="3">#REF!</definedName>
    <definedName name="동화" localSheetId="3">[1]Sheet1!#REF!</definedName>
    <definedName name="ㅁ" localSheetId="3">[1]Sheet1!#REF!</definedName>
    <definedName name="ㅁ1" localSheetId="3">'[17]매출이익(실적)'!#REF!</definedName>
    <definedName name="ㅁ109" localSheetId="3">#REF!</definedName>
    <definedName name="ㅁㅁㅁ" localSheetId="3">[1]Sheet1!#REF!</definedName>
    <definedName name="ㅁㅂ" localSheetId="3">[1]Sheet1!#REF!</definedName>
    <definedName name="몰려" localSheetId="3">#REF!</definedName>
    <definedName name="ㅂㅈ" localSheetId="3">[1]Sheet1!#REF!</definedName>
    <definedName name="생산계획" localSheetId="3">'[19]1월월보'!#REF!</definedName>
    <definedName name="ㅇ" localSheetId="3">[1]Sheet1!#REF!</definedName>
    <definedName name="업체현황" localSheetId="3">'[21]#REF'!#REF!</definedName>
    <definedName name="우리그" localSheetId="3">[1]Sheet1!#REF!</definedName>
    <definedName name="원가절감전체" localSheetId="3">[23]O_970122!#REF!</definedName>
    <definedName name="임시NO" localSheetId="3">#REF!</definedName>
    <definedName name="제조하" localSheetId="3">'[25]제조 경영'!#REF!</definedName>
    <definedName name="종합현황" localSheetId="3">[27]사기정계!#REF!</definedName>
    <definedName name="항목별" localSheetId="3">'[19]1월월보'!#REF!</definedName>
    <definedName name="화인더" localSheetId="3">[27]사기정계!#REF!</definedName>
    <definedName name="_xlnm.Print_Area" localSheetId="3">'Checksheet'!$A$1:$H$82</definedName>
  </definedNames>
  <calcPr calcId="162913" fullCalcOnLoad="1"/>
</workbook>
</file>

<file path=xl/styles.xml><?xml version="1.0" encoding="utf-8"?>
<styleSheet xmlns="http://schemas.openxmlformats.org/spreadsheetml/2006/main">
  <numFmts count="74">
    <numFmt numFmtId="164" formatCode="[$-409]d&quot;-&quot;mmm&quot;-&quot;yy;@"/>
    <numFmt numFmtId="165" formatCode="0_);[Red]\(0\)"/>
    <numFmt numFmtId="166" formatCode="#,##0.0_ "/>
    <numFmt numFmtId="167" formatCode="0_ "/>
    <numFmt numFmtId="168" formatCode="0.00_ "/>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0_ "/>
    <numFmt numFmtId="222" formatCode="_-* #,##0_-;&quot;₩&quot;&quot;₩&quot;&quot;₩&quot;&quot;₩&quot;&quot;₩&quot;&quot;₩&quot;\-* #,##0_-;_-* &quot;-&quot;??_-;_-@_-"/>
    <numFmt numFmtId="223" formatCode="_-* #,##0_-;&quot;₩&quot;\-* #,##0_-;_-* &quot;-&quot;_-;_-@_-"/>
    <numFmt numFmtId="224" formatCode="_-* #,##0_-;&quot;₩&quot;&quot;₩&quot;&quot;₩&quot;&quot;₩&quot;\-* #,##0_-;_-* &quot;-&quot;_-;_-@_-"/>
    <numFmt numFmtId="225" formatCode="_-&quot;₩&quot;* #,##0_-;\-&quot;₩&quot;* #,##0_-;_-&quot;₩&quot;* &quot;-&quot;_-;_-@_-"/>
    <numFmt numFmtId="226" formatCode="&quot;S&quot;\ #,##0.00;[Red]\-&quot;S&quot;\ #,##0.00"/>
    <numFmt numFmtId="227" formatCode="&quot;₩&quot;#,##0;&quot;₩&quot;\-#,##0"/>
    <numFmt numFmtId="228" formatCode="&quot;£&quot;#,##0.00;[Red]\-&quot;£&quot;#,##0.00"/>
    <numFmt numFmtId="229" formatCode="&quot;£&quot;#,##0;[Red]\-&quot;£&quot;#,##0"/>
    <numFmt numFmtId="230" formatCode="_-* #,##0.0\ _F_-;\-* #,##0.0\ _F_-;_-* &quot;-&quot;??\ _F_-;_-@_-"/>
    <numFmt numFmtId="231" formatCode="_(&quot;$&quot;* #,##0_);_(&quot;$&quot;* \(#,##0\);_(&quot;$&quot;* &quot;-&quot;??_);_(@_)"/>
    <numFmt numFmtId="232" formatCode="_(&quot;$&quot;* #,##0.0_);_(&quot;$&quot;* \(#,##0.0\);_(&quot;$&quot;* &quot;-&quot;??_);_(@_)"/>
    <numFmt numFmtId="233" formatCode="&quot;¥&quot;#,##0;&quot;¥&quot;\-#,##0"/>
    <numFmt numFmtId="234" formatCode="00.000"/>
    <numFmt numFmtId="235" formatCode="_-&quot;$&quot;* #,##0_-;\-&quot;$&quot;* #,##0_-;_-&quot;$&quot;* &quot;-&quot;_-;_-@_-"/>
    <numFmt numFmtId="236" formatCode="&quot;$&quot;#,##0;[Red]\-&quot;$&quot;#,##0"/>
    <numFmt numFmtId="237" formatCode="_-&quot;$&quot;* #,##0.00_-;\-&quot;$&quot;* #,##0.00_-;_-&quot;$&quot;* &quot;-&quot;??_-;_-@_-"/>
  </numFmts>
  <fonts count="314">
    <font>
      <name val="Calibri"/>
      <family val="2"/>
      <color theme="1"/>
      <sz val="11"/>
      <scheme val="minor"/>
    </font>
    <font>
      <name val="Arial"/>
      <family val="2"/>
      <sz val="10"/>
    </font>
    <font>
      <name val="Arial"/>
      <family val="2"/>
      <b val="1"/>
      <sz val="12"/>
    </font>
    <font>
      <name val="Arial"/>
      <family val="2"/>
      <sz val="12"/>
    </font>
    <font>
      <name val="Calibri"/>
      <family val="2"/>
      <color theme="1"/>
      <sz val="11"/>
      <scheme val="minor"/>
    </font>
    <font>
      <name val="바탕체"/>
      <charset val="129"/>
      <family val="1"/>
      <sz val="10"/>
    </font>
    <font>
      <name val="돋움"/>
      <charset val="129"/>
      <family val="3"/>
      <sz val="11"/>
    </font>
    <font>
      <name val="宋体"/>
      <charset val="129"/>
      <family val="3"/>
      <sz val="12"/>
    </font>
    <font>
      <name val="바탕체"/>
      <charset val="129"/>
      <family val="1"/>
      <sz val="12"/>
    </font>
    <font>
      <name val="바탕체"/>
      <charset val="129"/>
      <family val="1"/>
      <i val="1"/>
      <sz val="12"/>
    </font>
    <font>
      <name val="¹????¼"/>
      <charset val="129"/>
      <family val="1"/>
      <sz val="12"/>
    </font>
    <font>
      <name val="±¼¸²?¼"/>
      <charset val="129"/>
      <family val="3"/>
      <sz val="9"/>
    </font>
    <font>
      <name val="宋?"/>
      <charset val="129"/>
      <family val="3"/>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libri Light"/>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libri Light"/>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돋움"/>
      <charset val="129"/>
      <family val="3"/>
      <color indexed="12"/>
      <sz val="7.7"/>
      <u val="single"/>
    </font>
    <font>
      <name val="Courier"/>
      <family val="3"/>
      <sz val="12"/>
    </font>
    <font>
      <name val="명조"/>
      <charset val="129"/>
      <family val="3"/>
      <sz val="10"/>
    </font>
    <font>
      <name val="官帕眉"/>
      <charset val="129"/>
      <family val="1"/>
      <sz val="12"/>
    </font>
    <font>
      <name val="ＭＳ Ｐゴシック"/>
      <charset val="128"/>
      <family val="2"/>
      <sz val="11"/>
    </font>
    <font>
      <name val="奔覆眉"/>
      <charset val="129"/>
      <family val="3"/>
      <sz val="11"/>
    </font>
    <font>
      <name val="ＭＳ Ｐゴシック"/>
      <family val="2"/>
      <color indexed="36"/>
      <sz val="8.25"/>
      <u val="single"/>
    </font>
    <font>
      <name val="ＭＳ Ｐゴシック"/>
      <family val="2"/>
      <sz val="11"/>
    </font>
    <font>
      <name val="Times New Roman"/>
      <family val="1"/>
      <b val="1"/>
      <sz val="12"/>
    </font>
    <font>
      <name val="Times New Roman"/>
      <family val="1"/>
      <b val="1"/>
      <color rgb="FF0000FF"/>
      <sz val="12"/>
    </font>
    <font>
      <name val="Times New Roman"/>
      <family val="1"/>
      <color rgb="FF0000FF"/>
      <sz val="12"/>
    </font>
    <font>
      <name val="Times New Roman"/>
      <family val="1"/>
      <color theme="1"/>
      <sz val="12"/>
    </font>
    <font>
      <name val="Times New Roman"/>
      <family val="1"/>
      <color rgb="FF00B050"/>
      <sz val="12"/>
    </font>
    <font>
      <name val="Times New Roman"/>
      <family val="1"/>
      <b val="1"/>
      <color theme="1"/>
      <sz val="12"/>
    </font>
    <font>
      <name val="Times New Roman"/>
      <family val="1"/>
      <b val="1"/>
      <color rgb="FF333333"/>
      <sz val="12"/>
    </font>
    <font>
      <name val="Times New Roman"/>
      <family val="1"/>
      <sz val="14"/>
    </font>
    <font>
      <name val="Times New Roman"/>
      <family val="1"/>
      <color theme="1"/>
      <sz val="14"/>
    </font>
    <font>
      <name val="Times New Roman"/>
      <family val="1"/>
      <sz val="20"/>
    </font>
    <font>
      <name val="Times New Roman"/>
      <family val="1"/>
      <sz val="18"/>
    </font>
    <font>
      <name val="Times New Roman"/>
      <family val="1"/>
      <sz val="16"/>
    </font>
    <font>
      <name val="Times New Roman"/>
      <family val="1"/>
      <b val="1"/>
      <sz val="36"/>
    </font>
    <font>
      <name val="Times New Roman"/>
      <family val="1"/>
      <color rgb="FF0000FF"/>
      <sz val="16"/>
    </font>
    <font>
      <name val="Wingdings"/>
      <charset val="2"/>
      <sz val="16"/>
    </font>
    <font>
      <name val="Times New Roman"/>
      <family val="1"/>
      <sz val="9.6"/>
    </font>
    <font>
      <name val="Times New Roman"/>
      <family val="1"/>
      <sz val="7.2"/>
    </font>
    <font>
      <name val="Times New Roman"/>
      <family val="1"/>
      <i val="1"/>
      <color theme="1"/>
      <sz val="12"/>
    </font>
    <font>
      <name val="Times New Roman"/>
      <family val="1"/>
      <color rgb="FFFF0000"/>
      <sz val="12"/>
    </font>
    <font>
      <name val="Times New Roman"/>
      <family val="1"/>
      <color rgb="FF333333"/>
      <sz val="12"/>
    </font>
    <font>
      <name val="Calibri"/>
      <family val="2"/>
      <color theme="10"/>
      <sz val="11"/>
      <u val="single"/>
      <scheme val="minor"/>
    </font>
    <font>
      <name val=".VnTime"/>
      <family val="2"/>
      <sz val="10"/>
    </font>
    <font>
      <name val="??"/>
      <family val="3"/>
      <sz val="14"/>
    </font>
    <font>
      <name val="????"/>
      <charset val="136"/>
      <family val="1"/>
      <sz val="12"/>
    </font>
    <font>
      <name val="???"/>
      <family val="3"/>
      <sz val="12"/>
    </font>
    <font>
      <name val="???"/>
      <family val="3"/>
      <sz val="10"/>
    </font>
    <font>
      <name val="¹UAAA¼"/>
      <charset val="255"/>
      <family val="3"/>
      <sz val="12"/>
    </font>
    <font>
      <name val=" "/>
      <charset val="136"/>
      <family val="1"/>
      <sz val="10"/>
    </font>
    <font>
      <name val="바탕체"/>
      <family val="3"/>
      <sz val="12"/>
    </font>
    <font>
      <name val="돋움"/>
      <family val="2"/>
      <sz val="11"/>
    </font>
    <font>
      <name val="굴림체"/>
      <family val="3"/>
      <sz val="10"/>
    </font>
    <font>
      <name val="Arial"/>
      <family val="2"/>
      <sz val="9"/>
    </font>
    <font>
      <name val="明朝"/>
      <charset val="128"/>
      <family val="1"/>
      <sz val="11"/>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Calibri Light"/>
      <charset val="129"/>
      <family val="3"/>
      <b val="1"/>
      <sz val="18"/>
      <scheme val="major"/>
    </font>
    <font>
      <name val="Calibri Light"/>
      <charset val="129"/>
      <family val="3"/>
      <sz val="10"/>
      <scheme val="major"/>
    </font>
    <font>
      <name val="Calibri Light"/>
      <charset val="129"/>
      <family val="3"/>
      <b val="1"/>
      <sz val="14"/>
      <scheme val="major"/>
    </font>
    <font>
      <name val="Calibri Light"/>
      <charset val="129"/>
      <family val="3"/>
      <b val="1"/>
      <sz val="10"/>
      <scheme val="major"/>
    </font>
    <font>
      <name val="Calibri Light"/>
      <charset val="129"/>
      <family val="3"/>
      <sz val="12"/>
      <scheme val="major"/>
    </font>
    <font>
      <name val="Calibri Light"/>
      <charset val="129"/>
      <family val="3"/>
      <b val="1"/>
      <sz val="12"/>
      <scheme val="major"/>
    </font>
    <font>
      <name val="Calibri Light"/>
      <charset val="129"/>
      <family val="3"/>
      <b val="1"/>
      <color indexed="12"/>
      <sz val="12"/>
      <scheme val="major"/>
    </font>
    <font>
      <name val="Calibri Light"/>
      <charset val="129"/>
      <family val="3"/>
      <b val="1"/>
      <color theme="9"/>
      <sz val="12"/>
      <scheme val="major"/>
    </font>
    <font>
      <name val="Calibri Light"/>
      <charset val="129"/>
      <family val="3"/>
      <b val="1"/>
      <sz val="8"/>
      <scheme val="major"/>
    </font>
    <font>
      <name val="Calibri Light"/>
      <charset val="129"/>
      <family val="3"/>
      <sz val="11"/>
      <scheme val="major"/>
    </font>
    <font>
      <name val="Calibri Light"/>
      <charset val="129"/>
      <family val="3"/>
      <b val="1"/>
      <sz val="10.5"/>
      <scheme val="major"/>
    </font>
    <font>
      <name val="Calibri Light"/>
      <charset val="129"/>
      <family val="3"/>
      <b val="1"/>
      <sz val="11"/>
      <scheme val="major"/>
    </font>
    <font>
      <name val="Calibri Light"/>
      <charset val="129"/>
      <family val="3"/>
      <b val="1"/>
      <color theme="1"/>
      <sz val="11"/>
      <scheme val="major"/>
    </font>
    <font>
      <name val="Calibri Light"/>
      <charset val="129"/>
      <family val="3"/>
      <b val="1"/>
      <color theme="1"/>
      <sz val="8"/>
      <scheme val="major"/>
    </font>
    <font>
      <name val="Calibri Light"/>
      <charset val="129"/>
      <family val="3"/>
      <b val="1"/>
      <color theme="1"/>
      <sz val="9"/>
      <scheme val="major"/>
    </font>
    <font>
      <name val="Calibri Light"/>
      <charset val="129"/>
      <family val="3"/>
      <b val="1"/>
      <color indexed="12"/>
      <sz val="11"/>
      <scheme val="major"/>
    </font>
    <font>
      <name val="Calibri Light"/>
      <charset val="129"/>
      <family val="3"/>
      <color indexed="12"/>
      <sz val="10.5"/>
      <scheme val="major"/>
    </font>
    <font>
      <name val="Calibri Light"/>
      <charset val="129"/>
      <family val="3"/>
      <b val="1"/>
      <color theme="1"/>
      <sz val="10.5"/>
      <scheme val="major"/>
    </font>
    <font>
      <name val="Calibri Light"/>
      <family val="1"/>
      <b val="1"/>
      <sz val="8"/>
      <scheme val="major"/>
    </font>
    <font>
      <name val="Calibri Light"/>
      <family val="1"/>
      <b val="1"/>
      <sz val="10.5"/>
      <scheme val="major"/>
    </font>
    <font>
      <name val="Calibri Light"/>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indexed="8"/>
      <sz val="10"/>
      <scheme val="minor"/>
    </font>
  </fonts>
  <fills count="109">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3999755851924192"/>
        <bgColor indexed="64"/>
      </patternFill>
    </fill>
  </fills>
  <borders count="14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top style="medium">
        <color theme="1" tint="0.499984740745262"/>
      </top>
      <bottom/>
      <diagonal/>
    </border>
    <border>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right/>
      <top style="thin">
        <color theme="1" tint="0.499984740745262"/>
      </top>
      <bottom/>
      <diagonal/>
    </border>
    <border>
      <left style="thin">
        <color theme="1" tint="0.499984740745262"/>
      </left>
      <right/>
      <top style="thin">
        <color theme="1" tint="0.499984740745262"/>
      </top>
      <bottom style="double">
        <color theme="1" tint="0.499984740745262"/>
      </bottom>
      <diagonal/>
    </border>
    <border>
      <left style="thin">
        <color theme="1" tint="0.499984740745262"/>
      </left>
      <right style="medium">
        <color theme="1" tint="0.499984740745262"/>
      </right>
      <top/>
      <bottom style="double">
        <color theme="1" tint="0.499984740745262"/>
      </bottom>
      <diagonal/>
    </border>
    <border>
      <left style="medium">
        <color theme="1" tint="0.499984740745262"/>
      </left>
      <right/>
      <top style="hair">
        <color theme="1" tint="0.499984740745262"/>
      </top>
      <bottom style="hair">
        <color theme="1" tint="0.499984740745262"/>
      </bottom>
      <diagonal/>
    </border>
    <border>
      <left style="thin">
        <color theme="1" tint="0.499984740745262"/>
      </left>
      <right style="thin">
        <color theme="1" tint="0.499984740745262"/>
      </right>
      <top/>
      <bottom style="hair">
        <color theme="1" tint="0.499984740745262"/>
      </bottom>
      <diagonal/>
    </border>
    <border>
      <left/>
      <right style="thin">
        <color theme="1" tint="0.499984740745262"/>
      </right>
      <top/>
      <bottom style="hair">
        <color theme="1" tint="0.499984740745262"/>
      </bottom>
      <diagonal/>
    </border>
    <border>
      <left/>
      <right/>
      <top/>
      <bottom style="hair">
        <color theme="1" tint="0.499984740745262"/>
      </bottom>
      <diagonal/>
    </border>
    <border>
      <left style="thin">
        <color theme="1" tint="0.499984740745262"/>
      </left>
      <right/>
      <top/>
      <bottom style="hair">
        <color theme="1" tint="0.499984740745262"/>
      </bottom>
      <diagonal/>
    </border>
    <border>
      <left/>
      <right style="medium">
        <color theme="1" tint="0.499984740745262"/>
      </right>
      <top/>
      <bottom style="hair">
        <color theme="1" tint="0.499984740745262"/>
      </bottom>
      <diagonal/>
    </border>
    <border>
      <left style="medium">
        <color theme="1" tint="0.499984740745262"/>
      </left>
      <right/>
      <top style="hair">
        <color theme="1" tint="0.499984740745262"/>
      </top>
      <bottom/>
      <diagonal/>
    </border>
    <border>
      <left style="thin">
        <color theme="1" tint="0.499984740745262"/>
      </left>
      <right style="thin">
        <color theme="1" tint="0.499984740745262"/>
      </right>
      <top style="hair">
        <color theme="1" tint="0.499984740745262"/>
      </top>
      <bottom/>
      <diagonal/>
    </border>
    <border>
      <left/>
      <right style="thin">
        <color theme="1" tint="0.499984740745262"/>
      </right>
      <top style="hair">
        <color theme="1" tint="0.499984740745262"/>
      </top>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right style="medium">
        <color theme="1" tint="0.499984740745262"/>
      </right>
      <top style="hair">
        <color theme="1" tint="0.499984740745262"/>
      </top>
      <bottom/>
      <diagonal/>
    </border>
    <border>
      <left style="medium">
        <color theme="1" tint="0.499984740745262"/>
      </left>
      <right/>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right style="thin">
        <color theme="1" tint="0.499984740745262"/>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style="medium">
        <color theme="1" tint="0.499984740745262"/>
      </right>
      <top style="hair">
        <color theme="1" tint="0.499984740745262"/>
      </top>
      <bottom style="hair">
        <color theme="1" tint="0.499984740745262"/>
      </bottom>
      <diagonal/>
    </border>
    <border>
      <left style="medium">
        <color theme="1" tint="0.499984740745262"/>
      </left>
      <right/>
      <top style="hair">
        <color theme="1" tint="0.499984740745262"/>
      </top>
      <bottom style="medium">
        <color theme="1" tint="0.499984740745262"/>
      </bottom>
      <diagonal/>
    </border>
    <border>
      <left style="thin">
        <color theme="1" tint="0.499984740745262"/>
      </left>
      <right style="thin">
        <color theme="1" tint="0.499984740745262"/>
      </right>
      <top style="hair">
        <color theme="1" tint="0.499984740745262"/>
      </top>
      <bottom style="medium">
        <color theme="1" tint="0.499984740745262"/>
      </bottom>
      <diagonal/>
    </border>
    <border>
      <left/>
      <right style="thin">
        <color theme="1" tint="0.499984740745262"/>
      </right>
      <top style="hair">
        <color theme="1" tint="0.499984740745262"/>
      </top>
      <bottom style="medium">
        <color theme="1" tint="0.499984740745262"/>
      </bottom>
      <diagonal/>
    </border>
    <border>
      <left/>
      <right/>
      <top style="hair">
        <color theme="1" tint="0.499984740745262"/>
      </top>
      <bottom style="medium">
        <color theme="1" tint="0.499984740745262"/>
      </bottom>
      <diagonal/>
    </border>
    <border>
      <left style="thin">
        <color theme="1" tint="0.499984740745262"/>
      </left>
      <right/>
      <top style="hair">
        <color theme="1" tint="0.499984740745262"/>
      </top>
      <bottom style="medium">
        <color theme="1" tint="0.499984740745262"/>
      </bottom>
      <diagonal/>
    </border>
    <border>
      <left/>
      <right style="medium">
        <color theme="1" tint="0.499984740745262"/>
      </right>
      <top style="hair">
        <color theme="1" tint="0.499984740745262"/>
      </top>
      <bottom style="medium">
        <color theme="1" tint="0.499984740745262"/>
      </bottom>
      <diagonal/>
    </border>
    <border>
      <left style="medium">
        <color indexed="64"/>
      </left>
      <right style="medium">
        <color indexed="64"/>
      </right>
      <top/>
      <bottom/>
      <diagonal/>
    </border>
    <border>
      <left/>
      <right style="thin">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style="thin">
        <color theme="1" tint="0.499984740745262"/>
      </left>
      <right style="medium">
        <color theme="1" tint="0.499984740745262"/>
      </right>
      <top style="medium">
        <color theme="1" tint="0.499984740745262"/>
      </top>
      <bottom style="double">
        <color theme="1" tint="0.499984740745262"/>
      </bottom>
      <diagonal/>
    </border>
    <border>
      <left style="thin">
        <color theme="1" tint="0.499984740745262"/>
      </left>
      <right style="medium">
        <color theme="1" tint="0.499984740745262"/>
      </right>
      <top/>
      <bottom/>
      <diagonal/>
    </border>
    <border>
      <left style="medium">
        <color theme="1" tint="0.499984740745262"/>
      </left>
      <right style="thin">
        <color theme="1" tint="0.499984740745262"/>
      </right>
      <top style="medium">
        <color theme="1" tint="0.499984740745262"/>
      </top>
      <bottom style="double">
        <color theme="1" tint="0.499984740745262"/>
      </bottom>
      <diagonal/>
    </border>
    <border>
      <left style="medium">
        <color theme="1" tint="0.499984740745262"/>
      </left>
      <right/>
      <top/>
      <bottom/>
      <diagonal/>
    </border>
    <border>
      <left style="medium">
        <color theme="1" tint="0.499984740745262"/>
      </left>
      <right style="thin">
        <color theme="1" tint="0.499984740745262"/>
      </right>
      <top/>
      <bottom/>
      <diagonal/>
    </border>
    <border>
      <left style="thin">
        <color theme="1" tint="0.499984740745262"/>
      </left>
      <right style="thin">
        <color theme="1" tint="0.499984740745262"/>
      </right>
      <top style="medium">
        <color theme="1" tint="0.499984740745262"/>
      </top>
      <bottom style="double">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s>
  <cellStyleXfs count="51081">
    <xf numFmtId="0" fontId="4" fillId="0" borderId="0"/>
    <xf numFmtId="0" fontId="6" fillId="0" borderId="0" applyAlignment="1">
      <alignment vertical="center"/>
    </xf>
    <xf numFmtId="0" fontId="7" fillId="0" borderId="0"/>
    <xf numFmtId="169" fontId="6" fillId="0" borderId="0" applyAlignment="1">
      <alignment vertical="center"/>
    </xf>
    <xf numFmtId="170" fontId="3" fillId="0" borderId="0"/>
    <xf numFmtId="170" fontId="8" fillId="0" borderId="0"/>
    <xf numFmtId="0" fontId="8" fillId="0" borderId="0"/>
    <xf numFmtId="171" fontId="6" fillId="0" borderId="0"/>
    <xf numFmtId="0" fontId="1" fillId="0" borderId="0"/>
    <xf numFmtId="170" fontId="3" fillId="0" borderId="0"/>
    <xf numFmtId="170" fontId="3" fillId="0" borderId="0"/>
    <xf numFmtId="170" fontId="3" fillId="0" borderId="0"/>
    <xf numFmtId="0" fontId="8" fillId="0" borderId="0"/>
    <xf numFmtId="0" fontId="8" fillId="0" borderId="0"/>
    <xf numFmtId="0" fontId="8" fillId="0" borderId="0"/>
    <xf numFmtId="0" fontId="8" fillId="0" borderId="0"/>
    <xf numFmtId="170" fontId="9" fillId="0" borderId="0"/>
    <xf numFmtId="170" fontId="10" fillId="0" borderId="0"/>
    <xf numFmtId="170" fontId="3" fillId="0" borderId="0"/>
    <xf numFmtId="170" fontId="3" fillId="0" borderId="0"/>
    <xf numFmtId="170" fontId="3" fillId="0" borderId="0"/>
    <xf numFmtId="170" fontId="10" fillId="0" borderId="0"/>
    <xf numFmtId="170" fontId="11" fillId="0" borderId="0"/>
    <xf numFmtId="172" fontId="12" fillId="0" borderId="0"/>
    <xf numFmtId="0" fontId="13" fillId="0" borderId="0" applyAlignment="1" applyProtection="1">
      <alignment vertical="top"/>
      <protection locked="0" hidden="0"/>
    </xf>
    <xf numFmtId="170" fontId="1" fillId="0" borderId="0"/>
    <xf numFmtId="0" fontId="1" fillId="0" borderId="0"/>
    <xf numFmtId="170" fontId="10" fillId="0" borderId="0"/>
    <xf numFmtId="170" fontId="10" fillId="0" borderId="0"/>
    <xf numFmtId="0" fontId="1" fillId="0" borderId="0"/>
    <xf numFmtId="10" fontId="14" fillId="0" borderId="0"/>
    <xf numFmtId="170" fontId="14" fillId="0" borderId="0"/>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0" fontId="6" fillId="0" borderId="18" applyAlignment="1">
      <alignment vertical="center"/>
    </xf>
    <xf numFmtId="0"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4" fontId="15" fillId="0" borderId="18" applyAlignment="1">
      <alignment vertical="center"/>
    </xf>
    <xf numFmtId="170" fontId="8" fillId="0" borderId="18" applyAlignment="1">
      <alignment vertical="center"/>
    </xf>
    <xf numFmtId="175" fontId="8"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0" fontId="1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170" fontId="1" fillId="0" borderId="0"/>
    <xf numFmtId="0" fontId="1" fillId="0" borderId="0"/>
    <xf numFmtId="170" fontId="6" fillId="0" borderId="0"/>
    <xf numFmtId="0" fontId="6" fillId="0" borderId="0"/>
    <xf numFmtId="178" fontId="8" fillId="0" borderId="0"/>
    <xf numFmtId="170" fontId="1" fillId="0" borderId="0"/>
    <xf numFmtId="179" fontId="6" fillId="0" borderId="0"/>
    <xf numFmtId="180" fontId="6" fillId="0" borderId="0"/>
    <xf numFmtId="181" fontId="6" fillId="0" borderId="0"/>
    <xf numFmtId="182" fontId="6" fillId="0" borderId="0"/>
    <xf numFmtId="183" fontId="6" fillId="0" borderId="0"/>
    <xf numFmtId="170" fontId="8" fillId="0" borderId="0"/>
    <xf numFmtId="170" fontId="8" fillId="0" borderId="0"/>
    <xf numFmtId="170" fontId="1" fillId="0" borderId="0"/>
    <xf numFmtId="0" fontId="1" fillId="0" borderId="0"/>
    <xf numFmtId="170" fontId="6" fillId="0" borderId="0"/>
    <xf numFmtId="0" fontId="6" fillId="0" borderId="0"/>
    <xf numFmtId="170" fontId="1" fillId="0" borderId="0"/>
    <xf numFmtId="0" fontId="1" fillId="0" borderId="0"/>
    <xf numFmtId="170" fontId="16" fillId="0" borderId="0"/>
    <xf numFmtId="0" fontId="16" fillId="0" borderId="0"/>
    <xf numFmtId="170" fontId="8" fillId="0" borderId="0"/>
    <xf numFmtId="170" fontId="1" fillId="0" borderId="0"/>
    <xf numFmtId="170" fontId="1" fillId="0" borderId="0"/>
    <xf numFmtId="170" fontId="1" fillId="0" borderId="0"/>
    <xf numFmtId="0" fontId="1" fillId="0" borderId="0"/>
    <xf numFmtId="0" fontId="17" fillId="0" borderId="0"/>
    <xf numFmtId="170" fontId="8" fillId="0" borderId="0"/>
    <xf numFmtId="170" fontId="8" fillId="0" borderId="0"/>
    <xf numFmtId="170" fontId="8" fillId="0" borderId="0"/>
    <xf numFmtId="170" fontId="1" fillId="0" borderId="0"/>
    <xf numFmtId="170" fontId="1" fillId="0" borderId="0"/>
    <xf numFmtId="170" fontId="16" fillId="0" borderId="0"/>
    <xf numFmtId="0" fontId="16"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0" fontId="8" fillId="0" borderId="0"/>
    <xf numFmtId="170" fontId="8" fillId="0" borderId="0"/>
    <xf numFmtId="0" fontId="8" fillId="0" borderId="0"/>
    <xf numFmtId="170" fontId="8" fillId="0" borderId="0"/>
    <xf numFmtId="0" fontId="8" fillId="0" borderId="0"/>
    <xf numFmtId="170" fontId="1" fillId="0" borderId="0"/>
    <xf numFmtId="170" fontId="1" fillId="0" borderId="0"/>
    <xf numFmtId="170" fontId="1" fillId="0" borderId="0"/>
    <xf numFmtId="170" fontId="1" fillId="0" borderId="0"/>
    <xf numFmtId="170" fontId="6" fillId="0" borderId="0"/>
    <xf numFmtId="0" fontId="6" fillId="0" borderId="0"/>
    <xf numFmtId="170" fontId="8" fillId="0" borderId="0"/>
    <xf numFmtId="184" fontId="15" fillId="0" borderId="0"/>
    <xf numFmtId="185" fontId="1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7" fontId="18"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170" fontId="1" fillId="0" borderId="0"/>
    <xf numFmtId="0" fontId="1" fillId="0" borderId="0"/>
    <xf numFmtId="170" fontId="1" fillId="0" borderId="0"/>
    <xf numFmtId="170" fontId="1" fillId="0" borderId="0"/>
    <xf numFmtId="0" fontId="17" fillId="0" borderId="0"/>
    <xf numFmtId="170" fontId="8" fillId="0" borderId="0"/>
    <xf numFmtId="170" fontId="8" fillId="0" borderId="0"/>
    <xf numFmtId="0" fontId="19" fillId="0" borderId="0" applyAlignment="1" applyProtection="1">
      <alignment vertical="top"/>
      <protection locked="0" hidden="0"/>
    </xf>
    <xf numFmtId="0" fontId="1" fillId="0" borderId="0"/>
    <xf numFmtId="0" fontId="1" fillId="0" borderId="0"/>
    <xf numFmtId="10" fontId="20" fillId="0" borderId="0"/>
    <xf numFmtId="170" fontId="21" fillId="0" borderId="0"/>
    <xf numFmtId="10" fontId="22" fillId="0" borderId="0"/>
    <xf numFmtId="170" fontId="23" fillId="0" borderId="0"/>
    <xf numFmtId="170" fontId="24" fillId="0" borderId="0"/>
    <xf numFmtId="170" fontId="1" fillId="0" borderId="0"/>
    <xf numFmtId="0" fontId="1" fillId="0" borderId="0"/>
    <xf numFmtId="49" fontId="25" fillId="0" borderId="18" applyAlignment="1">
      <alignment vertical="center"/>
    </xf>
    <xf numFmtId="170" fontId="26" fillId="0" borderId="19" applyAlignment="1">
      <alignment horizontal="center" vertical="center"/>
    </xf>
    <xf numFmtId="170" fontId="26" fillId="0" borderId="19" applyAlignment="1">
      <alignment horizontal="center" vertical="center"/>
    </xf>
    <xf numFmtId="49" fontId="25" fillId="0" borderId="18" applyAlignment="1">
      <alignment vertical="center"/>
    </xf>
    <xf numFmtId="49" fontId="25" fillId="0" borderId="18" applyAlignment="1">
      <alignment vertical="center"/>
    </xf>
    <xf numFmtId="49" fontId="25" fillId="0" borderId="18" applyAlignment="1">
      <alignment vertical="center"/>
    </xf>
    <xf numFmtId="170" fontId="27" fillId="0" borderId="20"/>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9" fontId="29" fillId="0" borderId="0"/>
    <xf numFmtId="10" fontId="30" fillId="0" borderId="0"/>
    <xf numFmtId="0" fontId="31" fillId="35" borderId="0" applyAlignment="1">
      <alignment vertical="center"/>
    </xf>
    <xf numFmtId="0" fontId="32" fillId="35" borderId="0" applyAlignment="1">
      <alignment vertical="center"/>
    </xf>
    <xf numFmtId="0" fontId="33" fillId="35" borderId="0" applyAlignment="1">
      <alignment vertical="center"/>
    </xf>
    <xf numFmtId="0" fontId="31" fillId="35" borderId="0" applyAlignment="1">
      <alignment vertical="center"/>
    </xf>
    <xf numFmtId="0" fontId="32" fillId="35" borderId="0" applyAlignment="1">
      <alignment vertical="center"/>
    </xf>
    <xf numFmtId="0" fontId="34" fillId="36" borderId="0" applyAlignment="1">
      <alignment vertical="center"/>
    </xf>
    <xf numFmtId="0" fontId="31" fillId="37" borderId="0" applyAlignment="1">
      <alignment vertical="center"/>
    </xf>
    <xf numFmtId="0" fontId="32" fillId="37" borderId="0" applyAlignment="1">
      <alignment vertical="center"/>
    </xf>
    <xf numFmtId="0" fontId="33" fillId="37" borderId="0" applyAlignment="1">
      <alignment vertical="center"/>
    </xf>
    <xf numFmtId="0" fontId="31" fillId="37" borderId="0" applyAlignment="1">
      <alignment vertical="center"/>
    </xf>
    <xf numFmtId="0" fontId="32" fillId="37" borderId="0" applyAlignment="1">
      <alignment vertical="center"/>
    </xf>
    <xf numFmtId="0" fontId="34" fillId="38" borderId="0" applyAlignment="1">
      <alignment vertical="center"/>
    </xf>
    <xf numFmtId="0" fontId="31" fillId="39" borderId="0" applyAlignment="1">
      <alignment vertical="center"/>
    </xf>
    <xf numFmtId="0" fontId="32" fillId="39" borderId="0" applyAlignment="1">
      <alignment vertical="center"/>
    </xf>
    <xf numFmtId="0" fontId="33" fillId="39" borderId="0" applyAlignment="1">
      <alignment vertical="center"/>
    </xf>
    <xf numFmtId="0" fontId="31" fillId="39" borderId="0" applyAlignment="1">
      <alignment vertical="center"/>
    </xf>
    <xf numFmtId="0" fontId="32" fillId="39" borderId="0" applyAlignment="1">
      <alignment vertical="center"/>
    </xf>
    <xf numFmtId="0" fontId="34" fillId="40"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3" borderId="0" applyAlignment="1">
      <alignment vertical="center"/>
    </xf>
    <xf numFmtId="0" fontId="32" fillId="43" borderId="0" applyAlignment="1">
      <alignment vertical="center"/>
    </xf>
    <xf numFmtId="0" fontId="33" fillId="43" borderId="0" applyAlignment="1">
      <alignment vertical="center"/>
    </xf>
    <xf numFmtId="0" fontId="31" fillId="43" borderId="0" applyAlignment="1">
      <alignment vertical="center"/>
    </xf>
    <xf numFmtId="0" fontId="32" fillId="43" borderId="0" applyAlignment="1">
      <alignment vertical="center"/>
    </xf>
    <xf numFmtId="0" fontId="34" fillId="44" borderId="0" applyAlignment="1">
      <alignment vertical="center"/>
    </xf>
    <xf numFmtId="0" fontId="31" fillId="45" borderId="0" applyAlignment="1">
      <alignment vertical="center"/>
    </xf>
    <xf numFmtId="0" fontId="32" fillId="45" borderId="0" applyAlignment="1">
      <alignment vertical="center"/>
    </xf>
    <xf numFmtId="0" fontId="33" fillId="45" borderId="0" applyAlignment="1">
      <alignment vertical="center"/>
    </xf>
    <xf numFmtId="0" fontId="31" fillId="45" borderId="0" applyAlignment="1">
      <alignment vertical="center"/>
    </xf>
    <xf numFmtId="0" fontId="32" fillId="45" borderId="0" applyAlignment="1">
      <alignment vertical="center"/>
    </xf>
    <xf numFmtId="0" fontId="34" fillId="46"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170" fontId="35" fillId="11" borderId="0" applyAlignment="1">
      <alignment vertical="center"/>
    </xf>
    <xf numFmtId="170" fontId="35" fillId="11" borderId="0" applyAlignment="1">
      <alignment vertical="center"/>
    </xf>
    <xf numFmtId="0" fontId="35" fillId="11" borderId="0" applyAlignment="1">
      <alignment vertical="center"/>
    </xf>
    <xf numFmtId="0" fontId="35" fillId="11" borderId="0" applyAlignment="1">
      <alignment vertical="center"/>
    </xf>
    <xf numFmtId="170" fontId="35" fillId="11" borderId="0" applyAlignment="1">
      <alignment vertical="center"/>
    </xf>
    <xf numFmtId="170" fontId="35" fillId="11" borderId="0" applyAlignment="1">
      <alignment vertical="center"/>
    </xf>
    <xf numFmtId="0" fontId="35" fillId="11" borderId="0" applyAlignment="1">
      <alignment vertical="center"/>
    </xf>
    <xf numFmtId="0" fontId="35" fillId="11" borderId="0" applyAlignment="1">
      <alignment vertical="center"/>
    </xf>
    <xf numFmtId="170" fontId="35" fillId="11" borderId="0" applyAlignment="1">
      <alignment vertical="center"/>
    </xf>
    <xf numFmtId="0" fontId="35" fillId="11" borderId="0" applyAlignment="1">
      <alignment vertical="center"/>
    </xf>
    <xf numFmtId="170" fontId="31" fillId="47" borderId="0" applyAlignment="1">
      <alignment vertical="center"/>
    </xf>
    <xf numFmtId="0" fontId="37"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1"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170" fontId="35" fillId="15" borderId="0" applyAlignment="1">
      <alignment vertical="center"/>
    </xf>
    <xf numFmtId="170" fontId="35" fillId="15" borderId="0" applyAlignment="1">
      <alignment vertical="center"/>
    </xf>
    <xf numFmtId="0" fontId="35" fillId="15" borderId="0" applyAlignment="1">
      <alignment vertical="center"/>
    </xf>
    <xf numFmtId="0" fontId="35" fillId="15" borderId="0" applyAlignment="1">
      <alignment vertical="center"/>
    </xf>
    <xf numFmtId="170" fontId="35" fillId="15" borderId="0" applyAlignment="1">
      <alignment vertical="center"/>
    </xf>
    <xf numFmtId="170" fontId="35" fillId="15" borderId="0" applyAlignment="1">
      <alignment vertical="center"/>
    </xf>
    <xf numFmtId="0" fontId="35" fillId="15" borderId="0" applyAlignment="1">
      <alignment vertical="center"/>
    </xf>
    <xf numFmtId="0" fontId="35" fillId="15" borderId="0" applyAlignment="1">
      <alignment vertical="center"/>
    </xf>
    <xf numFmtId="170" fontId="35" fillId="15" borderId="0" applyAlignment="1">
      <alignment vertical="center"/>
    </xf>
    <xf numFmtId="0" fontId="35" fillId="15" borderId="0" applyAlignment="1">
      <alignment vertical="center"/>
    </xf>
    <xf numFmtId="170" fontId="31" fillId="48" borderId="0" applyAlignment="1">
      <alignment vertical="center"/>
    </xf>
    <xf numFmtId="0" fontId="37"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1"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170" fontId="35" fillId="19" borderId="0" applyAlignment="1">
      <alignment vertical="center"/>
    </xf>
    <xf numFmtId="170" fontId="35" fillId="19" borderId="0" applyAlignment="1">
      <alignment vertical="center"/>
    </xf>
    <xf numFmtId="0" fontId="35" fillId="19" borderId="0" applyAlignment="1">
      <alignment vertical="center"/>
    </xf>
    <xf numFmtId="0" fontId="35" fillId="19" borderId="0" applyAlignment="1">
      <alignment vertical="center"/>
    </xf>
    <xf numFmtId="170" fontId="35" fillId="19" borderId="0" applyAlignment="1">
      <alignment vertical="center"/>
    </xf>
    <xf numFmtId="170" fontId="35" fillId="19" borderId="0" applyAlignment="1">
      <alignment vertical="center"/>
    </xf>
    <xf numFmtId="0" fontId="35" fillId="19" borderId="0" applyAlignment="1">
      <alignment vertical="center"/>
    </xf>
    <xf numFmtId="0" fontId="35" fillId="19" borderId="0" applyAlignment="1">
      <alignment vertical="center"/>
    </xf>
    <xf numFmtId="170" fontId="35" fillId="19" borderId="0" applyAlignment="1">
      <alignment vertical="center"/>
    </xf>
    <xf numFmtId="0" fontId="35" fillId="19" borderId="0" applyAlignment="1">
      <alignment vertical="center"/>
    </xf>
    <xf numFmtId="170" fontId="31" fillId="49" borderId="0" applyAlignment="1">
      <alignment vertical="center"/>
    </xf>
    <xf numFmtId="0" fontId="37"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1"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170" fontId="35" fillId="23" borderId="0" applyAlignment="1">
      <alignment vertical="center"/>
    </xf>
    <xf numFmtId="170" fontId="35" fillId="23" borderId="0" applyAlignment="1">
      <alignment vertical="center"/>
    </xf>
    <xf numFmtId="0" fontId="35" fillId="23" borderId="0" applyAlignment="1">
      <alignment vertical="center"/>
    </xf>
    <xf numFmtId="0" fontId="35" fillId="23" borderId="0" applyAlignment="1">
      <alignment vertical="center"/>
    </xf>
    <xf numFmtId="170" fontId="35" fillId="23" borderId="0" applyAlignment="1">
      <alignment vertical="center"/>
    </xf>
    <xf numFmtId="170" fontId="35" fillId="23" borderId="0" applyAlignment="1">
      <alignment vertical="center"/>
    </xf>
    <xf numFmtId="0" fontId="35" fillId="23" borderId="0" applyAlignment="1">
      <alignment vertical="center"/>
    </xf>
    <xf numFmtId="0" fontId="35" fillId="23" borderId="0" applyAlignment="1">
      <alignment vertical="center"/>
    </xf>
    <xf numFmtId="170" fontId="35" fillId="23" borderId="0" applyAlignment="1">
      <alignment vertical="center"/>
    </xf>
    <xf numFmtId="0" fontId="35" fillId="23" borderId="0" applyAlignment="1">
      <alignment vertical="center"/>
    </xf>
    <xf numFmtId="170" fontId="31" fillId="45" borderId="0" applyAlignment="1">
      <alignment vertical="center"/>
    </xf>
    <xf numFmtId="0" fontId="37"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1"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170" fontId="35" fillId="27" borderId="0" applyAlignment="1">
      <alignment vertical="center"/>
    </xf>
    <xf numFmtId="170" fontId="35" fillId="27" borderId="0" applyAlignment="1">
      <alignment vertical="center"/>
    </xf>
    <xf numFmtId="0" fontId="35" fillId="27" borderId="0" applyAlignment="1">
      <alignment vertical="center"/>
    </xf>
    <xf numFmtId="0" fontId="35" fillId="27" borderId="0" applyAlignment="1">
      <alignment vertical="center"/>
    </xf>
    <xf numFmtId="170" fontId="35" fillId="27" borderId="0" applyAlignment="1">
      <alignment vertical="center"/>
    </xf>
    <xf numFmtId="170" fontId="35" fillId="27" borderId="0" applyAlignment="1">
      <alignment vertical="center"/>
    </xf>
    <xf numFmtId="0" fontId="35" fillId="27" borderId="0" applyAlignment="1">
      <alignment vertical="center"/>
    </xf>
    <xf numFmtId="0" fontId="35" fillId="27" borderId="0" applyAlignment="1">
      <alignment vertical="center"/>
    </xf>
    <xf numFmtId="170" fontId="35" fillId="27" borderId="0" applyAlignment="1">
      <alignment vertical="center"/>
    </xf>
    <xf numFmtId="0" fontId="35" fillId="27" borderId="0" applyAlignment="1">
      <alignment vertical="center"/>
    </xf>
    <xf numFmtId="170" fontId="31" fillId="43" borderId="0" applyAlignment="1">
      <alignment vertical="center"/>
    </xf>
    <xf numFmtId="0" fontId="37" fillId="43"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170" fontId="35" fillId="31" borderId="0" applyAlignment="1">
      <alignment vertical="center"/>
    </xf>
    <xf numFmtId="170" fontId="35" fillId="31" borderId="0" applyAlignment="1">
      <alignment vertical="center"/>
    </xf>
    <xf numFmtId="0" fontId="35" fillId="31" borderId="0" applyAlignment="1">
      <alignment vertical="center"/>
    </xf>
    <xf numFmtId="0" fontId="35" fillId="31" borderId="0" applyAlignment="1">
      <alignment vertical="center"/>
    </xf>
    <xf numFmtId="170" fontId="35" fillId="31" borderId="0" applyAlignment="1">
      <alignment vertical="center"/>
    </xf>
    <xf numFmtId="170" fontId="35" fillId="31" borderId="0" applyAlignment="1">
      <alignment vertical="center"/>
    </xf>
    <xf numFmtId="0" fontId="35" fillId="31" borderId="0" applyAlignment="1">
      <alignment vertical="center"/>
    </xf>
    <xf numFmtId="0" fontId="35" fillId="31" borderId="0" applyAlignment="1">
      <alignment vertical="center"/>
    </xf>
    <xf numFmtId="170" fontId="35" fillId="31" borderId="0" applyAlignment="1">
      <alignment vertical="center"/>
    </xf>
    <xf numFmtId="0" fontId="35" fillId="31" borderId="0" applyAlignment="1">
      <alignment vertical="center"/>
    </xf>
    <xf numFmtId="170" fontId="31" fillId="49" borderId="0" applyAlignment="1">
      <alignment vertical="center"/>
    </xf>
    <xf numFmtId="0" fontId="37"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1"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48" borderId="0" applyAlignment="1">
      <alignment vertical="center"/>
    </xf>
    <xf numFmtId="0" fontId="32" fillId="48" borderId="0" applyAlignment="1">
      <alignment vertical="center"/>
    </xf>
    <xf numFmtId="0" fontId="33" fillId="48" borderId="0" applyAlignment="1">
      <alignment vertical="center"/>
    </xf>
    <xf numFmtId="0" fontId="31" fillId="48" borderId="0" applyAlignment="1">
      <alignment vertical="center"/>
    </xf>
    <xf numFmtId="0" fontId="32" fillId="48" borderId="0" applyAlignment="1">
      <alignment vertical="center"/>
    </xf>
    <xf numFmtId="0" fontId="34" fillId="51" borderId="0" applyAlignment="1">
      <alignment vertical="center"/>
    </xf>
    <xf numFmtId="0" fontId="31" fillId="52" borderId="0" applyAlignment="1">
      <alignment vertical="center"/>
    </xf>
    <xf numFmtId="0" fontId="32" fillId="52" borderId="0" applyAlignment="1">
      <alignment vertical="center"/>
    </xf>
    <xf numFmtId="0" fontId="33" fillId="52" borderId="0" applyAlignment="1">
      <alignment vertical="center"/>
    </xf>
    <xf numFmtId="0" fontId="31" fillId="52" borderId="0" applyAlignment="1">
      <alignment vertical="center"/>
    </xf>
    <xf numFmtId="0" fontId="32" fillId="52" borderId="0" applyAlignment="1">
      <alignment vertical="center"/>
    </xf>
    <xf numFmtId="0" fontId="34" fillId="53"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54" borderId="0" applyAlignment="1">
      <alignment vertical="center"/>
    </xf>
    <xf numFmtId="0" fontId="32" fillId="54" borderId="0" applyAlignment="1">
      <alignment vertical="center"/>
    </xf>
    <xf numFmtId="0" fontId="33" fillId="54" borderId="0" applyAlignment="1">
      <alignment vertical="center"/>
    </xf>
    <xf numFmtId="0" fontId="31" fillId="54" borderId="0" applyAlignment="1">
      <alignment vertical="center"/>
    </xf>
    <xf numFmtId="0" fontId="32" fillId="54" borderId="0" applyAlignment="1">
      <alignment vertical="center"/>
    </xf>
    <xf numFmtId="0" fontId="34" fillId="55"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170" fontId="35" fillId="12" borderId="0" applyAlignment="1">
      <alignment vertical="center"/>
    </xf>
    <xf numFmtId="170" fontId="35" fillId="12" borderId="0" applyAlignment="1">
      <alignment vertical="center"/>
    </xf>
    <xf numFmtId="0" fontId="35" fillId="12" borderId="0" applyAlignment="1">
      <alignment vertical="center"/>
    </xf>
    <xf numFmtId="0" fontId="35" fillId="12" borderId="0" applyAlignment="1">
      <alignment vertical="center"/>
    </xf>
    <xf numFmtId="170" fontId="35" fillId="12" borderId="0" applyAlignment="1">
      <alignment vertical="center"/>
    </xf>
    <xf numFmtId="170" fontId="35" fillId="12" borderId="0" applyAlignment="1">
      <alignment vertical="center"/>
    </xf>
    <xf numFmtId="0" fontId="35" fillId="12" borderId="0" applyAlignment="1">
      <alignment vertical="center"/>
    </xf>
    <xf numFmtId="0" fontId="35" fillId="12" borderId="0" applyAlignment="1">
      <alignment vertical="center"/>
    </xf>
    <xf numFmtId="170" fontId="35" fillId="12" borderId="0" applyAlignment="1">
      <alignment vertical="center"/>
    </xf>
    <xf numFmtId="0" fontId="35" fillId="12" borderId="0" applyAlignment="1">
      <alignment vertical="center"/>
    </xf>
    <xf numFmtId="170" fontId="31" fillId="43" borderId="0" applyAlignment="1">
      <alignment vertical="center"/>
    </xf>
    <xf numFmtId="0" fontId="37"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1"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170" fontId="35" fillId="16" borderId="0" applyAlignment="1">
      <alignment vertical="center"/>
    </xf>
    <xf numFmtId="170" fontId="35" fillId="16" borderId="0" applyAlignment="1">
      <alignment vertical="center"/>
    </xf>
    <xf numFmtId="0" fontId="35" fillId="16" borderId="0" applyAlignment="1">
      <alignment vertical="center"/>
    </xf>
    <xf numFmtId="0" fontId="35" fillId="16" borderId="0" applyAlignment="1">
      <alignment vertical="center"/>
    </xf>
    <xf numFmtId="170" fontId="35" fillId="16" borderId="0" applyAlignment="1">
      <alignment vertical="center"/>
    </xf>
    <xf numFmtId="170" fontId="35" fillId="16" borderId="0" applyAlignment="1">
      <alignment vertical="center"/>
    </xf>
    <xf numFmtId="0" fontId="35" fillId="16" borderId="0" applyAlignment="1">
      <alignment vertical="center"/>
    </xf>
    <xf numFmtId="0" fontId="35" fillId="16" borderId="0" applyAlignment="1">
      <alignment vertical="center"/>
    </xf>
    <xf numFmtId="170" fontId="35" fillId="16" borderId="0" applyAlignment="1">
      <alignment vertical="center"/>
    </xf>
    <xf numFmtId="0" fontId="35" fillId="16" borderId="0" applyAlignment="1">
      <alignment vertical="center"/>
    </xf>
    <xf numFmtId="170" fontId="31" fillId="48" borderId="0" applyAlignment="1">
      <alignment vertical="center"/>
    </xf>
    <xf numFmtId="0" fontId="37" fillId="48"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170" fontId="35" fillId="20" borderId="0" applyAlignment="1">
      <alignment vertical="center"/>
    </xf>
    <xf numFmtId="170" fontId="35" fillId="20" borderId="0" applyAlignment="1">
      <alignment vertical="center"/>
    </xf>
    <xf numFmtId="0" fontId="35" fillId="20" borderId="0" applyAlignment="1">
      <alignment vertical="center"/>
    </xf>
    <xf numFmtId="0" fontId="35" fillId="20" borderId="0" applyAlignment="1">
      <alignment vertical="center"/>
    </xf>
    <xf numFmtId="170" fontId="35" fillId="20" borderId="0" applyAlignment="1">
      <alignment vertical="center"/>
    </xf>
    <xf numFmtId="170" fontId="35" fillId="20" borderId="0" applyAlignment="1">
      <alignment vertical="center"/>
    </xf>
    <xf numFmtId="0" fontId="35" fillId="20" borderId="0" applyAlignment="1">
      <alignment vertical="center"/>
    </xf>
    <xf numFmtId="0" fontId="35" fillId="20" borderId="0" applyAlignment="1">
      <alignment vertical="center"/>
    </xf>
    <xf numFmtId="170" fontId="35" fillId="20" borderId="0" applyAlignment="1">
      <alignment vertical="center"/>
    </xf>
    <xf numFmtId="0" fontId="35" fillId="20" borderId="0" applyAlignment="1">
      <alignment vertical="center"/>
    </xf>
    <xf numFmtId="170" fontId="31" fillId="56" borderId="0" applyAlignment="1">
      <alignment vertical="center"/>
    </xf>
    <xf numFmtId="0" fontId="37"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1"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170" fontId="35" fillId="24" borderId="0" applyAlignment="1">
      <alignment vertical="center"/>
    </xf>
    <xf numFmtId="170" fontId="35" fillId="24" borderId="0" applyAlignment="1">
      <alignment vertical="center"/>
    </xf>
    <xf numFmtId="0" fontId="35" fillId="24" borderId="0" applyAlignment="1">
      <alignment vertical="center"/>
    </xf>
    <xf numFmtId="0" fontId="35" fillId="24" borderId="0" applyAlignment="1">
      <alignment vertical="center"/>
    </xf>
    <xf numFmtId="170" fontId="35" fillId="24" borderId="0" applyAlignment="1">
      <alignment vertical="center"/>
    </xf>
    <xf numFmtId="170" fontId="35" fillId="24" borderId="0" applyAlignment="1">
      <alignment vertical="center"/>
    </xf>
    <xf numFmtId="0" fontId="35" fillId="24" borderId="0" applyAlignment="1">
      <alignment vertical="center"/>
    </xf>
    <xf numFmtId="0" fontId="35" fillId="24" borderId="0" applyAlignment="1">
      <alignment vertical="center"/>
    </xf>
    <xf numFmtId="170" fontId="35" fillId="24" borderId="0" applyAlignment="1">
      <alignment vertical="center"/>
    </xf>
    <xf numFmtId="0" fontId="35" fillId="24" borderId="0" applyAlignment="1">
      <alignment vertical="center"/>
    </xf>
    <xf numFmtId="170" fontId="31" fillId="37" borderId="0" applyAlignment="1">
      <alignment vertical="center"/>
    </xf>
    <xf numFmtId="0" fontId="37"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1"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170" fontId="35" fillId="28" borderId="0" applyAlignment="1">
      <alignment vertical="center"/>
    </xf>
    <xf numFmtId="170" fontId="35" fillId="28" borderId="0" applyAlignment="1">
      <alignment vertical="center"/>
    </xf>
    <xf numFmtId="0" fontId="35" fillId="28" borderId="0" applyAlignment="1">
      <alignment vertical="center"/>
    </xf>
    <xf numFmtId="0" fontId="35" fillId="28" borderId="0" applyAlignment="1">
      <alignment vertical="center"/>
    </xf>
    <xf numFmtId="170" fontId="35" fillId="28" borderId="0" applyAlignment="1">
      <alignment vertical="center"/>
    </xf>
    <xf numFmtId="170" fontId="35" fillId="28" borderId="0" applyAlignment="1">
      <alignment vertical="center"/>
    </xf>
    <xf numFmtId="0" fontId="35" fillId="28" borderId="0" applyAlignment="1">
      <alignment vertical="center"/>
    </xf>
    <xf numFmtId="0" fontId="35" fillId="28" borderId="0" applyAlignment="1">
      <alignment vertical="center"/>
    </xf>
    <xf numFmtId="170" fontId="35" fillId="28" borderId="0" applyAlignment="1">
      <alignment vertical="center"/>
    </xf>
    <xf numFmtId="0" fontId="35" fillId="28" borderId="0" applyAlignment="1">
      <alignment vertical="center"/>
    </xf>
    <xf numFmtId="170" fontId="31" fillId="43" borderId="0" applyAlignment="1">
      <alignment vertical="center"/>
    </xf>
    <xf numFmtId="0" fontId="37"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1"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170" fontId="35" fillId="32" borderId="0" applyAlignment="1">
      <alignment vertical="center"/>
    </xf>
    <xf numFmtId="170" fontId="35" fillId="32" borderId="0" applyAlignment="1">
      <alignment vertical="center"/>
    </xf>
    <xf numFmtId="0" fontId="35" fillId="32" borderId="0" applyAlignment="1">
      <alignment vertical="center"/>
    </xf>
    <xf numFmtId="0" fontId="35" fillId="32" borderId="0" applyAlignment="1">
      <alignment vertical="center"/>
    </xf>
    <xf numFmtId="170" fontId="35" fillId="32" borderId="0" applyAlignment="1">
      <alignment vertical="center"/>
    </xf>
    <xf numFmtId="170" fontId="35" fillId="32" borderId="0" applyAlignment="1">
      <alignment vertical="center"/>
    </xf>
    <xf numFmtId="0" fontId="35" fillId="32" borderId="0" applyAlignment="1">
      <alignment vertical="center"/>
    </xf>
    <xf numFmtId="0" fontId="35" fillId="32" borderId="0" applyAlignment="1">
      <alignment vertical="center"/>
    </xf>
    <xf numFmtId="170" fontId="35" fillId="32" borderId="0" applyAlignment="1">
      <alignment vertical="center"/>
    </xf>
    <xf numFmtId="0" fontId="35" fillId="32" borderId="0" applyAlignment="1">
      <alignment vertical="center"/>
    </xf>
    <xf numFmtId="170" fontId="31" fillId="49" borderId="0" applyAlignment="1">
      <alignment vertical="center"/>
    </xf>
    <xf numFmtId="0" fontId="37"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1"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6" fillId="0" borderId="0"/>
    <xf numFmtId="0" fontId="38" fillId="57" borderId="0" applyAlignment="1">
      <alignment vertical="center"/>
    </xf>
    <xf numFmtId="0" fontId="39" fillId="57" borderId="0" applyAlignment="1">
      <alignment vertical="center"/>
    </xf>
    <xf numFmtId="0" fontId="40" fillId="57" borderId="0" applyAlignment="1">
      <alignment vertical="center"/>
    </xf>
    <xf numFmtId="0" fontId="38" fillId="57" borderId="0" applyAlignment="1">
      <alignment vertical="center"/>
    </xf>
    <xf numFmtId="0" fontId="39" fillId="57" borderId="0" applyAlignment="1">
      <alignment vertical="center"/>
    </xf>
    <xf numFmtId="0" fontId="39" fillId="58" borderId="0" applyAlignment="1">
      <alignment vertical="center"/>
    </xf>
    <xf numFmtId="0" fontId="38" fillId="48" borderId="0" applyAlignment="1">
      <alignment vertical="center"/>
    </xf>
    <xf numFmtId="0" fontId="39" fillId="48" borderId="0" applyAlignment="1">
      <alignment vertical="center"/>
    </xf>
    <xf numFmtId="0" fontId="40" fillId="48" borderId="0" applyAlignment="1">
      <alignment vertical="center"/>
    </xf>
    <xf numFmtId="0" fontId="38" fillId="48" borderId="0" applyAlignment="1">
      <alignment vertical="center"/>
    </xf>
    <xf numFmtId="0" fontId="39" fillId="48" borderId="0" applyAlignment="1">
      <alignment vertical="center"/>
    </xf>
    <xf numFmtId="0" fontId="39" fillId="51" borderId="0" applyAlignment="1">
      <alignment vertical="center"/>
    </xf>
    <xf numFmtId="0" fontId="38" fillId="52" borderId="0" applyAlignment="1">
      <alignment vertical="center"/>
    </xf>
    <xf numFmtId="0" fontId="39" fillId="52" borderId="0" applyAlignment="1">
      <alignment vertical="center"/>
    </xf>
    <xf numFmtId="0" fontId="40" fillId="52" borderId="0" applyAlignment="1">
      <alignment vertical="center"/>
    </xf>
    <xf numFmtId="0" fontId="38" fillId="52" borderId="0" applyAlignment="1">
      <alignment vertical="center"/>
    </xf>
    <xf numFmtId="0" fontId="39" fillId="52" borderId="0" applyAlignment="1">
      <alignment vertical="center"/>
    </xf>
    <xf numFmtId="0" fontId="39" fillId="53" borderId="0" applyAlignment="1">
      <alignment vertical="center"/>
    </xf>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0" fontId="38" fillId="63" borderId="0" applyAlignment="1">
      <alignment vertical="center"/>
    </xf>
    <xf numFmtId="0" fontId="39" fillId="63" borderId="0" applyAlignment="1">
      <alignment vertical="center"/>
    </xf>
    <xf numFmtId="0" fontId="40" fillId="63" borderId="0" applyAlignment="1">
      <alignment vertical="center"/>
    </xf>
    <xf numFmtId="0" fontId="38" fillId="63" borderId="0" applyAlignment="1">
      <alignment vertical="center"/>
    </xf>
    <xf numFmtId="0" fontId="39" fillId="63" borderId="0" applyAlignment="1">
      <alignment vertical="center"/>
    </xf>
    <xf numFmtId="0" fontId="39" fillId="64"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170" fontId="38" fillId="43" borderId="0" applyAlignment="1">
      <alignment vertical="center"/>
    </xf>
    <xf numFmtId="0" fontId="41" fillId="13" borderId="0" applyAlignment="1">
      <alignment vertical="center"/>
    </xf>
    <xf numFmtId="0" fontId="42" fillId="57" borderId="0" applyAlignment="1">
      <alignment vertical="center"/>
    </xf>
    <xf numFmtId="0" fontId="41" fillId="13" borderId="0" applyAlignment="1">
      <alignment vertical="center"/>
    </xf>
    <xf numFmtId="170" fontId="38" fillId="57" borderId="0" applyAlignment="1">
      <alignment vertical="center"/>
    </xf>
    <xf numFmtId="0" fontId="43"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170" fontId="38" fillId="65" borderId="0" applyAlignment="1">
      <alignment vertical="center"/>
    </xf>
    <xf numFmtId="0" fontId="41" fillId="17" borderId="0" applyAlignment="1">
      <alignment vertical="center"/>
    </xf>
    <xf numFmtId="0" fontId="42" fillId="48" borderId="0" applyAlignment="1">
      <alignment vertical="center"/>
    </xf>
    <xf numFmtId="0" fontId="41" fillId="17" borderId="0" applyAlignment="1">
      <alignment vertical="center"/>
    </xf>
    <xf numFmtId="170" fontId="38" fillId="48" borderId="0" applyAlignment="1">
      <alignment vertical="center"/>
    </xf>
    <xf numFmtId="0" fontId="43"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170" fontId="38" fillId="54" borderId="0" applyAlignment="1">
      <alignment vertical="center"/>
    </xf>
    <xf numFmtId="0" fontId="41" fillId="21" borderId="0" applyAlignment="1">
      <alignment vertical="center"/>
    </xf>
    <xf numFmtId="0" fontId="42" fillId="52" borderId="0" applyAlignment="1">
      <alignment vertical="center"/>
    </xf>
    <xf numFmtId="0" fontId="41" fillId="21" borderId="0" applyAlignment="1">
      <alignment vertical="center"/>
    </xf>
    <xf numFmtId="170" fontId="38" fillId="52" borderId="0" applyAlignment="1">
      <alignment vertical="center"/>
    </xf>
    <xf numFmtId="0" fontId="43"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170" fontId="38" fillId="37" borderId="0" applyAlignment="1">
      <alignment vertical="center"/>
    </xf>
    <xf numFmtId="0" fontId="41" fillId="25" borderId="0" applyAlignment="1">
      <alignment vertical="center"/>
    </xf>
    <xf numFmtId="0" fontId="42" fillId="59" borderId="0" applyAlignment="1">
      <alignment vertical="center"/>
    </xf>
    <xf numFmtId="0" fontId="41" fillId="25" borderId="0" applyAlignment="1">
      <alignment vertical="center"/>
    </xf>
    <xf numFmtId="170" fontId="38" fillId="59" borderId="0" applyAlignment="1">
      <alignment vertical="center"/>
    </xf>
    <xf numFmtId="0" fontId="43"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170" fontId="38" fillId="43" borderId="0" applyAlignment="1">
      <alignment vertical="center"/>
    </xf>
    <xf numFmtId="0" fontId="41" fillId="29" borderId="0" applyAlignment="1">
      <alignment vertical="center"/>
    </xf>
    <xf numFmtId="0" fontId="42" fillId="61" borderId="0" applyAlignment="1">
      <alignment vertical="center"/>
    </xf>
    <xf numFmtId="0" fontId="41" fillId="29" borderId="0" applyAlignment="1">
      <alignment vertical="center"/>
    </xf>
    <xf numFmtId="170" fontId="38" fillId="61" borderId="0" applyAlignment="1">
      <alignment vertical="center"/>
    </xf>
    <xf numFmtId="0" fontId="43"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70" fontId="38" fillId="48" borderId="0" applyAlignment="1">
      <alignment vertical="center"/>
    </xf>
    <xf numFmtId="0" fontId="41" fillId="33" borderId="0" applyAlignment="1">
      <alignment vertical="center"/>
    </xf>
    <xf numFmtId="0" fontId="42" fillId="63" borderId="0" applyAlignment="1">
      <alignment vertical="center"/>
    </xf>
    <xf numFmtId="0" fontId="41" fillId="33" borderId="0" applyAlignment="1">
      <alignment vertical="center"/>
    </xf>
    <xf numFmtId="170" fontId="38" fillId="63" borderId="0" applyAlignment="1">
      <alignment vertical="center"/>
    </xf>
    <xf numFmtId="0" fontId="43"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70" fontId="44" fillId="0" borderId="0"/>
    <xf numFmtId="170" fontId="44" fillId="0" borderId="0"/>
    <xf numFmtId="188" fontId="45" fillId="0" borderId="0"/>
    <xf numFmtId="0" fontId="20" fillId="0" borderId="0"/>
    <xf numFmtId="40" fontId="20" fillId="0" borderId="0"/>
    <xf numFmtId="170" fontId="46" fillId="0" borderId="0"/>
    <xf numFmtId="170" fontId="46" fillId="0" borderId="0"/>
    <xf numFmtId="170" fontId="47" fillId="0" borderId="0"/>
    <xf numFmtId="170" fontId="48" fillId="0" borderId="0"/>
    <xf numFmtId="170" fontId="49" fillId="0" borderId="0"/>
    <xf numFmtId="170" fontId="50" fillId="0" borderId="0"/>
    <xf numFmtId="170" fontId="22" fillId="0" borderId="0"/>
    <xf numFmtId="0" fontId="50" fillId="0" borderId="0"/>
    <xf numFmtId="0" fontId="22" fillId="0" borderId="0"/>
    <xf numFmtId="170" fontId="22" fillId="0" borderId="0"/>
    <xf numFmtId="0" fontId="51" fillId="0" borderId="0"/>
    <xf numFmtId="170" fontId="49" fillId="0" borderId="0"/>
    <xf numFmtId="189" fontId="51" fillId="0" borderId="0"/>
    <xf numFmtId="170" fontId="22" fillId="0" borderId="0"/>
    <xf numFmtId="170" fontId="52" fillId="0" borderId="0"/>
    <xf numFmtId="170" fontId="52" fillId="0" borderId="0"/>
    <xf numFmtId="0" fontId="53" fillId="0" borderId="0"/>
    <xf numFmtId="0" fontId="53" fillId="0" borderId="0"/>
    <xf numFmtId="170" fontId="54" fillId="66" borderId="0"/>
    <xf numFmtId="170" fontId="54" fillId="67" borderId="0"/>
    <xf numFmtId="170" fontId="55" fillId="68" borderId="0"/>
    <xf numFmtId="0" fontId="38" fillId="69" borderId="0" applyAlignment="1">
      <alignment vertical="center"/>
    </xf>
    <xf numFmtId="0" fontId="39" fillId="69" borderId="0" applyAlignment="1">
      <alignment vertical="center"/>
    </xf>
    <xf numFmtId="0" fontId="40" fillId="69" borderId="0" applyAlignment="1">
      <alignment vertical="center"/>
    </xf>
    <xf numFmtId="0" fontId="38" fillId="69" borderId="0" applyAlignment="1">
      <alignment vertical="center"/>
    </xf>
    <xf numFmtId="0" fontId="39" fillId="69" borderId="0" applyAlignment="1">
      <alignment vertical="center"/>
    </xf>
    <xf numFmtId="0" fontId="39" fillId="70" borderId="0" applyAlignment="1">
      <alignment vertical="center"/>
    </xf>
    <xf numFmtId="170" fontId="55" fillId="71" borderId="0"/>
    <xf numFmtId="170" fontId="54" fillId="66" borderId="0"/>
    <xf numFmtId="170" fontId="54" fillId="72" borderId="0"/>
    <xf numFmtId="170" fontId="55" fillId="73" borderId="0"/>
    <xf numFmtId="0" fontId="38" fillId="74" borderId="0" applyAlignment="1">
      <alignment vertical="center"/>
    </xf>
    <xf numFmtId="0" fontId="39" fillId="74" borderId="0" applyAlignment="1">
      <alignment vertical="center"/>
    </xf>
    <xf numFmtId="0" fontId="40" fillId="74" borderId="0" applyAlignment="1">
      <alignment vertical="center"/>
    </xf>
    <xf numFmtId="0" fontId="38" fillId="74" borderId="0" applyAlignment="1">
      <alignment vertical="center"/>
    </xf>
    <xf numFmtId="0" fontId="39" fillId="74" borderId="0" applyAlignment="1">
      <alignment vertical="center"/>
    </xf>
    <xf numFmtId="0" fontId="39" fillId="75" borderId="0" applyAlignment="1">
      <alignment vertical="center"/>
    </xf>
    <xf numFmtId="170" fontId="55" fillId="76" borderId="0"/>
    <xf numFmtId="170" fontId="54" fillId="66" borderId="0"/>
    <xf numFmtId="170" fontId="54" fillId="66" borderId="0"/>
    <xf numFmtId="170" fontId="55" fillId="72" borderId="0"/>
    <xf numFmtId="0" fontId="38" fillId="77" borderId="0" applyAlignment="1">
      <alignment vertical="center"/>
    </xf>
    <xf numFmtId="0" fontId="39" fillId="77" borderId="0" applyAlignment="1">
      <alignment vertical="center"/>
    </xf>
    <xf numFmtId="0" fontId="40" fillId="77" borderId="0" applyAlignment="1">
      <alignment vertical="center"/>
    </xf>
    <xf numFmtId="0" fontId="38" fillId="77" borderId="0" applyAlignment="1">
      <alignment vertical="center"/>
    </xf>
    <xf numFmtId="0" fontId="39" fillId="77" borderId="0" applyAlignment="1">
      <alignment vertical="center"/>
    </xf>
    <xf numFmtId="0" fontId="39" fillId="78" borderId="0" applyAlignment="1">
      <alignment vertical="center"/>
    </xf>
    <xf numFmtId="170" fontId="55" fillId="73" borderId="0"/>
    <xf numFmtId="170" fontId="54" fillId="66" borderId="0"/>
    <xf numFmtId="170" fontId="54" fillId="72" borderId="0"/>
    <xf numFmtId="170" fontId="55" fillId="72" borderId="0"/>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170" fontId="55" fillId="71" borderId="0"/>
    <xf numFmtId="170" fontId="54" fillId="66" borderId="0"/>
    <xf numFmtId="170" fontId="54" fillId="66" borderId="0"/>
    <xf numFmtId="170" fontId="55" fillId="68" borderId="0"/>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170" fontId="55" fillId="79" borderId="0"/>
    <xf numFmtId="170" fontId="54" fillId="80" borderId="0"/>
    <xf numFmtId="170" fontId="54" fillId="80" borderId="0"/>
    <xf numFmtId="170" fontId="55" fillId="81" borderId="0"/>
    <xf numFmtId="0" fontId="38" fillId="65" borderId="0" applyAlignment="1">
      <alignment vertical="center"/>
    </xf>
    <xf numFmtId="0" fontId="39" fillId="65" borderId="0" applyAlignment="1">
      <alignment vertical="center"/>
    </xf>
    <xf numFmtId="0" fontId="40" fillId="65" borderId="0" applyAlignment="1">
      <alignment vertical="center"/>
    </xf>
    <xf numFmtId="0" fontId="38" fillId="65" borderId="0" applyAlignment="1">
      <alignment vertical="center"/>
    </xf>
    <xf numFmtId="0" fontId="39" fillId="65" borderId="0" applyAlignment="1">
      <alignment vertical="center"/>
    </xf>
    <xf numFmtId="0" fontId="39" fillId="82" borderId="0" applyAlignment="1">
      <alignment vertical="center"/>
    </xf>
    <xf numFmtId="170" fontId="55" fillId="83" borderId="0"/>
    <xf numFmtId="170" fontId="8" fillId="0" borderId="0"/>
    <xf numFmtId="190" fontId="56" fillId="50" borderId="22" applyAlignment="1">
      <alignment horizontal="center" vertical="center"/>
    </xf>
    <xf numFmtId="170" fontId="27" fillId="0" borderId="0"/>
    <xf numFmtId="170" fontId="57" fillId="0" borderId="0"/>
    <xf numFmtId="170" fontId="58" fillId="0" borderId="0"/>
    <xf numFmtId="170" fontId="59" fillId="0" borderId="0"/>
    <xf numFmtId="170" fontId="1" fillId="0" borderId="0"/>
    <xf numFmtId="170" fontId="30" fillId="0" borderId="0"/>
    <xf numFmtId="170" fontId="60" fillId="0" borderId="0"/>
    <xf numFmtId="191" fontId="61" fillId="0" borderId="0"/>
    <xf numFmtId="170" fontId="58" fillId="0" borderId="0"/>
    <xf numFmtId="170" fontId="30" fillId="0" borderId="0"/>
    <xf numFmtId="0" fontId="60" fillId="0" borderId="0"/>
    <xf numFmtId="170" fontId="59" fillId="0" borderId="0"/>
    <xf numFmtId="170" fontId="60" fillId="0" borderId="0"/>
    <xf numFmtId="170" fontId="59" fillId="0" borderId="0"/>
    <xf numFmtId="170" fontId="60" fillId="0" borderId="0"/>
    <xf numFmtId="170" fontId="59" fillId="0" borderId="0"/>
    <xf numFmtId="192" fontId="58" fillId="0" borderId="0"/>
    <xf numFmtId="0" fontId="59" fillId="0" borderId="0"/>
    <xf numFmtId="0" fontId="60" fillId="0" borderId="0"/>
    <xf numFmtId="170" fontId="30"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7" fillId="0" borderId="0"/>
    <xf numFmtId="170" fontId="58" fillId="0" borderId="0"/>
    <xf numFmtId="170" fontId="64" fillId="0" borderId="0"/>
    <xf numFmtId="170" fontId="57" fillId="0" borderId="0"/>
    <xf numFmtId="170" fontId="60" fillId="0" borderId="0"/>
    <xf numFmtId="170" fontId="59" fillId="0" borderId="0"/>
    <xf numFmtId="0" fontId="60" fillId="0" borderId="0"/>
    <xf numFmtId="0" fontId="59" fillId="0" borderId="0"/>
    <xf numFmtId="170" fontId="65" fillId="0" borderId="0"/>
    <xf numFmtId="170" fontId="66"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7" fillId="0" borderId="0"/>
    <xf numFmtId="170" fontId="30" fillId="0" borderId="0"/>
    <xf numFmtId="170" fontId="58" fillId="0" borderId="0"/>
    <xf numFmtId="170" fontId="59" fillId="0" borderId="0"/>
    <xf numFmtId="170" fontId="67" fillId="0" borderId="0"/>
    <xf numFmtId="170" fontId="63" fillId="0" borderId="0"/>
    <xf numFmtId="170" fontId="60" fillId="0" borderId="0"/>
    <xf numFmtId="170" fontId="59"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57" fillId="0" borderId="0"/>
    <xf numFmtId="170" fontId="58" fillId="0" borderId="0"/>
    <xf numFmtId="170" fontId="59" fillId="0" borderId="0"/>
    <xf numFmtId="0" fontId="58" fillId="0" borderId="0"/>
    <xf numFmtId="0" fontId="59" fillId="0" borderId="0"/>
    <xf numFmtId="170" fontId="1" fillId="0" borderId="0"/>
    <xf numFmtId="170" fontId="30" fillId="0" borderId="0"/>
    <xf numFmtId="170" fontId="60" fillId="0" borderId="0"/>
    <xf numFmtId="38" fontId="61" fillId="0" borderId="0"/>
    <xf numFmtId="170" fontId="58" fillId="0" borderId="0"/>
    <xf numFmtId="170" fontId="30" fillId="0" borderId="0"/>
    <xf numFmtId="0" fontId="60" fillId="0" borderId="0"/>
    <xf numFmtId="170" fontId="59" fillId="0" borderId="0"/>
    <xf numFmtId="170" fontId="60" fillId="0" borderId="0"/>
    <xf numFmtId="170" fontId="63" fillId="0" borderId="0"/>
    <xf numFmtId="170" fontId="62" fillId="0" borderId="0"/>
    <xf numFmtId="170" fontId="63" fillId="0" borderId="0"/>
    <xf numFmtId="184" fontId="58" fillId="0" borderId="0"/>
    <xf numFmtId="0" fontId="59" fillId="0" borderId="0"/>
    <xf numFmtId="0" fontId="60" fillId="0" borderId="0"/>
    <xf numFmtId="170" fontId="59"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7" fillId="0" borderId="0"/>
    <xf numFmtId="170" fontId="58" fillId="0" borderId="0"/>
    <xf numFmtId="170" fontId="64" fillId="0" borderId="0"/>
    <xf numFmtId="170" fontId="57" fillId="0" borderId="0"/>
    <xf numFmtId="170" fontId="60" fillId="0" borderId="0"/>
    <xf numFmtId="170" fontId="59" fillId="0" borderId="0"/>
    <xf numFmtId="0" fontId="60" fillId="0" borderId="0"/>
    <xf numFmtId="0" fontId="59" fillId="0" borderId="0"/>
    <xf numFmtId="170" fontId="65" fillId="0" borderId="0"/>
    <xf numFmtId="170" fontId="66"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7" fillId="0" borderId="0"/>
    <xf numFmtId="170" fontId="30" fillId="0" borderId="0"/>
    <xf numFmtId="170" fontId="58" fillId="0" borderId="0"/>
    <xf numFmtId="170" fontId="59" fillId="0" borderId="0"/>
    <xf numFmtId="170" fontId="67" fillId="0" borderId="0"/>
    <xf numFmtId="170" fontId="63" fillId="0" borderId="0"/>
    <xf numFmtId="170" fontId="62" fillId="0" borderId="0"/>
    <xf numFmtId="17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46" fillId="0" borderId="0"/>
    <xf numFmtId="170" fontId="46" fillId="0" borderId="0"/>
    <xf numFmtId="170" fontId="47" fillId="0" borderId="0"/>
    <xf numFmtId="170" fontId="22" fillId="0" borderId="0"/>
    <xf numFmtId="0" fontId="51" fillId="0" borderId="0"/>
    <xf numFmtId="0" fontId="51" fillId="0" borderId="0"/>
    <xf numFmtId="170" fontId="52" fillId="0" borderId="0"/>
    <xf numFmtId="170" fontId="52" fillId="0" borderId="0"/>
    <xf numFmtId="193" fontId="53" fillId="0" borderId="0"/>
    <xf numFmtId="194" fontId="53" fillId="0" borderId="0"/>
    <xf numFmtId="170" fontId="44" fillId="0" borderId="0"/>
    <xf numFmtId="170" fontId="44" fillId="0" borderId="0"/>
    <xf numFmtId="195" fontId="45" fillId="0" borderId="0"/>
    <xf numFmtId="0" fontId="20" fillId="0" borderId="0"/>
    <xf numFmtId="0" fontId="27" fillId="0" borderId="0"/>
    <xf numFmtId="170" fontId="27" fillId="0" borderId="0"/>
    <xf numFmtId="170" fontId="59" fillId="0" borderId="0"/>
    <xf numFmtId="170" fontId="1" fillId="0" borderId="0"/>
    <xf numFmtId="170" fontId="30" fillId="0" borderId="0"/>
    <xf numFmtId="170" fontId="65" fillId="0" borderId="0" applyAlignment="1" applyProtection="1">
      <alignment vertical="center"/>
      <protection locked="0" hidden="0"/>
    </xf>
    <xf numFmtId="170" fontId="59" fillId="0" borderId="0"/>
    <xf numFmtId="170" fontId="58" fillId="0" borderId="0"/>
    <xf numFmtId="170" fontId="30" fillId="0" borderId="0"/>
    <xf numFmtId="170" fontId="58" fillId="0" borderId="0"/>
    <xf numFmtId="170" fontId="30" fillId="0" borderId="0"/>
    <xf numFmtId="0" fontId="58" fillId="0" borderId="0"/>
    <xf numFmtId="0" fontId="68" fillId="0" borderId="0"/>
    <xf numFmtId="196"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60" fillId="0" borderId="0"/>
    <xf numFmtId="170" fontId="59" fillId="0" borderId="0"/>
    <xf numFmtId="170" fontId="60" fillId="0" borderId="0"/>
    <xf numFmtId="170" fontId="59" fillId="0" borderId="0"/>
    <xf numFmtId="0" fontId="60" fillId="0" borderId="0"/>
    <xf numFmtId="0" fontId="59" fillId="0" borderId="0"/>
    <xf numFmtId="170" fontId="58" fillId="0" borderId="0"/>
    <xf numFmtId="170" fontId="1" fillId="0" borderId="0"/>
    <xf numFmtId="170" fontId="60" fillId="0" borderId="0"/>
    <xf numFmtId="170" fontId="59" fillId="0" borderId="0"/>
    <xf numFmtId="170" fontId="62" fillId="0" borderId="0"/>
    <xf numFmtId="170" fontId="64" fillId="0" borderId="0"/>
    <xf numFmtId="0" fontId="60" fillId="0" borderId="0"/>
    <xf numFmtId="0" fontId="30" fillId="0" borderId="0"/>
    <xf numFmtId="0" fontId="58" fillId="0" borderId="0"/>
    <xf numFmtId="170" fontId="59" fillId="0" borderId="0"/>
    <xf numFmtId="170" fontId="67" fillId="0" borderId="0"/>
    <xf numFmtId="17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62" fillId="0" borderId="0"/>
    <xf numFmtId="170" fontId="63" fillId="0" borderId="0"/>
    <xf numFmtId="0" fontId="62" fillId="0" borderId="0"/>
    <xf numFmtId="0" fontId="63" fillId="0" borderId="0"/>
    <xf numFmtId="170" fontId="58" fillId="0" borderId="0"/>
    <xf numFmtId="170" fontId="58" fillId="0" borderId="0"/>
    <xf numFmtId="170" fontId="59" fillId="0" borderId="0"/>
    <xf numFmtId="0" fontId="58" fillId="0" borderId="0"/>
    <xf numFmtId="0" fontId="59" fillId="0" borderId="0"/>
    <xf numFmtId="170" fontId="1" fillId="0" borderId="0"/>
    <xf numFmtId="170" fontId="30" fillId="0" borderId="0"/>
    <xf numFmtId="170" fontId="60" fillId="0" borderId="0"/>
    <xf numFmtId="39" fontId="61" fillId="0" borderId="0"/>
    <xf numFmtId="170" fontId="58" fillId="0" borderId="0"/>
    <xf numFmtId="170" fontId="30" fillId="0" borderId="0"/>
    <xf numFmtId="0" fontId="60" fillId="0" borderId="0"/>
    <xf numFmtId="170" fontId="59" fillId="0" borderId="0"/>
    <xf numFmtId="170" fontId="60" fillId="0" borderId="0"/>
    <xf numFmtId="0" fontId="30" fillId="0" borderId="0"/>
    <xf numFmtId="197" fontId="58" fillId="0" borderId="0"/>
    <xf numFmtId="0" fontId="68" fillId="0" borderId="0"/>
    <xf numFmtId="0" fontId="69" fillId="0" borderId="0"/>
    <xf numFmtId="170" fontId="30"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8" fillId="0" borderId="0"/>
    <xf numFmtId="170" fontId="64" fillId="0" borderId="0"/>
    <xf numFmtId="170" fontId="60" fillId="0" borderId="0"/>
    <xf numFmtId="170" fontId="59" fillId="0" borderId="0"/>
    <xf numFmtId="0" fontId="60" fillId="0" borderId="0"/>
    <xf numFmtId="0" fontId="59"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9" fillId="0" borderId="0"/>
    <xf numFmtId="170" fontId="67" fillId="0" borderId="0"/>
    <xf numFmtId="17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57" fillId="0" borderId="0"/>
    <xf numFmtId="170" fontId="57" fillId="0" borderId="0"/>
    <xf numFmtId="170" fontId="6" fillId="0" borderId="0"/>
    <xf numFmtId="0" fontId="6" fillId="0" borderId="0"/>
    <xf numFmtId="0" fontId="70" fillId="37" borderId="0" applyAlignment="1">
      <alignment vertical="center"/>
    </xf>
    <xf numFmtId="0" fontId="71" fillId="37" borderId="0" applyAlignment="1">
      <alignment vertical="center"/>
    </xf>
    <xf numFmtId="0" fontId="72" fillId="37" borderId="0" applyAlignment="1">
      <alignment vertical="center"/>
    </xf>
    <xf numFmtId="0" fontId="70" fillId="37" borderId="0" applyAlignment="1">
      <alignment vertical="center"/>
    </xf>
    <xf numFmtId="0" fontId="71" fillId="37" borderId="0" applyAlignment="1">
      <alignment vertical="center"/>
    </xf>
    <xf numFmtId="0" fontId="71" fillId="38" borderId="0" applyAlignment="1">
      <alignment vertical="center"/>
    </xf>
    <xf numFmtId="170" fontId="73" fillId="84" borderId="0"/>
    <xf numFmtId="170" fontId="74" fillId="0" borderId="0"/>
    <xf numFmtId="0" fontId="74" fillId="0" borderId="0"/>
    <xf numFmtId="170" fontId="75" fillId="0" borderId="0"/>
    <xf numFmtId="0" fontId="76" fillId="0" borderId="0"/>
    <xf numFmtId="170" fontId="52" fillId="0" borderId="0"/>
    <xf numFmtId="170" fontId="22" fillId="0" borderId="0"/>
    <xf numFmtId="0" fontId="77" fillId="0" borderId="0"/>
    <xf numFmtId="170" fontId="22" fillId="0" borderId="0"/>
    <xf numFmtId="170" fontId="50" fillId="0" borderId="0"/>
    <xf numFmtId="170" fontId="22" fillId="0" borderId="0"/>
    <xf numFmtId="0" fontId="50" fillId="0" borderId="0"/>
    <xf numFmtId="0" fontId="22" fillId="0" borderId="0"/>
    <xf numFmtId="170" fontId="50" fillId="0" borderId="0"/>
    <xf numFmtId="170" fontId="22" fillId="0" borderId="0"/>
    <xf numFmtId="0" fontId="50" fillId="0" borderId="0"/>
    <xf numFmtId="0" fontId="22" fillId="0" borderId="0"/>
    <xf numFmtId="0" fontId="20" fillId="0" borderId="0"/>
    <xf numFmtId="170" fontId="44" fillId="0" borderId="0"/>
    <xf numFmtId="170" fontId="78" fillId="0" borderId="0"/>
    <xf numFmtId="170" fontId="79" fillId="0" borderId="0"/>
    <xf numFmtId="0" fontId="65" fillId="0" borderId="0"/>
    <xf numFmtId="170" fontId="80" fillId="0" borderId="0"/>
    <xf numFmtId="170" fontId="65" fillId="0" borderId="0"/>
    <xf numFmtId="170" fontId="81" fillId="0" borderId="0"/>
    <xf numFmtId="170" fontId="29" fillId="0" borderId="0"/>
    <xf numFmtId="170" fontId="80" fillId="0" borderId="0"/>
    <xf numFmtId="170" fontId="82" fillId="0" borderId="0"/>
    <xf numFmtId="170" fontId="64" fillId="0" borderId="0"/>
    <xf numFmtId="170" fontId="58" fillId="0" borderId="0"/>
    <xf numFmtId="170" fontId="83" fillId="0" borderId="0"/>
    <xf numFmtId="170" fontId="84" fillId="0" borderId="0"/>
    <xf numFmtId="170" fontId="83" fillId="0" borderId="0"/>
    <xf numFmtId="0" fontId="84" fillId="0" borderId="0"/>
    <xf numFmtId="0" fontId="83" fillId="0" borderId="0"/>
    <xf numFmtId="0" fontId="84" fillId="0" borderId="0"/>
    <xf numFmtId="0" fontId="81" fillId="0" borderId="0"/>
    <xf numFmtId="170" fontId="58" fillId="0" borderId="0"/>
    <xf numFmtId="170" fontId="30" fillId="0" borderId="0"/>
    <xf numFmtId="170" fontId="58" fillId="0" borderId="0"/>
    <xf numFmtId="170" fontId="1" fillId="0" borderId="0"/>
    <xf numFmtId="0" fontId="58" fillId="0" borderId="0"/>
    <xf numFmtId="170" fontId="30" fillId="0" borderId="0"/>
    <xf numFmtId="170" fontId="60" fillId="0" borderId="0"/>
    <xf numFmtId="170" fontId="59" fillId="0" borderId="0"/>
    <xf numFmtId="170" fontId="60" fillId="0" borderId="0"/>
    <xf numFmtId="170" fontId="59" fillId="0" borderId="0"/>
    <xf numFmtId="0" fontId="60" fillId="0" borderId="0"/>
    <xf numFmtId="0" fontId="59" fillId="0" borderId="0"/>
    <xf numFmtId="0" fontId="65" fillId="0" borderId="0"/>
    <xf numFmtId="170" fontId="85" fillId="0" borderId="0"/>
    <xf numFmtId="170" fontId="67" fillId="0" borderId="0"/>
    <xf numFmtId="170" fontId="59" fillId="0" borderId="0"/>
    <xf numFmtId="170" fontId="62" fillId="0" borderId="0"/>
    <xf numFmtId="170" fontId="63" fillId="0" borderId="0"/>
    <xf numFmtId="0" fontId="62" fillId="0" borderId="0"/>
    <xf numFmtId="0" fontId="63" fillId="0" borderId="0"/>
    <xf numFmtId="170" fontId="58" fillId="0" borderId="0"/>
    <xf numFmtId="170" fontId="64" fillId="0" borderId="0"/>
    <xf numFmtId="0" fontId="58" fillId="0" borderId="0"/>
    <xf numFmtId="0" fontId="64" fillId="0" borderId="0"/>
    <xf numFmtId="170" fontId="58" fillId="0" borderId="0"/>
    <xf numFmtId="170" fontId="64" fillId="0" borderId="0"/>
    <xf numFmtId="170" fontId="60" fillId="0" borderId="0"/>
    <xf numFmtId="170" fontId="59" fillId="0" borderId="0"/>
    <xf numFmtId="0" fontId="60" fillId="0" borderId="0"/>
    <xf numFmtId="0" fontId="59" fillId="0" borderId="0"/>
    <xf numFmtId="170" fontId="60" fillId="0" borderId="0"/>
    <xf numFmtId="170" fontId="64" fillId="0" borderId="0"/>
    <xf numFmtId="49" fontId="58" fillId="0" borderId="0" applyAlignment="1">
      <alignment vertical="center"/>
    </xf>
    <xf numFmtId="170" fontId="81" fillId="0" borderId="0"/>
    <xf numFmtId="170" fontId="58" fillId="0" borderId="0"/>
    <xf numFmtId="170" fontId="59" fillId="0" borderId="0"/>
    <xf numFmtId="170" fontId="60" fillId="0" borderId="0"/>
    <xf numFmtId="170" fontId="64" fillId="0" borderId="0"/>
    <xf numFmtId="0" fontId="60" fillId="0" borderId="0"/>
    <xf numFmtId="0" fontId="30" fillId="0" borderId="0"/>
    <xf numFmtId="0" fontId="60" fillId="0" borderId="0"/>
    <xf numFmtId="0" fontId="59" fillId="0" borderId="0"/>
    <xf numFmtId="170" fontId="62" fillId="0" borderId="0"/>
    <xf numFmtId="170" fontId="63" fillId="0" borderId="0"/>
    <xf numFmtId="170" fontId="78" fillId="0" borderId="0"/>
    <xf numFmtId="170" fontId="30" fillId="0" borderId="0"/>
    <xf numFmtId="170" fontId="58" fillId="0" borderId="0"/>
    <xf numFmtId="17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82" fillId="0" borderId="0"/>
    <xf numFmtId="170" fontId="82" fillId="0" borderId="0"/>
    <xf numFmtId="0" fontId="82" fillId="0" borderId="0"/>
    <xf numFmtId="0" fontId="82" fillId="0" borderId="0"/>
    <xf numFmtId="170" fontId="84" fillId="0" borderId="0"/>
    <xf numFmtId="170" fontId="64" fillId="0" borderId="0"/>
    <xf numFmtId="170" fontId="1" fillId="0" borderId="0"/>
    <xf numFmtId="170" fontId="1"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58" fillId="0" borderId="0"/>
    <xf numFmtId="165" fontId="1" fillId="0" borderId="0"/>
    <xf numFmtId="198" fontId="86" fillId="0" borderId="0"/>
    <xf numFmtId="199" fontId="86" fillId="0" borderId="0"/>
    <xf numFmtId="170" fontId="1" fillId="0" borderId="0"/>
    <xf numFmtId="170" fontId="1" fillId="0" borderId="0"/>
    <xf numFmtId="165" fontId="1" fillId="0" borderId="0"/>
    <xf numFmtId="200" fontId="1" fillId="0" borderId="0"/>
    <xf numFmtId="198" fontId="86" fillId="0" borderId="0"/>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70" fontId="89" fillId="87" borderId="23"/>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91" fillId="0" borderId="0"/>
    <xf numFmtId="0" fontId="91" fillId="0" borderId="0"/>
    <xf numFmtId="0" fontId="92" fillId="88" borderId="24" applyAlignment="1">
      <alignment vertical="center"/>
    </xf>
    <xf numFmtId="0" fontId="93" fillId="88" borderId="24" applyAlignment="1">
      <alignment vertical="center"/>
    </xf>
    <xf numFmtId="170" fontId="94" fillId="73" borderId="24"/>
    <xf numFmtId="0" fontId="95" fillId="88" borderId="24" applyAlignment="1">
      <alignment vertical="center"/>
    </xf>
    <xf numFmtId="0" fontId="92" fillId="88" borderId="24" applyAlignment="1">
      <alignment vertical="center"/>
    </xf>
    <xf numFmtId="0" fontId="93" fillId="88" borderId="24" applyAlignment="1">
      <alignment vertical="center"/>
    </xf>
    <xf numFmtId="0" fontId="93" fillId="89" borderId="24" applyAlignment="1">
      <alignment vertical="center"/>
    </xf>
    <xf numFmtId="170" fontId="94" fillId="73" borderId="24"/>
    <xf numFmtId="0" fontId="13" fillId="0" borderId="0" applyAlignment="1" applyProtection="1">
      <alignment vertical="top"/>
      <protection locked="0" hidden="0"/>
    </xf>
    <xf numFmtId="10" fontId="50"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165" fontId="1" fillId="0" borderId="0"/>
    <xf numFmtId="202" fontId="6" fillId="0" borderId="0"/>
    <xf numFmtId="0" fontId="6" fillId="0" borderId="0"/>
    <xf numFmtId="0" fontId="1" fillId="0" borderId="0"/>
    <xf numFmtId="198" fontId="86" fillId="0" borderId="0"/>
    <xf numFmtId="170" fontId="6" fillId="0" borderId="0"/>
    <xf numFmtId="0" fontId="6" fillId="0" borderId="0"/>
    <xf numFmtId="0" fontId="18" fillId="86" borderId="0"/>
    <xf numFmtId="170" fontId="96" fillId="0" borderId="0"/>
    <xf numFmtId="203" fontId="6" fillId="0" borderId="0" applyProtection="1">
      <protection locked="0" hidden="0"/>
    </xf>
    <xf numFmtId="204" fontId="56" fillId="0" borderId="0" applyProtection="1">
      <protection locked="0" hidden="0"/>
    </xf>
    <xf numFmtId="14" fontId="97" fillId="0" borderId="0"/>
    <xf numFmtId="14" fontId="1" fillId="0" borderId="0"/>
    <xf numFmtId="170" fontId="61" fillId="0" borderId="0" applyProtection="1">
      <protection locked="0" hidden="0"/>
    </xf>
    <xf numFmtId="0" fontId="98" fillId="1" borderId="0" applyAlignment="1">
      <alignment horizontal="center"/>
    </xf>
    <xf numFmtId="38" fontId="27" fillId="0" borderId="25" applyAlignment="1">
      <alignment vertical="center"/>
    </xf>
    <xf numFmtId="205" fontId="6" fillId="0" borderId="0"/>
    <xf numFmtId="170" fontId="8" fillId="0" borderId="0"/>
    <xf numFmtId="170" fontId="99" fillId="90" borderId="0"/>
    <xf numFmtId="170" fontId="99" fillId="91" borderId="0"/>
    <xf numFmtId="170" fontId="99" fillId="92" borderId="0"/>
    <xf numFmtId="170" fontId="8" fillId="0" borderId="0"/>
    <xf numFmtId="165" fontId="1" fillId="0" borderId="0"/>
    <xf numFmtId="198" fontId="86" fillId="0" borderId="0"/>
    <xf numFmtId="165" fontId="1" fillId="0" borderId="0"/>
    <xf numFmtId="200" fontId="1" fillId="0" borderId="0"/>
    <xf numFmtId="198" fontId="86" fillId="0" borderId="0"/>
    <xf numFmtId="170" fontId="86" fillId="0" borderId="0" applyAlignment="1">
      <alignment horizontal="left"/>
    </xf>
    <xf numFmtId="170" fontId="6" fillId="0" borderId="0"/>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2" fillId="0" borderId="0" applyAlignment="1">
      <alignment vertical="center"/>
    </xf>
    <xf numFmtId="0" fontId="100" fillId="0" borderId="0" applyAlignment="1">
      <alignment vertical="center"/>
    </xf>
    <xf numFmtId="0" fontId="101" fillId="0" borderId="0" applyAlignment="1">
      <alignment vertical="center"/>
    </xf>
    <xf numFmtId="0" fontId="102" fillId="0" borderId="0" applyAlignment="1">
      <alignment vertical="center"/>
    </xf>
    <xf numFmtId="0" fontId="100" fillId="0" borderId="0" applyAlignment="1">
      <alignment vertical="center"/>
    </xf>
    <xf numFmtId="0" fontId="101" fillId="0" borderId="0" applyAlignment="1">
      <alignment vertical="center"/>
    </xf>
    <xf numFmtId="0" fontId="101" fillId="0" borderId="0" applyAlignment="1">
      <alignment vertical="center"/>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203" fontId="6" fillId="0" borderId="0" applyProtection="1">
      <protection locked="0" hidden="0"/>
    </xf>
    <xf numFmtId="179" fontId="56" fillId="0" borderId="0" applyProtection="1">
      <protection locked="0" hidden="0"/>
    </xf>
    <xf numFmtId="170" fontId="1" fillId="0" borderId="0"/>
    <xf numFmtId="0" fontId="104" fillId="39" borderId="0" applyAlignment="1">
      <alignment vertical="center"/>
    </xf>
    <xf numFmtId="0" fontId="105" fillId="39" borderId="0" applyAlignment="1">
      <alignment vertical="center"/>
    </xf>
    <xf numFmtId="0" fontId="106" fillId="39" borderId="0" applyAlignment="1">
      <alignment vertical="center"/>
    </xf>
    <xf numFmtId="0" fontId="104" fillId="39" borderId="0" applyAlignment="1">
      <alignment vertical="center"/>
    </xf>
    <xf numFmtId="0" fontId="105" fillId="39" borderId="0" applyAlignment="1">
      <alignment vertical="center"/>
    </xf>
    <xf numFmtId="0" fontId="105" fillId="40" borderId="0" applyAlignment="1">
      <alignment vertical="center"/>
    </xf>
    <xf numFmtId="170" fontId="107" fillId="93" borderId="0"/>
    <xf numFmtId="38" fontId="108" fillId="94" borderId="0"/>
    <xf numFmtId="0" fontId="109" fillId="0" borderId="0" applyAlignment="1">
      <alignment horizontal="left"/>
    </xf>
    <xf numFmtId="0" fontId="109" fillId="0" borderId="0" applyAlignment="1">
      <alignment horizontal="left"/>
    </xf>
    <xf numFmtId="0" fontId="2" fillId="0" borderId="26" applyAlignment="1">
      <alignment horizontal="left" vertical="center"/>
    </xf>
    <xf numFmtId="0" fontId="2" fillId="0" borderId="26" applyAlignment="1">
      <alignment horizontal="left" vertical="center"/>
    </xf>
    <xf numFmtId="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0" fontId="110" fillId="0" borderId="28" applyAlignment="1">
      <alignment vertical="center"/>
    </xf>
    <xf numFmtId="0" fontId="111" fillId="0" borderId="28" applyAlignment="1">
      <alignment vertical="center"/>
    </xf>
    <xf numFmtId="0" fontId="112" fillId="0" borderId="28" applyAlignment="1">
      <alignment vertical="center"/>
    </xf>
    <xf numFmtId="0" fontId="110" fillId="0" borderId="28" applyAlignment="1">
      <alignment vertical="center"/>
    </xf>
    <xf numFmtId="0" fontId="111" fillId="0" borderId="28" applyAlignment="1">
      <alignment vertical="center"/>
    </xf>
    <xf numFmtId="0" fontId="111" fillId="0" borderId="28" applyAlignment="1">
      <alignment vertical="center"/>
    </xf>
    <xf numFmtId="170" fontId="113" fillId="0" borderId="29"/>
    <xf numFmtId="0" fontId="114" fillId="0" borderId="30" applyAlignment="1">
      <alignment vertical="center"/>
    </xf>
    <xf numFmtId="0" fontId="115" fillId="0" borderId="30" applyAlignment="1">
      <alignment vertical="center"/>
    </xf>
    <xf numFmtId="0" fontId="116" fillId="0" borderId="30" applyAlignment="1">
      <alignment vertical="center"/>
    </xf>
    <xf numFmtId="0" fontId="114" fillId="0" borderId="30" applyAlignment="1">
      <alignment vertical="center"/>
    </xf>
    <xf numFmtId="0" fontId="115" fillId="0" borderId="30" applyAlignment="1">
      <alignment vertical="center"/>
    </xf>
    <xf numFmtId="0" fontId="115" fillId="0" borderId="30" applyAlignment="1">
      <alignment vertical="center"/>
    </xf>
    <xf numFmtId="170" fontId="117" fillId="0" borderId="30"/>
    <xf numFmtId="170" fontId="118" fillId="0" borderId="31"/>
    <xf numFmtId="0" fontId="119" fillId="0" borderId="32" applyAlignment="1">
      <alignment vertical="center"/>
    </xf>
    <xf numFmtId="0" fontId="120" fillId="0" borderId="32" applyAlignment="1">
      <alignment vertical="center"/>
    </xf>
    <xf numFmtId="170" fontId="118" fillId="0" borderId="31"/>
    <xf numFmtId="170" fontId="118" fillId="0" borderId="31"/>
    <xf numFmtId="0" fontId="119" fillId="0" borderId="32" applyAlignment="1">
      <alignment vertical="center"/>
    </xf>
    <xf numFmtId="0" fontId="119" fillId="0" borderId="32" applyAlignment="1">
      <alignment vertical="center"/>
    </xf>
    <xf numFmtId="0" fontId="120" fillId="0" borderId="32" applyAlignment="1">
      <alignment vertical="center"/>
    </xf>
    <xf numFmtId="170" fontId="118" fillId="0" borderId="31"/>
    <xf numFmtId="170" fontId="118" fillId="0" borderId="31"/>
    <xf numFmtId="0" fontId="120" fillId="0" borderId="32" applyAlignment="1">
      <alignment vertical="center"/>
    </xf>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0" fontId="119" fillId="0" borderId="0" applyAlignment="1">
      <alignment vertical="center"/>
    </xf>
    <xf numFmtId="0" fontId="120" fillId="0" borderId="0" applyAlignment="1">
      <alignment vertical="center"/>
    </xf>
    <xf numFmtId="0" fontId="121" fillId="0" borderId="0" applyAlignment="1">
      <alignment vertical="center"/>
    </xf>
    <xf numFmtId="0" fontId="119" fillId="0" borderId="0" applyAlignment="1">
      <alignment vertical="center"/>
    </xf>
    <xf numFmtId="0" fontId="120" fillId="0" borderId="0" applyAlignment="1">
      <alignment vertical="center"/>
    </xf>
    <xf numFmtId="0" fontId="120" fillId="0" borderId="0" applyAlignment="1">
      <alignment vertical="center"/>
    </xf>
    <xf numFmtId="170" fontId="118" fillId="0" borderId="0"/>
    <xf numFmtId="203" fontId="6" fillId="0" borderId="0" applyProtection="1">
      <protection locked="0" hidden="0"/>
    </xf>
    <xf numFmtId="206" fontId="8" fillId="0" borderId="0" applyProtection="1">
      <protection locked="0" hidden="0"/>
    </xf>
    <xf numFmtId="203" fontId="6" fillId="0" borderId="0" applyProtection="1">
      <protection locked="0" hidden="0"/>
    </xf>
    <xf numFmtId="206" fontId="8" fillId="0" borderId="0" applyProtection="1">
      <protection locked="0" hidden="0"/>
    </xf>
    <xf numFmtId="207" fontId="8" fillId="0" borderId="0"/>
    <xf numFmtId="184" fontId="18" fillId="0" borderId="0"/>
    <xf numFmtId="170" fontId="8" fillId="0" borderId="0"/>
    <xf numFmtId="170" fontId="8" fillId="0" borderId="0"/>
    <xf numFmtId="170" fontId="8" fillId="0" borderId="0"/>
    <xf numFmtId="170" fontId="8" fillId="0" borderId="0"/>
    <xf numFmtId="170" fontId="8" fillId="0" borderId="0"/>
    <xf numFmtId="208" fontId="122" fillId="0" borderId="0"/>
    <xf numFmtId="170" fontId="123" fillId="0" borderId="33"/>
    <xf numFmtId="209" fontId="124" fillId="95" borderId="34" applyAlignment="1">
      <alignment horizontal="left" vertical="top" textRotation="90"/>
    </xf>
    <xf numFmtId="170" fontId="82" fillId="0" borderId="0"/>
    <xf numFmtId="170" fontId="8" fillId="0" borderId="0"/>
    <xf numFmtId="0" fontId="8" fillId="0" borderId="0"/>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70" fontId="127" fillId="81" borderId="23"/>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170" fontId="8" fillId="0" borderId="0"/>
    <xf numFmtId="0" fontId="8" fillId="0" borderId="0"/>
    <xf numFmtId="210" fontId="3" fillId="0" borderId="0"/>
    <xf numFmtId="170" fontId="8" fillId="0" borderId="0"/>
    <xf numFmtId="0" fontId="8" fillId="0" borderId="0"/>
    <xf numFmtId="165" fontId="1" fillId="0" borderId="0"/>
    <xf numFmtId="198" fontId="86" fillId="0" borderId="0"/>
    <xf numFmtId="165" fontId="1" fillId="0" borderId="0"/>
    <xf numFmtId="200" fontId="1" fillId="0" borderId="0"/>
    <xf numFmtId="198" fontId="86" fillId="0" borderId="0"/>
    <xf numFmtId="0" fontId="129" fillId="0" borderId="35" applyAlignment="1">
      <alignment vertical="center"/>
    </xf>
    <xf numFmtId="0" fontId="130" fillId="0" borderId="35" applyAlignment="1">
      <alignment vertical="center"/>
    </xf>
    <xf numFmtId="0" fontId="131" fillId="0" borderId="35" applyAlignment="1">
      <alignment vertical="center"/>
    </xf>
    <xf numFmtId="0" fontId="129" fillId="0" borderId="35" applyAlignment="1">
      <alignment vertical="center"/>
    </xf>
    <xf numFmtId="0" fontId="130" fillId="0" borderId="35" applyAlignment="1">
      <alignment vertical="center"/>
    </xf>
    <xf numFmtId="0" fontId="130" fillId="0" borderId="35" applyAlignment="1">
      <alignment vertical="center"/>
    </xf>
    <xf numFmtId="170" fontId="132" fillId="0" borderId="35"/>
    <xf numFmtId="170" fontId="3" fillId="0" borderId="0"/>
    <xf numFmtId="0" fontId="133" fillId="0" borderId="0" applyAlignment="1">
      <alignment horizontal="center"/>
    </xf>
    <xf numFmtId="169" fontId="1" fillId="0" borderId="0"/>
    <xf numFmtId="211" fontId="1" fillId="0" borderId="0"/>
    <xf numFmtId="38" fontId="27" fillId="0" borderId="0"/>
    <xf numFmtId="40" fontId="27" fillId="0" borderId="0"/>
    <xf numFmtId="38" fontId="3" fillId="0" borderId="0"/>
    <xf numFmtId="206" fontId="3" fillId="0" borderId="0"/>
    <xf numFmtId="40" fontId="3" fillId="0" borderId="0"/>
    <xf numFmtId="0" fontId="134" fillId="0" borderId="17"/>
    <xf numFmtId="0" fontId="134" fillId="0" borderId="17"/>
    <xf numFmtId="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212" fontId="1" fillId="0" borderId="0"/>
    <xf numFmtId="213" fontId="1" fillId="0" borderId="0"/>
    <xf numFmtId="170" fontId="6" fillId="0" borderId="0"/>
    <xf numFmtId="170" fontId="6" fillId="0" borderId="0"/>
    <xf numFmtId="0" fontId="135" fillId="1" borderId="0" applyAlignment="1">
      <alignment horizontal="center" vertical="center" textRotation="90"/>
    </xf>
    <xf numFmtId="170" fontId="3" fillId="0" borderId="0"/>
    <xf numFmtId="0" fontId="136" fillId="56" borderId="0" applyAlignment="1">
      <alignment vertical="center"/>
    </xf>
    <xf numFmtId="0" fontId="137" fillId="56" borderId="0" applyAlignment="1">
      <alignment vertical="center"/>
    </xf>
    <xf numFmtId="0" fontId="138" fillId="56" borderId="0" applyAlignment="1">
      <alignment vertical="center"/>
    </xf>
    <xf numFmtId="0" fontId="136" fillId="56" borderId="0" applyAlignment="1">
      <alignment vertical="center"/>
    </xf>
    <xf numFmtId="0" fontId="137" fillId="56" borderId="0" applyAlignment="1">
      <alignment vertical="center"/>
    </xf>
    <xf numFmtId="0" fontId="137" fillId="96" borderId="0" applyAlignment="1">
      <alignment vertical="center"/>
    </xf>
    <xf numFmtId="170" fontId="139" fillId="81" borderId="0"/>
    <xf numFmtId="37" fontId="18" fillId="0" borderId="0"/>
    <xf numFmtId="37" fontId="18" fillId="0" borderId="0"/>
    <xf numFmtId="170" fontId="140" fillId="0" borderId="0"/>
    <xf numFmtId="0" fontId="140" fillId="0" borderId="0"/>
    <xf numFmtId="0" fontId="8" fillId="0" borderId="0"/>
    <xf numFmtId="214" fontId="6" fillId="0" borderId="0"/>
    <xf numFmtId="0" fontId="8" fillId="0" borderId="0"/>
    <xf numFmtId="214" fontId="6" fillId="0" borderId="0"/>
    <xf numFmtId="0" fontId="8" fillId="0" borderId="0"/>
    <xf numFmtId="170" fontId="1" fillId="0" borderId="0"/>
    <xf numFmtId="0" fontId="1" fillId="0" borderId="0"/>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141"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1" fillId="0" borderId="0"/>
    <xf numFmtId="0" fontId="1" fillId="0" borderId="0"/>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44" fillId="87" borderId="37"/>
    <xf numFmtId="170" fontId="144" fillId="87" borderId="37"/>
    <xf numFmtId="170" fontId="144" fillId="87" borderId="37"/>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170" fontId="144" fillId="87" borderId="37"/>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170" fontId="144" fillId="87" borderId="37"/>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170" fontId="144" fillId="87" borderId="37"/>
    <xf numFmtId="0" fontId="143" fillId="85"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170"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170"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44" fillId="87" borderId="37"/>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 fillId="0" borderId="0"/>
    <xf numFmtId="215" fontId="1" fillId="0" borderId="0"/>
    <xf numFmtId="10" fontId="1" fillId="0" borderId="0"/>
    <xf numFmtId="9" fontId="27" fillId="0" borderId="16"/>
    <xf numFmtId="165" fontId="1" fillId="0" borderId="0"/>
    <xf numFmtId="198" fontId="86" fillId="0" borderId="0"/>
    <xf numFmtId="165" fontId="1" fillId="0" borderId="0"/>
    <xf numFmtId="200" fontId="1" fillId="0" borderId="0"/>
    <xf numFmtId="198" fontId="86" fillId="0" borderId="0"/>
    <xf numFmtId="170" fontId="8" fillId="0" borderId="0"/>
    <xf numFmtId="0" fontId="8" fillId="0" borderId="0"/>
    <xf numFmtId="170" fontId="8" fillId="0" borderId="0"/>
    <xf numFmtId="0" fontId="8" fillId="0" borderId="0"/>
    <xf numFmtId="170" fontId="8" fillId="0" borderId="0"/>
    <xf numFmtId="170" fontId="8" fillId="0" borderId="0"/>
    <xf numFmtId="170" fontId="147" fillId="97" borderId="38" applyAlignment="1">
      <alignment horizontal="left" vertical="center"/>
    </xf>
    <xf numFmtId="0" fontId="147" fillId="97" borderId="38" applyAlignment="1">
      <alignment horizontal="left" vertical="center"/>
    </xf>
    <xf numFmtId="4" fontId="148" fillId="98" borderId="39" applyAlignment="1">
      <alignment horizontal="left" vertical="center" indent="1"/>
    </xf>
    <xf numFmtId="4" fontId="97" fillId="99" borderId="40" applyAlignment="1">
      <alignment horizontal="right" vertical="center"/>
    </xf>
    <xf numFmtId="4" fontId="97" fillId="99" borderId="40" applyAlignment="1">
      <alignment horizontal="right" vertical="center"/>
    </xf>
    <xf numFmtId="4" fontId="149" fillId="100" borderId="39" applyAlignment="1">
      <alignment vertical="center"/>
    </xf>
    <xf numFmtId="4" fontId="97" fillId="101" borderId="40" applyAlignment="1">
      <alignment horizontal="left" vertical="center" indent="1"/>
    </xf>
    <xf numFmtId="0" fontId="97" fillId="102" borderId="40" applyAlignment="1">
      <alignment horizontal="left" vertical="top" indent="1"/>
    </xf>
    <xf numFmtId="0" fontId="97" fillId="102" borderId="40" applyAlignment="1">
      <alignment horizontal="left" vertical="top" indent="1"/>
    </xf>
    <xf numFmtId="170" fontId="15" fillId="0" borderId="0"/>
    <xf numFmtId="0" fontId="15" fillId="0" borderId="0"/>
    <xf numFmtId="170" fontId="150" fillId="0" borderId="0"/>
    <xf numFmtId="170" fontId="8" fillId="0" borderId="0"/>
    <xf numFmtId="0" fontId="134" fillId="0" borderId="0"/>
    <xf numFmtId="0" fontId="134" fillId="0" borderId="0"/>
    <xf numFmtId="49" fontId="97" fillId="0" borderId="0"/>
    <xf numFmtId="216" fontId="1" fillId="0" borderId="0"/>
    <xf numFmtId="217" fontId="1" fillId="0" borderId="0"/>
    <xf numFmtId="170" fontId="58" fillId="0" borderId="0"/>
    <xf numFmtId="0" fontId="58" fillId="0" borderId="0"/>
    <xf numFmtId="0" fontId="151" fillId="0" borderId="0" applyAlignment="1">
      <alignment vertical="center"/>
    </xf>
    <xf numFmtId="0" fontId="152" fillId="0" borderId="0" applyAlignment="1">
      <alignment vertical="center"/>
    </xf>
    <xf numFmtId="0" fontId="153" fillId="0" borderId="0" applyAlignment="1">
      <alignment vertical="center"/>
    </xf>
    <xf numFmtId="0" fontId="151" fillId="0" borderId="0" applyAlignment="1">
      <alignment vertical="center"/>
    </xf>
    <xf numFmtId="0" fontId="152" fillId="0" borderId="0" applyAlignment="1">
      <alignment vertical="center"/>
    </xf>
    <xf numFmtId="0" fontId="152" fillId="0" borderId="0"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203" fontId="6" fillId="0" borderId="42" applyProtection="1">
      <protection locked="0" hidden="0"/>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5"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69" fontId="1" fillId="0" borderId="0"/>
    <xf numFmtId="211" fontId="1" fillId="0" borderId="0"/>
    <xf numFmtId="37" fontId="108" fillId="96" borderId="0"/>
    <xf numFmtId="37" fontId="108" fillId="0" borderId="0"/>
    <xf numFmtId="3" fontId="157" fillId="0" borderId="33"/>
    <xf numFmtId="218" fontId="65" fillId="0" borderId="0"/>
    <xf numFmtId="170" fontId="60" fillId="0" borderId="0"/>
    <xf numFmtId="170" fontId="1" fillId="0" borderId="0"/>
    <xf numFmtId="0" fontId="158" fillId="0" borderId="0" applyAlignment="1">
      <alignment vertical="center"/>
    </xf>
    <xf numFmtId="0" fontId="159" fillId="0" borderId="0" applyAlignment="1">
      <alignment vertical="center"/>
    </xf>
    <xf numFmtId="0" fontId="160" fillId="0" borderId="0" applyAlignment="1">
      <alignment vertical="center"/>
    </xf>
    <xf numFmtId="0" fontId="158" fillId="0" borderId="0" applyAlignment="1">
      <alignment vertical="center"/>
    </xf>
    <xf numFmtId="0" fontId="159" fillId="0" borderId="0" applyAlignment="1">
      <alignment vertical="center"/>
    </xf>
    <xf numFmtId="0" fontId="159" fillId="0" borderId="0" applyAlignment="1">
      <alignment vertical="center"/>
    </xf>
    <xf numFmtId="170" fontId="161" fillId="0" borderId="0"/>
    <xf numFmtId="209" fontId="162" fillId="0" borderId="34" applyAlignment="1">
      <alignment horizontal="left" vertical="top"/>
    </xf>
    <xf numFmtId="209" fontId="163" fillId="95" borderId="34" applyAlignment="1">
      <alignment horizontal="left" vertical="top"/>
    </xf>
    <xf numFmtId="170" fontId="8" fillId="0" borderId="0"/>
    <xf numFmtId="0" fontId="8" fillId="0" borderId="0"/>
    <xf numFmtId="170" fontId="8" fillId="0" borderId="0"/>
    <xf numFmtId="170" fontId="8" fillId="0" borderId="0"/>
    <xf numFmtId="170" fontId="164" fillId="0" borderId="0" applyAlignment="1" applyProtection="1">
      <alignment vertical="top"/>
      <protection locked="0" hidden="0"/>
    </xf>
    <xf numFmtId="170" fontId="165" fillId="0" borderId="0"/>
    <xf numFmtId="0" fontId="8" fillId="0" borderId="0"/>
    <xf numFmtId="0" fontId="8" fillId="0" borderId="0"/>
    <xf numFmtId="170" fontId="3" fillId="0" borderId="0"/>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170" fontId="38" fillId="103" borderId="0" applyAlignment="1">
      <alignment vertical="center"/>
    </xf>
    <xf numFmtId="0" fontId="41" fillId="10" borderId="0" applyAlignment="1">
      <alignment vertical="center"/>
    </xf>
    <xf numFmtId="0" fontId="42" fillId="69" borderId="0" applyAlignment="1">
      <alignment vertical="center"/>
    </xf>
    <xf numFmtId="0" fontId="41" fillId="10" borderId="0" applyAlignment="1">
      <alignment vertical="center"/>
    </xf>
    <xf numFmtId="170" fontId="38" fillId="69" borderId="0" applyAlignment="1">
      <alignment vertical="center"/>
    </xf>
    <xf numFmtId="0" fontId="43"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170" fontId="38" fillId="65" borderId="0" applyAlignment="1">
      <alignment vertical="center"/>
    </xf>
    <xf numFmtId="0" fontId="41" fillId="14" borderId="0" applyAlignment="1">
      <alignment vertical="center"/>
    </xf>
    <xf numFmtId="0" fontId="42" fillId="74" borderId="0" applyAlignment="1">
      <alignment vertical="center"/>
    </xf>
    <xf numFmtId="0" fontId="41" fillId="14" borderId="0" applyAlignment="1">
      <alignment vertical="center"/>
    </xf>
    <xf numFmtId="170" fontId="38" fillId="74" borderId="0" applyAlignment="1">
      <alignment vertical="center"/>
    </xf>
    <xf numFmtId="0" fontId="43"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170" fontId="38" fillId="54" borderId="0" applyAlignment="1">
      <alignment vertical="center"/>
    </xf>
    <xf numFmtId="0" fontId="41" fillId="18" borderId="0" applyAlignment="1">
      <alignment vertical="center"/>
    </xf>
    <xf numFmtId="0" fontId="42" fillId="77" borderId="0" applyAlignment="1">
      <alignment vertical="center"/>
    </xf>
    <xf numFmtId="0" fontId="41" fillId="18" borderId="0" applyAlignment="1">
      <alignment vertical="center"/>
    </xf>
    <xf numFmtId="170" fontId="38" fillId="77" borderId="0" applyAlignment="1">
      <alignment vertical="center"/>
    </xf>
    <xf numFmtId="0" fontId="43"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170" fontId="38" fillId="104" borderId="0" applyAlignment="1">
      <alignment vertical="center"/>
    </xf>
    <xf numFmtId="0" fontId="41" fillId="22" borderId="0" applyAlignment="1">
      <alignment vertical="center"/>
    </xf>
    <xf numFmtId="0" fontId="42" fillId="59" borderId="0" applyAlignment="1">
      <alignment vertical="center"/>
    </xf>
    <xf numFmtId="0" fontId="41" fillId="22" borderId="0" applyAlignment="1">
      <alignment vertical="center"/>
    </xf>
    <xf numFmtId="170" fontId="38" fillId="59" borderId="0" applyAlignment="1">
      <alignment vertical="center"/>
    </xf>
    <xf numFmtId="0" fontId="43"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170" fontId="38" fillId="61" borderId="0" applyAlignment="1">
      <alignment vertical="center"/>
    </xf>
    <xf numFmtId="0" fontId="41" fillId="26" borderId="0" applyAlignment="1">
      <alignment vertical="center"/>
    </xf>
    <xf numFmtId="0" fontId="42" fillId="61" borderId="0" applyAlignment="1">
      <alignment vertical="center"/>
    </xf>
    <xf numFmtId="0" fontId="41" fillId="26" borderId="0" applyAlignment="1">
      <alignment vertical="center"/>
    </xf>
    <xf numFmtId="0" fontId="43"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170" fontId="38" fillId="74" borderId="0" applyAlignment="1">
      <alignment vertical="center"/>
    </xf>
    <xf numFmtId="0" fontId="41" fillId="30" borderId="0" applyAlignment="1">
      <alignment vertical="center"/>
    </xf>
    <xf numFmtId="0" fontId="42" fillId="65" borderId="0" applyAlignment="1">
      <alignment vertical="center"/>
    </xf>
    <xf numFmtId="0" fontId="41" fillId="30" borderId="0" applyAlignment="1">
      <alignment vertical="center"/>
    </xf>
    <xf numFmtId="170" fontId="38" fillId="65" borderId="0" applyAlignment="1">
      <alignment vertical="center"/>
    </xf>
    <xf numFmtId="0" fontId="43"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170" fontId="158" fillId="0" borderId="0" applyAlignment="1">
      <alignment vertical="center"/>
    </xf>
    <xf numFmtId="0" fontId="166" fillId="0" borderId="0" applyAlignment="1">
      <alignment vertical="center"/>
    </xf>
    <xf numFmtId="0" fontId="167" fillId="0" borderId="0" applyAlignment="1">
      <alignment vertical="center"/>
    </xf>
    <xf numFmtId="0" fontId="166" fillId="0" borderId="0" applyAlignment="1">
      <alignment vertical="center"/>
    </xf>
    <xf numFmtId="0" fontId="168"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0" fontId="171" fillId="8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0" fontId="169" fillId="7" borderId="6" applyAlignment="1">
      <alignment vertical="center"/>
    </xf>
    <xf numFmtId="0" fontId="171" fillId="85" borderId="23" applyAlignment="1">
      <alignment vertical="center"/>
    </xf>
    <xf numFmtId="0" fontId="169" fillId="7" borderId="6"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0" fontId="172"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70" fontId="8" fillId="0" borderId="0"/>
    <xf numFmtId="2" fontId="173" fillId="0" borderId="0"/>
    <xf numFmtId="170" fontId="8" fillId="0" borderId="0" applyProtection="1">
      <protection locked="0" hidden="0"/>
    </xf>
    <xf numFmtId="2" fontId="173" fillId="0" borderId="0"/>
    <xf numFmtId="0" fontId="8" fillId="0" borderId="0" applyProtection="1">
      <protection locked="0" hidden="0"/>
    </xf>
    <xf numFmtId="170" fontId="174" fillId="0" borderId="0"/>
    <xf numFmtId="170" fontId="175" fillId="0" borderId="0" applyProtection="1">
      <protection locked="0" hidden="0"/>
    </xf>
    <xf numFmtId="0" fontId="174" fillId="0" borderId="0"/>
    <xf numFmtId="0" fontId="175" fillId="0" borderId="0" applyProtection="1">
      <protection locked="0" hidden="0"/>
    </xf>
    <xf numFmtId="170" fontId="176" fillId="0" borderId="0"/>
    <xf numFmtId="170" fontId="175" fillId="0" borderId="0" applyProtection="1">
      <protection locked="0" hidden="0"/>
    </xf>
    <xf numFmtId="0" fontId="176" fillId="0" borderId="0"/>
    <xf numFmtId="0" fontId="175" fillId="0" borderId="0" applyProtection="1">
      <protection locked="0" hidden="0"/>
    </xf>
    <xf numFmtId="170" fontId="3" fillId="0" borderId="0"/>
    <xf numFmtId="170" fontId="3" fillId="0" borderId="0"/>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70" fontId="70" fillId="41" borderId="0" applyAlignment="1">
      <alignment vertical="center"/>
    </xf>
    <xf numFmtId="0" fontId="177" fillId="4" borderId="0" applyAlignment="1">
      <alignment vertical="center"/>
    </xf>
    <xf numFmtId="0" fontId="178" fillId="37" borderId="0" applyAlignment="1">
      <alignment vertical="center"/>
    </xf>
    <xf numFmtId="0" fontId="177" fillId="4" borderId="0" applyAlignment="1">
      <alignment vertical="center"/>
    </xf>
    <xf numFmtId="170" fontId="70" fillId="37" borderId="0" applyAlignment="1">
      <alignment vertical="center"/>
    </xf>
    <xf numFmtId="0" fontId="179"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70" fontId="173" fillId="0" borderId="0"/>
    <xf numFmtId="170" fontId="103" fillId="0" borderId="0" applyProtection="1">
      <protection locked="0" hidden="0"/>
    </xf>
    <xf numFmtId="0" fontId="173" fillId="0" borderId="0"/>
    <xf numFmtId="0" fontId="103" fillId="0" borderId="0" applyProtection="1">
      <protection locked="0" hidden="0"/>
    </xf>
    <xf numFmtId="170" fontId="173" fillId="0" borderId="0"/>
    <xf numFmtId="170" fontId="103" fillId="0" borderId="0" applyProtection="1">
      <protection locked="0" hidden="0"/>
    </xf>
    <xf numFmtId="0" fontId="173" fillId="0" borderId="0"/>
    <xf numFmtId="0" fontId="103" fillId="0" borderId="0" applyProtection="1">
      <protection locked="0" hidden="0"/>
    </xf>
    <xf numFmtId="0" fontId="19" fillId="0" borderId="0" applyAlignment="1" applyProtection="1">
      <alignment vertical="top"/>
      <protection locked="0" hidden="0"/>
    </xf>
    <xf numFmtId="170" fontId="19" fillId="0" borderId="0" applyAlignment="1" applyProtection="1">
      <alignment vertical="top"/>
      <protection locked="0" hidden="0"/>
    </xf>
    <xf numFmtId="0" fontId="19" fillId="0" borderId="0" applyAlignment="1" applyProtection="1">
      <alignment vertical="top"/>
      <protection locked="0" hidden="0"/>
    </xf>
    <xf numFmtId="0" fontId="180" fillId="0" borderId="0" applyAlignment="1" applyProtection="1">
      <alignment vertical="top"/>
      <protection locked="0" hidden="0"/>
    </xf>
    <xf numFmtId="0" fontId="19" fillId="0" borderId="0" applyAlignment="1" applyProtection="1">
      <alignment vertical="top"/>
      <protection locked="0" hidden="0"/>
    </xf>
    <xf numFmtId="40" fontId="181" fillId="0" borderId="0"/>
    <xf numFmtId="38" fontId="181" fillId="0" borderId="0"/>
    <xf numFmtId="170" fontId="1" fillId="0" borderId="0"/>
    <xf numFmtId="170" fontId="1" fillId="0" borderId="0"/>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15" fillId="49" borderId="36"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181" fillId="0" borderId="0"/>
    <xf numFmtId="170" fontId="181" fillId="0" borderId="0"/>
    <xf numFmtId="170" fontId="8" fillId="0" borderId="0"/>
    <xf numFmtId="170" fontId="8"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9" fontId="5" fillId="0" borderId="0"/>
    <xf numFmtId="9" fontId="35" fillId="0" borderId="0" applyAlignment="1">
      <alignment vertical="center"/>
    </xf>
    <xf numFmtId="9" fontId="31" fillId="0" borderId="0" applyAlignment="1">
      <alignment vertical="center"/>
    </xf>
    <xf numFmtId="9" fontId="31" fillId="0" borderId="0" applyAlignment="1">
      <alignment vertical="center"/>
    </xf>
    <xf numFmtId="9" fontId="4" fillId="0" borderId="0" applyAlignment="1">
      <alignment vertical="center"/>
    </xf>
    <xf numFmtId="9" fontId="35" fillId="0" borderId="0" applyAlignment="1">
      <alignment vertical="center"/>
    </xf>
    <xf numFmtId="9" fontId="5" fillId="0" borderId="0"/>
    <xf numFmtId="9" fontId="31" fillId="0" borderId="0" applyAlignment="1">
      <alignment vertical="center"/>
    </xf>
    <xf numFmtId="9" fontId="16" fillId="0" borderId="0"/>
    <xf numFmtId="9" fontId="6" fillId="0" borderId="0" applyAlignment="1">
      <alignment vertical="center"/>
    </xf>
    <xf numFmtId="9" fontId="31" fillId="0" borderId="0" applyAlignment="1">
      <alignment vertical="center"/>
    </xf>
    <xf numFmtId="9" fontId="16" fillId="0" borderId="0"/>
    <xf numFmtId="9" fontId="6" fillId="0" borderId="0"/>
    <xf numFmtId="9" fontId="182" fillId="0" borderId="0" applyAlignment="1">
      <alignment vertical="center"/>
    </xf>
    <xf numFmtId="9" fontId="35" fillId="0" borderId="0" applyAlignment="1">
      <alignment vertical="center"/>
    </xf>
    <xf numFmtId="9" fontId="35" fillId="0" borderId="0" applyAlignment="1">
      <alignment vertical="center"/>
    </xf>
    <xf numFmtId="9" fontId="6" fillId="0" borderId="0" applyAlignment="1">
      <alignment vertical="center"/>
    </xf>
    <xf numFmtId="9" fontId="183" fillId="0" borderId="0"/>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6" fillId="0" borderId="0" applyAlignment="1">
      <alignment vertical="center"/>
    </xf>
    <xf numFmtId="9" fontId="6" fillId="0" borderId="0" applyAlignment="1">
      <alignment vertical="center"/>
    </xf>
    <xf numFmtId="9" fontId="36" fillId="0"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70" fontId="185" fillId="56" borderId="0" applyAlignment="1">
      <alignment vertical="center"/>
    </xf>
    <xf numFmtId="0" fontId="184" fillId="5" borderId="0" applyAlignment="1">
      <alignment vertical="center"/>
    </xf>
    <xf numFmtId="0" fontId="186" fillId="56" borderId="0" applyAlignment="1">
      <alignment vertical="center"/>
    </xf>
    <xf numFmtId="0" fontId="184" fillId="5" borderId="0" applyAlignment="1">
      <alignment vertical="center"/>
    </xf>
    <xf numFmtId="170" fontId="136" fillId="56" borderId="0" applyAlignment="1">
      <alignment vertical="center"/>
    </xf>
    <xf numFmtId="0" fontId="187"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70" fontId="188" fillId="0" borderId="0"/>
    <xf numFmtId="199" fontId="189" fillId="0" borderId="0"/>
    <xf numFmtId="221" fontId="189" fillId="0" borderId="0"/>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170" fontId="100" fillId="0" borderId="0" applyAlignment="1">
      <alignment vertical="center"/>
    </xf>
    <xf numFmtId="0" fontId="190" fillId="0" borderId="0" applyAlignment="1">
      <alignment vertical="center"/>
    </xf>
    <xf numFmtId="0" fontId="191" fillId="0" borderId="0" applyAlignment="1">
      <alignment vertical="center"/>
    </xf>
    <xf numFmtId="0" fontId="190" fillId="0" borderId="0" applyAlignment="1">
      <alignment vertical="center"/>
    </xf>
    <xf numFmtId="0" fontId="192"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70" fontId="92" fillId="88" borderId="24" applyAlignment="1">
      <alignment vertical="center"/>
    </xf>
    <xf numFmtId="0" fontId="193" fillId="8" borderId="9" applyAlignment="1">
      <alignment vertical="center"/>
    </xf>
    <xf numFmtId="0" fontId="194" fillId="88" borderId="24" applyAlignment="1">
      <alignment vertical="center"/>
    </xf>
    <xf numFmtId="0" fontId="193" fillId="8" borderId="9" applyAlignment="1">
      <alignment vertical="center"/>
    </xf>
    <xf numFmtId="170" fontId="92" fillId="88" borderId="24" applyAlignment="1">
      <alignment vertical="center"/>
    </xf>
    <xf numFmtId="0" fontId="195"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70" fontId="6" fillId="0" borderId="0"/>
    <xf numFmtId="170" fontId="196" fillId="0" borderId="0" applyAlignment="1">
      <alignment vertical="center"/>
    </xf>
    <xf numFmtId="0" fontId="196" fillId="0" borderId="0" applyAlignment="1">
      <alignment vertical="center"/>
    </xf>
    <xf numFmtId="170" fontId="197" fillId="0" borderId="0" applyAlignment="1">
      <alignment vertical="center"/>
    </xf>
    <xf numFmtId="0" fontId="197"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6" fillId="0" borderId="0" applyAlignment="1">
      <alignment vertical="center"/>
    </xf>
    <xf numFmtId="169" fontId="16" fillId="0" borderId="0"/>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16" fillId="0" borderId="0"/>
    <xf numFmtId="169" fontId="6" fillId="0" borderId="0" applyAlignment="1">
      <alignment vertical="center"/>
    </xf>
    <xf numFmtId="169" fontId="16" fillId="0" borderId="0"/>
    <xf numFmtId="169" fontId="6" fillId="0" borderId="0" applyAlignment="1">
      <alignment vertical="center"/>
    </xf>
    <xf numFmtId="169" fontId="16" fillId="0" borderId="0"/>
    <xf numFmtId="169" fontId="6" fillId="0" borderId="0" applyAlignment="1">
      <alignment vertical="center"/>
    </xf>
    <xf numFmtId="169" fontId="16" fillId="0" borderId="0"/>
    <xf numFmtId="169" fontId="16" fillId="0" borderId="0"/>
    <xf numFmtId="169" fontId="35" fillId="0" borderId="0" applyAlignment="1">
      <alignment vertical="center"/>
    </xf>
    <xf numFmtId="169" fontId="6" fillId="0" borderId="0"/>
    <xf numFmtId="169" fontId="6" fillId="0" borderId="0"/>
    <xf numFmtId="169" fontId="6" fillId="0" borderId="0"/>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6" fillId="0" borderId="0"/>
    <xf numFmtId="169" fontId="31" fillId="0" borderId="0" applyAlignment="1">
      <alignment vertical="center"/>
    </xf>
    <xf numFmtId="169" fontId="6" fillId="0" borderId="0" applyAlignment="1">
      <alignment vertical="center"/>
    </xf>
    <xf numFmtId="169" fontId="6" fillId="0" borderId="0"/>
    <xf numFmtId="169" fontId="6" fillId="0" borderId="0" applyAlignment="1">
      <alignment vertical="center"/>
    </xf>
    <xf numFmtId="169" fontId="6" fillId="0" borderId="0" applyAlignment="1">
      <alignment vertical="center"/>
    </xf>
    <xf numFmtId="169" fontId="198" fillId="0" borderId="0" applyAlignment="1">
      <alignment vertical="center"/>
    </xf>
    <xf numFmtId="169" fontId="18" fillId="0" borderId="0" applyAlignment="1">
      <alignment vertical="center"/>
    </xf>
    <xf numFmtId="169" fontId="18" fillId="0" borderId="0" applyAlignment="1">
      <alignment vertical="center"/>
    </xf>
    <xf numFmtId="169" fontId="15" fillId="0" borderId="0"/>
    <xf numFmtId="169" fontId="183" fillId="0" borderId="0"/>
    <xf numFmtId="0" fontId="8" fillId="0" borderId="0"/>
    <xf numFmtId="170" fontId="1" fillId="0" borderId="0"/>
    <xf numFmtId="0" fontId="17" fillId="0" borderId="0"/>
    <xf numFmtId="222" fontId="8" fillId="0" borderId="0"/>
    <xf numFmtId="0" fontId="1" fillId="0" borderId="0"/>
    <xf numFmtId="0" fontId="17" fillId="0" borderId="0"/>
    <xf numFmtId="170" fontId="3" fillId="0" borderId="0"/>
    <xf numFmtId="170" fontId="3" fillId="0" borderId="0"/>
    <xf numFmtId="170" fontId="3" fillId="0" borderId="0"/>
    <xf numFmtId="223" fontId="8" fillId="0" borderId="0"/>
    <xf numFmtId="224" fontId="6" fillId="0" borderId="0"/>
    <xf numFmtId="170" fontId="3" fillId="0" borderId="0"/>
    <xf numFmtId="170" fontId="8" fillId="0" borderId="0"/>
    <xf numFmtId="170" fontId="8"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8" fillId="0" borderId="0"/>
    <xf numFmtId="170" fontId="3" fillId="0" borderId="0"/>
    <xf numFmtId="170" fontId="3" fillId="0" borderId="0"/>
    <xf numFmtId="170" fontId="3" fillId="0" borderId="0"/>
    <xf numFmtId="170" fontId="3" fillId="0" borderId="0"/>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70" fontId="158" fillId="0" borderId="44" applyAlignment="1">
      <alignment vertical="center"/>
    </xf>
    <xf numFmtId="0" fontId="199" fillId="0" borderId="8" applyAlignment="1">
      <alignment vertical="center"/>
    </xf>
    <xf numFmtId="0" fontId="200" fillId="0" borderId="35" applyAlignment="1">
      <alignment vertical="center"/>
    </xf>
    <xf numFmtId="0" fontId="199" fillId="0" borderId="8" applyAlignment="1">
      <alignment vertical="center"/>
    </xf>
    <xf numFmtId="170" fontId="129" fillId="0" borderId="35" applyAlignment="1">
      <alignment vertical="center"/>
    </xf>
    <xf numFmtId="0" fontId="201"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70" fontId="180" fillId="0" borderId="0" applyAlignment="1" applyProtection="1">
      <alignment vertical="top"/>
      <protection locked="0" hidden="0"/>
    </xf>
    <xf numFmtId="0" fontId="202" fillId="0" borderId="0" applyAlignment="1" applyProtection="1">
      <alignment vertical="top"/>
      <protection locked="0" hidden="0"/>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0" fontId="204" fillId="0" borderId="41"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0" fontId="203" fillId="0" borderId="11" applyAlignment="1">
      <alignment vertical="center"/>
    </xf>
    <xf numFmtId="0" fontId="204" fillId="0" borderId="41" applyAlignment="1">
      <alignment vertical="center"/>
    </xf>
    <xf numFmtId="0" fontId="203" fillId="0" borderId="1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0" fontId="205"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0" fontId="207" fillId="45"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0" fontId="206" fillId="6" borderId="6" applyAlignment="1">
      <alignment vertical="center"/>
    </xf>
    <xf numFmtId="0" fontId="207" fillId="45" borderId="23" applyAlignment="1">
      <alignment vertical="center"/>
    </xf>
    <xf numFmtId="0" fontId="206" fillId="6" borderId="6"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0" fontId="208"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4" fontId="173" fillId="0" borderId="0"/>
    <xf numFmtId="4" fontId="103" fillId="0" borderId="0" applyProtection="1">
      <protection locked="0" hidden="0"/>
    </xf>
    <xf numFmtId="4" fontId="173" fillId="0" borderId="0"/>
    <xf numFmtId="3" fontId="173" fillId="0" borderId="0"/>
    <xf numFmtId="170" fontId="8" fillId="0" borderId="0" applyProtection="1">
      <protection locked="0" hidden="0"/>
    </xf>
    <xf numFmtId="3" fontId="173" fillId="0" borderId="0"/>
    <xf numFmtId="0" fontId="8" fillId="0" borderId="0" applyProtection="1">
      <protection locked="0" hidden="0"/>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170" fontId="210" fillId="0" borderId="46" applyAlignment="1">
      <alignment vertical="center"/>
    </xf>
    <xf numFmtId="0" fontId="209" fillId="0" borderId="3" applyAlignment="1">
      <alignment vertical="center"/>
    </xf>
    <xf numFmtId="0" fontId="211" fillId="0" borderId="28" applyAlignment="1">
      <alignment vertical="center"/>
    </xf>
    <xf numFmtId="0" fontId="209" fillId="0" borderId="3" applyAlignment="1">
      <alignment vertical="center"/>
    </xf>
    <xf numFmtId="170" fontId="110" fillId="0" borderId="28" applyAlignment="1">
      <alignment vertical="center"/>
    </xf>
    <xf numFmtId="0" fontId="212"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170" fontId="215" fillId="0" borderId="47" applyAlignment="1">
      <alignment vertical="center"/>
    </xf>
    <xf numFmtId="0" fontId="214" fillId="0" borderId="4" applyAlignment="1">
      <alignment vertical="center"/>
    </xf>
    <xf numFmtId="0" fontId="216" fillId="0" borderId="30" applyAlignment="1">
      <alignment vertical="center"/>
    </xf>
    <xf numFmtId="0" fontId="214" fillId="0" borderId="4" applyAlignment="1">
      <alignment vertical="center"/>
    </xf>
    <xf numFmtId="170" fontId="114" fillId="0" borderId="30" applyAlignment="1">
      <alignment vertical="center"/>
    </xf>
    <xf numFmtId="0" fontId="217"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170" fontId="219" fillId="0" borderId="48" applyAlignment="1">
      <alignment vertical="center"/>
    </xf>
    <xf numFmtId="0" fontId="218" fillId="0" borderId="5"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0" fontId="220" fillId="0" borderId="32" applyAlignment="1">
      <alignment vertical="center"/>
    </xf>
    <xf numFmtId="0" fontId="218" fillId="0" borderId="5"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0" fontId="221"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170" fontId="219" fillId="0" borderId="0" applyAlignment="1">
      <alignment vertical="center"/>
    </xf>
    <xf numFmtId="0" fontId="218" fillId="0" borderId="0" applyAlignment="1">
      <alignment vertical="center"/>
    </xf>
    <xf numFmtId="0" fontId="220" fillId="0" borderId="0" applyAlignment="1">
      <alignment vertical="center"/>
    </xf>
    <xf numFmtId="0" fontId="218" fillId="0" borderId="0" applyAlignment="1">
      <alignment vertical="center"/>
    </xf>
    <xf numFmtId="170" fontId="119" fillId="0" borderId="0" applyAlignment="1">
      <alignment vertical="center"/>
    </xf>
    <xf numFmtId="0" fontId="221"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3" fillId="0" borderId="0" applyAlignment="1">
      <alignment vertical="center"/>
    </xf>
    <xf numFmtId="170" fontId="150" fillId="0" borderId="0" applyAlignment="1">
      <alignment vertical="center"/>
    </xf>
    <xf numFmtId="0" fontId="213" fillId="0" borderId="0" applyAlignment="1">
      <alignment vertical="center"/>
    </xf>
    <xf numFmtId="0" fontId="151" fillId="0" borderId="0" applyAlignment="1">
      <alignment vertical="center"/>
    </xf>
    <xf numFmtId="0" fontId="213" fillId="0" borderId="0" applyAlignment="1">
      <alignment vertical="center"/>
    </xf>
    <xf numFmtId="170" fontId="151" fillId="0" borderId="0" applyAlignment="1">
      <alignment vertical="center"/>
    </xf>
    <xf numFmtId="0" fontId="222"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70" fontId="104" fillId="43" borderId="0" applyAlignment="1">
      <alignment vertical="center"/>
    </xf>
    <xf numFmtId="0" fontId="223" fillId="3" borderId="0" applyAlignment="1">
      <alignment vertical="center"/>
    </xf>
    <xf numFmtId="0" fontId="224" fillId="39" borderId="0" applyAlignment="1">
      <alignment vertical="center"/>
    </xf>
    <xf numFmtId="0" fontId="223" fillId="3" borderId="0" applyAlignment="1">
      <alignment vertical="center"/>
    </xf>
    <xf numFmtId="170" fontId="104" fillId="39" borderId="0" applyAlignment="1">
      <alignment vertical="center"/>
    </xf>
    <xf numFmtId="0" fontId="223" fillId="3" borderId="0" applyAlignment="1">
      <alignment vertical="center"/>
    </xf>
    <xf numFmtId="0" fontId="225"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70" fontId="8" fillId="0" borderId="0"/>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0" fontId="227" fillId="8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0" fontId="226" fillId="7" borderId="7" applyAlignment="1">
      <alignment vertical="center"/>
    </xf>
    <xf numFmtId="0" fontId="227" fillId="85" borderId="37" applyAlignment="1">
      <alignment vertical="center"/>
    </xf>
    <xf numFmtId="0" fontId="226" fillId="7" borderId="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0" fontId="228"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170" fontId="6" fillId="0" borderId="0"/>
    <xf numFmtId="170" fontId="15" fillId="0" borderId="0"/>
    <xf numFmtId="0" fontId="15" fillId="0" borderId="0"/>
    <xf numFmtId="170" fontId="6"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5" fontId="16" fillId="0" borderId="0"/>
    <xf numFmtId="225" fontId="6" fillId="0" borderId="0" applyAlignment="1">
      <alignment vertical="center"/>
    </xf>
    <xf numFmtId="170" fontId="8" fillId="0" borderId="0"/>
    <xf numFmtId="0" fontId="8" fillId="0" borderId="0"/>
    <xf numFmtId="170" fontId="21" fillId="0" borderId="0"/>
    <xf numFmtId="10" fontId="173" fillId="0" borderId="0"/>
    <xf numFmtId="170" fontId="8" fillId="0" borderId="0" applyProtection="1">
      <protection locked="0" hidden="0"/>
    </xf>
    <xf numFmtId="10" fontId="173" fillId="0" borderId="0"/>
    <xf numFmtId="0" fontId="8"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42"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36" fillId="0" borderId="0" applyAlignment="1">
      <alignment vertical="center"/>
    </xf>
    <xf numFmtId="170" fontId="3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5" fillId="0" borderId="0" applyAlignment="1">
      <alignment vertical="center"/>
    </xf>
    <xf numFmtId="170" fontId="18" fillId="0" borderId="0"/>
    <xf numFmtId="170" fontId="35" fillId="0" borderId="0" applyAlignment="1">
      <alignment vertical="center"/>
    </xf>
    <xf numFmtId="0" fontId="18" fillId="0" borderId="0"/>
    <xf numFmtId="170" fontId="6" fillId="0" borderId="0" applyAlignment="1">
      <alignment vertical="center"/>
    </xf>
    <xf numFmtId="170" fontId="35" fillId="0" borderId="0" applyAlignment="1">
      <alignment vertical="center"/>
    </xf>
    <xf numFmtId="0" fontId="35" fillId="0" borderId="0" applyAlignment="1">
      <alignment vertical="center"/>
    </xf>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0" fontId="5" fillId="0" borderId="0"/>
    <xf numFmtId="170" fontId="6" fillId="0" borderId="0"/>
    <xf numFmtId="0" fontId="6" fillId="0" borderId="0"/>
    <xf numFmtId="170" fontId="18" fillId="0" borderId="0"/>
    <xf numFmtId="0" fontId="16"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170" fontId="18" fillId="0" borderId="0"/>
    <xf numFmtId="170" fontId="6" fillId="0" borderId="0"/>
    <xf numFmtId="0" fontId="6" fillId="0" borderId="0"/>
    <xf numFmtId="170" fontId="6" fillId="0" borderId="0"/>
    <xf numFmtId="0" fontId="6" fillId="0" borderId="0"/>
    <xf numFmtId="170" fontId="18" fillId="0" borderId="0"/>
    <xf numFmtId="0" fontId="18" fillId="0" borderId="0"/>
    <xf numFmtId="0" fontId="6" fillId="0" borderId="0"/>
    <xf numFmtId="170" fontId="18" fillId="0" borderId="0"/>
    <xf numFmtId="0" fontId="18" fillId="0" borderId="0"/>
    <xf numFmtId="0" fontId="18" fillId="0" borderId="0"/>
    <xf numFmtId="170" fontId="6" fillId="0" borderId="0"/>
    <xf numFmtId="0" fontId="6" fillId="0" borderId="0"/>
    <xf numFmtId="170" fontId="6" fillId="0" borderId="0"/>
    <xf numFmtId="0" fontId="6" fillId="0" borderId="0"/>
    <xf numFmtId="170" fontId="18" fillId="0" borderId="0"/>
    <xf numFmtId="0" fontId="4" fillId="0" borderId="0" applyAlignment="1">
      <alignment vertical="center"/>
    </xf>
    <xf numFmtId="0" fontId="6" fillId="0" borderId="0"/>
    <xf numFmtId="170" fontId="4" fillId="0" borderId="0" applyAlignment="1">
      <alignment vertical="center"/>
    </xf>
    <xf numFmtId="0" fontId="35" fillId="0" borderId="0" applyAlignment="1">
      <alignment vertical="center"/>
    </xf>
    <xf numFmtId="0" fontId="6" fillId="0" borderId="0"/>
    <xf numFmtId="170" fontId="18" fillId="0" borderId="0"/>
    <xf numFmtId="170" fontId="6" fillId="0" borderId="0"/>
    <xf numFmtId="0" fontId="6" fillId="0" borderId="0"/>
    <xf numFmtId="170" fontId="6" fillId="0" borderId="0"/>
    <xf numFmtId="0" fontId="6" fillId="0" borderId="0"/>
    <xf numFmtId="170" fontId="18" fillId="0" borderId="0"/>
    <xf numFmtId="0" fontId="18" fillId="0" borderId="0"/>
    <xf numFmtId="0" fontId="6" fillId="0" borderId="0"/>
    <xf numFmtId="170" fontId="18" fillId="0" borderId="0"/>
    <xf numFmtId="0" fontId="18" fillId="0" borderId="0"/>
    <xf numFmtId="170" fontId="6" fillId="0" borderId="0"/>
    <xf numFmtId="0" fontId="36" fillId="0" borderId="0" applyAlignment="1">
      <alignment vertical="center"/>
    </xf>
    <xf numFmtId="170" fontId="35" fillId="0" borderId="0" applyAlignment="1">
      <alignment vertical="center"/>
    </xf>
    <xf numFmtId="0" fontId="36" fillId="0" borderId="0" applyAlignment="1">
      <alignment vertical="center"/>
    </xf>
    <xf numFmtId="170"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5" fillId="0" borderId="0"/>
    <xf numFmtId="0"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170" fontId="6" fillId="0" borderId="0"/>
    <xf numFmtId="0" fontId="6" fillId="0" borderId="0"/>
    <xf numFmtId="0" fontId="229" fillId="0" borderId="0"/>
    <xf numFmtId="0" fontId="36" fillId="0" borderId="0" applyAlignment="1">
      <alignment vertical="center"/>
    </xf>
    <xf numFmtId="170" fontId="16" fillId="0" borderId="0"/>
    <xf numFmtId="170" fontId="6" fillId="0" borderId="0"/>
    <xf numFmtId="0" fontId="6" fillId="0" borderId="0"/>
    <xf numFmtId="170" fontId="6" fillId="0" borderId="0"/>
    <xf numFmtId="0" fontId="6" fillId="0" borderId="0"/>
    <xf numFmtId="170" fontId="6" fillId="0" borderId="0"/>
    <xf numFmtId="0" fontId="6" fillId="0" borderId="0"/>
    <xf numFmtId="170" fontId="6" fillId="0" borderId="0"/>
    <xf numFmtId="170" fontId="18" fillId="0" borderId="0"/>
    <xf numFmtId="170" fontId="6" fillId="0" borderId="0"/>
    <xf numFmtId="170" fontId="18" fillId="0" borderId="0"/>
    <xf numFmtId="0" fontId="18" fillId="0" borderId="0"/>
    <xf numFmtId="170" fontId="18" fillId="0" borderId="0"/>
    <xf numFmtId="0" fontId="18" fillId="0" borderId="0"/>
    <xf numFmtId="170" fontId="6" fillId="0" borderId="0"/>
    <xf numFmtId="0" fontId="6" fillId="0" borderId="0"/>
    <xf numFmtId="0" fontId="18" fillId="0" borderId="0"/>
    <xf numFmtId="170" fontId="6" fillId="0" borderId="0"/>
    <xf numFmtId="0" fontId="6" fillId="0" borderId="0"/>
    <xf numFmtId="0" fontId="6" fillId="0" borderId="0"/>
    <xf numFmtId="170" fontId="18" fillId="0" borderId="0"/>
    <xf numFmtId="0" fontId="18" fillId="0" borderId="0"/>
    <xf numFmtId="170" fontId="18" fillId="0" borderId="0"/>
    <xf numFmtId="0" fontId="18" fillId="0" borderId="0"/>
    <xf numFmtId="0" fontId="18" fillId="0" borderId="0"/>
    <xf numFmtId="170" fontId="6" fillId="0" borderId="0"/>
    <xf numFmtId="170" fontId="18" fillId="0" borderId="0"/>
    <xf numFmtId="0" fontId="18" fillId="0" borderId="0"/>
    <xf numFmtId="170" fontId="18" fillId="0" borderId="0"/>
    <xf numFmtId="0" fontId="18" fillId="0" borderId="0"/>
    <xf numFmtId="170" fontId="6" fillId="0" borderId="0"/>
    <xf numFmtId="0" fontId="6" fillId="0" borderId="0"/>
    <xf numFmtId="0" fontId="18" fillId="0" borderId="0"/>
    <xf numFmtId="170" fontId="35" fillId="0" borderId="0" applyAlignment="1">
      <alignment vertical="center"/>
    </xf>
    <xf numFmtId="0" fontId="229" fillId="0" borderId="0"/>
    <xf numFmtId="170" fontId="36"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pplyAlignment="1">
      <alignment vertical="center"/>
    </xf>
    <xf numFmtId="0" fontId="6" fillId="0" borderId="0"/>
    <xf numFmtId="170" fontId="18" fillId="0" borderId="0"/>
    <xf numFmtId="17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applyAlignment="1">
      <alignment vertical="center"/>
    </xf>
    <xf numFmtId="0" fontId="18"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7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applyAlignment="1">
      <alignment vertical="center"/>
    </xf>
    <xf numFmtId="0" fontId="18" fillId="0" borderId="0"/>
    <xf numFmtId="170" fontId="6" fillId="0" borderId="0" applyAlignment="1">
      <alignment vertical="center"/>
    </xf>
    <xf numFmtId="0" fontId="6" fillId="0" borderId="0" applyAlignment="1">
      <alignment vertical="center"/>
    </xf>
    <xf numFmtId="170" fontId="18" fillId="0" borderId="0"/>
    <xf numFmtId="0" fontId="4" fillId="0" borderId="0" applyAlignment="1">
      <alignment vertical="center"/>
    </xf>
    <xf numFmtId="170" fontId="35" fillId="0" borderId="0" applyAlignment="1">
      <alignment vertical="center"/>
    </xf>
    <xf numFmtId="0" fontId="36" fillId="0" borderId="0" applyAlignment="1">
      <alignment vertical="center"/>
    </xf>
    <xf numFmtId="170" fontId="4"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pplyAlignment="1">
      <alignment vertical="center"/>
    </xf>
    <xf numFmtId="0" fontId="6" fillId="0" borderId="0"/>
    <xf numFmtId="170" fontId="18" fillId="0" borderId="0"/>
    <xf numFmtId="170" fontId="35" fillId="0" borderId="0" applyAlignment="1">
      <alignment vertical="center"/>
    </xf>
    <xf numFmtId="0" fontId="18" fillId="0" borderId="0"/>
    <xf numFmtId="170" fontId="6" fillId="0" borderId="0"/>
    <xf numFmtId="0" fontId="6" fillId="0" borderId="0"/>
    <xf numFmtId="0" fontId="6" fillId="0" borderId="0"/>
    <xf numFmtId="0" fontId="6" fillId="0" borderId="0"/>
    <xf numFmtId="0" fontId="6" fillId="0" borderId="0"/>
    <xf numFmtId="0" fontId="35" fillId="0" borderId="0" applyAlignment="1">
      <alignment vertical="center"/>
    </xf>
    <xf numFmtId="0" fontId="229" fillId="0" borderId="0"/>
    <xf numFmtId="0" fontId="6" fillId="0" borderId="0" applyAlignment="1">
      <alignment vertical="center"/>
    </xf>
    <xf numFmtId="170" fontId="35" fillId="0" borderId="0" applyAlignment="1">
      <alignment vertical="center"/>
    </xf>
    <xf numFmtId="0" fontId="6" fillId="0" borderId="0"/>
    <xf numFmtId="0" fontId="34" fillId="0" borderId="0" applyAlignment="1">
      <alignment vertical="center"/>
    </xf>
    <xf numFmtId="0" fontId="6" fillId="0" borderId="0"/>
    <xf numFmtId="170" fontId="18" fillId="0" borderId="0"/>
    <xf numFmtId="170" fontId="35" fillId="0" borderId="0" applyAlignment="1">
      <alignment vertical="center"/>
    </xf>
    <xf numFmtId="0" fontId="18" fillId="0" borderId="0"/>
    <xf numFmtId="170" fontId="6" fillId="0" borderId="0"/>
    <xf numFmtId="0" fontId="6" fillId="0" borderId="0"/>
    <xf numFmtId="170" fontId="18" fillId="0" borderId="0"/>
    <xf numFmtId="0" fontId="6" fillId="0" borderId="0"/>
    <xf numFmtId="170" fontId="35" fillId="0" borderId="0" applyAlignment="1">
      <alignment vertical="center"/>
    </xf>
    <xf numFmtId="0" fontId="18" fillId="0" borderId="0"/>
    <xf numFmtId="170" fontId="18" fillId="0" borderId="0"/>
    <xf numFmtId="170" fontId="35" fillId="0" borderId="0" applyAlignment="1">
      <alignment vertical="center"/>
    </xf>
    <xf numFmtId="0" fontId="18" fillId="0" borderId="0"/>
    <xf numFmtId="170" fontId="18" fillId="0" borderId="0"/>
    <xf numFmtId="170" fontId="6" fillId="0" borderId="0" applyAlignment="1">
      <alignment vertical="center"/>
    </xf>
    <xf numFmtId="17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8" fillId="0" borderId="0"/>
    <xf numFmtId="0" fontId="18" fillId="0" borderId="0"/>
    <xf numFmtId="0" fontId="6" fillId="0" borderId="0" applyAlignment="1">
      <alignment vertical="center"/>
    </xf>
    <xf numFmtId="170" fontId="18" fillId="0" borderId="0"/>
    <xf numFmtId="0" fontId="18" fillId="0" borderId="0"/>
    <xf numFmtId="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35" fillId="0" borderId="0" applyAlignment="1">
      <alignment vertical="center"/>
    </xf>
    <xf numFmtId="0" fontId="6" fillId="0" borderId="0" applyAlignment="1">
      <alignment vertical="center"/>
    </xf>
    <xf numFmtId="17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8" fillId="0" borderId="0"/>
    <xf numFmtId="0" fontId="18" fillId="0" borderId="0"/>
    <xf numFmtId="170" fontId="35" fillId="0" borderId="0" applyAlignment="1">
      <alignment vertical="center"/>
    </xf>
    <xf numFmtId="0" fontId="6" fillId="0" borderId="0" applyAlignment="1">
      <alignment vertical="center"/>
    </xf>
    <xf numFmtId="170" fontId="31"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6" fillId="0" borderId="0"/>
    <xf numFmtId="170" fontId="6" fillId="0" borderId="0"/>
    <xf numFmtId="0" fontId="230"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70" fontId="231"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35"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170" fontId="18" fillId="0" borderId="0" applyAlignment="1">
      <alignment vertical="center"/>
    </xf>
    <xf numFmtId="0" fontId="6" fillId="0" borderId="0"/>
    <xf numFmtId="0" fontId="6" fillId="0" borderId="0" applyAlignment="1">
      <alignment vertical="center"/>
    </xf>
    <xf numFmtId="17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1"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170" fontId="16" fillId="0" borderId="0" applyAlignment="1">
      <alignment vertical="center"/>
    </xf>
    <xf numFmtId="0" fontId="182" fillId="0" borderId="0"/>
    <xf numFmtId="170" fontId="6" fillId="0" borderId="0" applyAlignment="1">
      <alignment vertical="center"/>
    </xf>
    <xf numFmtId="0" fontId="6" fillId="0" borderId="0"/>
    <xf numFmtId="0" fontId="6"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17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17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170" fontId="6" fillId="0" borderId="0" applyAlignment="1">
      <alignment vertical="center"/>
    </xf>
    <xf numFmtId="0" fontId="229" fillId="0" borderId="0"/>
    <xf numFmtId="0" fontId="198" fillId="0" borderId="0" applyAlignment="1">
      <alignment vertical="center"/>
    </xf>
    <xf numFmtId="17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170" fontId="35" fillId="0" borderId="0" applyAlignment="1">
      <alignment vertical="center"/>
    </xf>
    <xf numFmtId="0" fontId="35" fillId="0" borderId="0" applyAlignment="1">
      <alignment vertical="center"/>
    </xf>
    <xf numFmtId="0" fontId="232" fillId="0" borderId="0" applyAlignment="1">
      <alignment vertical="center"/>
    </xf>
    <xf numFmtId="0" fontId="35" fillId="0" borderId="0" applyAlignment="1">
      <alignment vertical="center"/>
    </xf>
    <xf numFmtId="0" fontId="6" fillId="0" borderId="0"/>
    <xf numFmtId="170" fontId="35" fillId="0" borderId="0" applyAlignment="1">
      <alignment vertical="center"/>
    </xf>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170" fontId="6" fillId="0" borderId="0" applyAlignment="1">
      <alignment vertical="center"/>
    </xf>
    <xf numFmtId="0" fontId="233" fillId="0" borderId="0" applyAlignment="1">
      <alignment vertical="center"/>
    </xf>
    <xf numFmtId="0" fontId="8"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97" fillId="34" borderId="0" applyAlignment="1">
      <alignment horizontal="center"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5" fillId="0" borderId="0" applyAlignment="1">
      <alignment vertical="center"/>
    </xf>
    <xf numFmtId="17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229" fillId="0" borderId="0"/>
    <xf numFmtId="0" fontId="183"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18" fillId="0" borderId="0"/>
    <xf numFmtId="0" fontId="18" fillId="0" borderId="0"/>
    <xf numFmtId="0" fontId="18" fillId="0" borderId="0"/>
    <xf numFmtId="170" fontId="234" fillId="0" borderId="0" applyAlignment="1">
      <alignment vertical="center"/>
    </xf>
    <xf numFmtId="170" fontId="16" fillId="0" borderId="0" applyAlignment="1">
      <alignment vertical="center"/>
    </xf>
    <xf numFmtId="170" fontId="6" fillId="0" borderId="0"/>
    <xf numFmtId="196" fontId="133" fillId="0" borderId="0"/>
    <xf numFmtId="197" fontId="133" fillId="0" borderId="0"/>
    <xf numFmtId="0" fontId="235" fillId="0" borderId="0" applyAlignment="1" applyProtection="1">
      <alignment vertical="top"/>
      <protection locked="0" hidden="0"/>
    </xf>
    <xf numFmtId="0" fontId="235" fillId="0" borderId="0" applyAlignment="1" applyProtection="1">
      <alignment vertical="top"/>
      <protection locked="0" hidden="0"/>
    </xf>
    <xf numFmtId="0" fontId="236" fillId="0" borderId="0" applyAlignment="1" applyProtection="1">
      <alignment vertical="top"/>
      <protection locked="0" hidden="0"/>
    </xf>
    <xf numFmtId="170" fontId="173" fillId="0" borderId="49"/>
    <xf numFmtId="170" fontId="103" fillId="0" borderId="49" applyProtection="1">
      <protection locked="0" hidden="0"/>
    </xf>
    <xf numFmtId="0" fontId="173" fillId="0" borderId="49"/>
    <xf numFmtId="0" fontId="103" fillId="0" borderId="49" applyProtection="1">
      <protection locked="0" hidden="0"/>
    </xf>
    <xf numFmtId="226" fontId="6" fillId="0" borderId="0"/>
    <xf numFmtId="170" fontId="8" fillId="0" borderId="0" applyProtection="1">
      <protection locked="0" hidden="0"/>
    </xf>
    <xf numFmtId="226" fontId="6" fillId="0" borderId="0"/>
    <xf numFmtId="0" fontId="8" fillId="0" borderId="0" applyProtection="1">
      <protection locked="0" hidden="0"/>
    </xf>
    <xf numFmtId="227" fontId="173" fillId="0" borderId="0"/>
    <xf numFmtId="170" fontId="8" fillId="0" borderId="0" applyProtection="1">
      <protection locked="0" hidden="0"/>
    </xf>
    <xf numFmtId="227" fontId="173" fillId="0" borderId="0"/>
    <xf numFmtId="0" fontId="8" fillId="0" borderId="0" applyProtection="1">
      <protection locked="0" hidden="0"/>
    </xf>
    <xf numFmtId="169" fontId="6" fillId="0" borderId="0"/>
    <xf numFmtId="211" fontId="6"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0" fontId="238" fillId="0" borderId="50" applyAlignment="1">
      <alignment horizontal="right" vertical="center"/>
    </xf>
    <xf numFmtId="0" fontId="238" fillId="0" borderId="50" applyAlignment="1">
      <alignment horizontal="right" vertical="center"/>
    </xf>
    <xf numFmtId="196" fontId="165" fillId="0" borderId="0"/>
    <xf numFmtId="197" fontId="165" fillId="0" borderId="0"/>
    <xf numFmtId="170" fontId="6" fillId="0" borderId="0"/>
    <xf numFmtId="10" fontId="239" fillId="0" borderId="0"/>
    <xf numFmtId="0" fontId="12" fillId="0" borderId="0"/>
    <xf numFmtId="38" fontId="240" fillId="0" borderId="0"/>
    <xf numFmtId="195" fontId="241" fillId="0" borderId="0"/>
    <xf numFmtId="170" fontId="14" fillId="0" borderId="0"/>
    <xf numFmtId="9" fontId="133" fillId="0" borderId="0"/>
    <xf numFmtId="0" fontId="19" fillId="0" borderId="0" applyAlignment="1" applyProtection="1">
      <alignment vertical="top"/>
      <protection locked="0" hidden="0"/>
    </xf>
    <xf numFmtId="170" fontId="242" fillId="0" borderId="0" applyAlignment="1" applyProtection="1">
      <alignment vertical="top"/>
      <protection locked="0" hidden="0"/>
    </xf>
    <xf numFmtId="225" fontId="6" fillId="0" borderId="0"/>
    <xf numFmtId="187" fontId="6" fillId="0" borderId="0"/>
    <xf numFmtId="228" fontId="243" fillId="0" borderId="0"/>
    <xf numFmtId="229" fontId="243" fillId="0" borderId="0"/>
    <xf numFmtId="170" fontId="239" fillId="0" borderId="0"/>
    <xf numFmtId="188" fontId="241" fillId="0" borderId="0"/>
    <xf numFmtId="170" fontId="14" fillId="0" borderId="0"/>
    <xf numFmtId="192" fontId="165" fillId="0" borderId="0"/>
    <xf numFmtId="184" fontId="165" fillId="0" borderId="0"/>
    <xf numFmtId="9" fontId="4" fillId="0" borderId="0"/>
    <xf numFmtId="0" fontId="264" fillId="0" borderId="0"/>
    <xf numFmtId="0" fontId="1" fillId="0" borderId="0"/>
    <xf numFmtId="43" fontId="1" fillId="0" borderId="0"/>
    <xf numFmtId="9" fontId="1" fillId="0" borderId="0"/>
    <xf numFmtId="230" fontId="265" fillId="0" borderId="0"/>
    <xf numFmtId="0" fontId="266" fillId="0" borderId="0"/>
    <xf numFmtId="231" fontId="265" fillId="0" borderId="0"/>
    <xf numFmtId="40" fontId="266" fillId="0" borderId="0"/>
    <xf numFmtId="38" fontId="266" fillId="0" borderId="0"/>
    <xf numFmtId="169" fontId="267" fillId="0" borderId="0"/>
    <xf numFmtId="9" fontId="268" fillId="0" borderId="0"/>
    <xf numFmtId="0" fontId="269" fillId="0" borderId="0"/>
    <xf numFmtId="0" fontId="270" fillId="0" borderId="0"/>
    <xf numFmtId="3" fontId="1" fillId="0" borderId="0"/>
    <xf numFmtId="232" fontId="265" fillId="0" borderId="0"/>
    <xf numFmtId="0" fontId="271" fillId="0" borderId="0"/>
    <xf numFmtId="0" fontId="271" fillId="0" borderId="0"/>
    <xf numFmtId="0" fontId="21" fillId="0" borderId="0" applyAlignment="1">
      <alignment vertical="center"/>
    </xf>
    <xf numFmtId="9" fontId="272" fillId="0" borderId="0"/>
    <xf numFmtId="233" fontId="273" fillId="0" borderId="0"/>
    <xf numFmtId="234" fontId="273" fillId="0" borderId="0"/>
    <xf numFmtId="0" fontId="274" fillId="0" borderId="0"/>
    <xf numFmtId="0" fontId="3" fillId="0" borderId="0"/>
    <xf numFmtId="169" fontId="275" fillId="0" borderId="0"/>
    <xf numFmtId="211" fontId="275" fillId="0" borderId="0"/>
    <xf numFmtId="0" fontId="276" fillId="0" borderId="0"/>
    <xf numFmtId="235" fontId="275" fillId="0" borderId="0"/>
    <xf numFmtId="236" fontId="237" fillId="0" borderId="0"/>
    <xf numFmtId="237" fontId="275" fillId="0" borderId="0"/>
    <xf numFmtId="0" fontId="277" fillId="0" borderId="0"/>
    <xf numFmtId="0" fontId="279" fillId="0" borderId="0"/>
    <xf numFmtId="0" fontId="5" fillId="0" borderId="0"/>
    <xf numFmtId="9" fontId="6" fillId="0" borderId="0" applyAlignment="1">
      <alignment vertical="center"/>
    </xf>
    <xf numFmtId="0" fontId="6" fillId="0" borderId="0" applyAlignment="1">
      <alignment vertical="center"/>
    </xf>
    <xf numFmtId="0" fontId="4" fillId="0" borderId="0"/>
  </cellStyleXfs>
  <cellXfs count="374">
    <xf numFmtId="0" fontId="0" fillId="0" borderId="0" pivotButton="0" quotePrefix="0" xfId="0"/>
    <xf numFmtId="0" fontId="21" fillId="0" borderId="2" applyAlignment="1" pivotButton="0" quotePrefix="0" xfId="0">
      <alignment vertical="top" wrapText="1"/>
    </xf>
    <xf numFmtId="0" fontId="244" fillId="0"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2" applyAlignment="1" pivotButton="0" quotePrefix="0" xfId="0">
      <alignment horizontal="center" vertical="center"/>
    </xf>
    <xf numFmtId="0" fontId="21" fillId="0" borderId="2" applyAlignment="1" pivotButton="0" quotePrefix="0" xfId="0">
      <alignment horizontal="center" vertical="center"/>
    </xf>
    <xf numFmtId="0" fontId="21" fillId="0" borderId="2" applyAlignment="1" pivotButton="0" quotePrefix="0" xfId="0">
      <alignment vertical="center" wrapText="1"/>
    </xf>
    <xf numFmtId="0" fontId="249" fillId="106" borderId="2" applyAlignment="1" pivotButton="0" quotePrefix="0" xfId="0">
      <alignment horizontal="center" vertical="center" wrapText="1"/>
    </xf>
    <xf numFmtId="9" fontId="249" fillId="106" borderId="2" applyAlignment="1" pivotButton="0" quotePrefix="0" xfId="51045">
      <alignment horizontal="center" vertical="center" wrapText="1"/>
    </xf>
    <xf numFmtId="0" fontId="247" fillId="0" borderId="2" applyAlignment="1" pivotButton="0" quotePrefix="0" xfId="0">
      <alignment horizontal="center" vertical="center" wrapText="1"/>
    </xf>
    <xf numFmtId="0" fontId="21" fillId="0" borderId="2" applyAlignment="1" pivotButton="0" quotePrefix="0" xfId="0">
      <alignment vertical="center" wrapText="1"/>
    </xf>
    <xf numFmtId="0" fontId="246" fillId="0" borderId="2" applyAlignment="1" pivotButton="0" quotePrefix="0" xfId="0">
      <alignment vertical="center" wrapText="1"/>
    </xf>
    <xf numFmtId="0" fontId="21" fillId="0" borderId="2" applyAlignment="1" pivotButton="0" quotePrefix="0" xfId="2">
      <alignment vertical="center" wrapText="1"/>
    </xf>
    <xf numFmtId="0" fontId="247" fillId="0" borderId="0" applyAlignment="1" pivotButton="0" quotePrefix="0" xfId="0">
      <alignment horizontal="center" vertical="center" wrapText="1"/>
    </xf>
    <xf numFmtId="0" fontId="21" fillId="0" borderId="0" applyAlignment="1" pivotButton="0" quotePrefix="0" xfId="0">
      <alignment vertical="center"/>
    </xf>
    <xf numFmtId="0" fontId="246"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vertical="center" wrapText="1"/>
    </xf>
    <xf numFmtId="0" fontId="21" fillId="0" borderId="2" applyAlignment="1" pivotButton="0" quotePrefix="0" xfId="0">
      <alignment vertical="center" wrapText="1"/>
    </xf>
    <xf numFmtId="0" fontId="246" fillId="0" borderId="2" applyAlignment="1" pivotButton="0" quotePrefix="0" xfId="0">
      <alignment vertical="center" wrapText="1"/>
    </xf>
    <xf numFmtId="0" fontId="21" fillId="0" borderId="0" applyAlignment="1" pivotButton="0" quotePrefix="0" xfId="0">
      <alignment vertical="center"/>
    </xf>
    <xf numFmtId="0" fontId="247" fillId="2" borderId="2" applyAlignment="1" pivotButton="0" quotePrefix="0" xfId="0">
      <alignment vertical="center" wrapText="1"/>
    </xf>
    <xf numFmtId="0" fontId="248" fillId="0" borderId="0" applyAlignment="1" pivotButton="0" quotePrefix="0" xfId="0">
      <alignment vertical="center"/>
    </xf>
    <xf numFmtId="0" fontId="21" fillId="0" borderId="2" applyAlignment="1" pivotButton="0" quotePrefix="0" xfId="0">
      <alignment vertical="center"/>
    </xf>
    <xf numFmtId="0" fontId="251" fillId="0" borderId="2" applyAlignment="1" pivotButton="0" quotePrefix="0" xfId="0">
      <alignment vertical="center"/>
    </xf>
    <xf numFmtId="0" fontId="21" fillId="0" borderId="0" applyAlignment="1" pivotButton="0" quotePrefix="0" xfId="0">
      <alignment vertical="center"/>
    </xf>
    <xf numFmtId="0" fontId="244" fillId="0" borderId="2" applyAlignment="1" pivotButton="0" quotePrefix="0" xfId="0">
      <alignment horizontal="left" vertical="center"/>
    </xf>
    <xf numFmtId="0" fontId="21" fillId="0" borderId="2" applyAlignment="1" pivotButton="0" quotePrefix="0" xfId="0">
      <alignment vertical="center"/>
    </xf>
    <xf numFmtId="0" fontId="248" fillId="0" borderId="2" applyAlignment="1" pivotButton="0" quotePrefix="0" xfId="0">
      <alignment vertical="center"/>
    </xf>
    <xf numFmtId="0" fontId="244" fillId="0" borderId="2" applyAlignment="1" pivotButton="0" quotePrefix="0" xfId="0">
      <alignment vertical="center"/>
    </xf>
    <xf numFmtId="0" fontId="252" fillId="0" borderId="2" applyAlignment="1" pivotButton="0" quotePrefix="0" xfId="0">
      <alignment horizontal="center" vertical="center" wrapText="1"/>
    </xf>
    <xf numFmtId="0" fontId="252" fillId="0" borderId="2" applyAlignment="1" pivotButton="0" quotePrefix="1" xfId="0">
      <alignment horizontal="center" vertical="center" wrapText="1"/>
    </xf>
    <xf numFmtId="0" fontId="21" fillId="106" borderId="1" applyAlignment="1" pivotButton="0" quotePrefix="0" xfId="0">
      <alignment horizontal="center" vertical="center" wrapText="1"/>
    </xf>
    <xf numFmtId="0" fontId="21" fillId="106" borderId="1" applyAlignment="1" pivotButton="0" quotePrefix="0" xfId="0">
      <alignment horizontal="center" vertical="center"/>
    </xf>
    <xf numFmtId="0" fontId="246" fillId="106" borderId="1" applyAlignment="1" pivotButton="0" quotePrefix="0" xfId="0">
      <alignment horizontal="center" vertical="center"/>
    </xf>
    <xf numFmtId="0" fontId="247" fillId="106" borderId="1" applyAlignment="1" pivotButton="0" quotePrefix="0" xfId="0">
      <alignment horizontal="center" vertical="center" wrapText="1"/>
    </xf>
    <xf numFmtId="0" fontId="21" fillId="106" borderId="1" applyAlignment="1" pivotButton="0" quotePrefix="0" xfId="0">
      <alignment horizontal="left" vertical="center" wrapText="1"/>
    </xf>
    <xf numFmtId="0" fontId="21" fillId="106" borderId="1" applyAlignment="1" pivotButton="0" quotePrefix="0" xfId="0">
      <alignment horizontal="left" vertical="center"/>
    </xf>
    <xf numFmtId="0" fontId="246" fillId="106" borderId="1" applyAlignment="1" pivotButton="0" quotePrefix="0" xfId="0">
      <alignment horizontal="left" vertical="center"/>
    </xf>
    <xf numFmtId="0" fontId="244" fillId="106" borderId="1" applyAlignment="1" pivotButton="0" quotePrefix="0" xfId="0">
      <alignment horizontal="left" vertical="center" wrapText="1"/>
    </xf>
    <xf numFmtId="0" fontId="244" fillId="106" borderId="1" applyAlignment="1" pivotButton="0" quotePrefix="0" xfId="0">
      <alignment vertical="center"/>
    </xf>
    <xf numFmtId="0" fontId="250" fillId="34" borderId="2" applyAlignment="1" pivotButton="0" quotePrefix="0" xfId="0">
      <alignment horizontal="center" vertical="center" wrapText="1"/>
    </xf>
    <xf numFmtId="0" fontId="257" fillId="0" borderId="2" applyAlignment="1" pivotButton="0" quotePrefix="0" xfId="0">
      <alignment horizontal="center" vertical="center"/>
    </xf>
    <xf numFmtId="0" fontId="21" fillId="0" borderId="58" applyAlignment="1" pivotButton="0" quotePrefix="0" xfId="0">
      <alignment vertical="center"/>
    </xf>
    <xf numFmtId="0" fontId="246" fillId="0" borderId="58" applyAlignment="1" pivotButton="0" quotePrefix="0" xfId="0">
      <alignment vertical="center"/>
    </xf>
    <xf numFmtId="0" fontId="21" fillId="0" borderId="59" applyAlignment="1" pivotButton="0" quotePrefix="0" xfId="0">
      <alignment vertical="center"/>
    </xf>
    <xf numFmtId="0" fontId="246" fillId="0" borderId="59" applyAlignment="1" pivotButton="0" quotePrefix="0" xfId="0">
      <alignment vertical="center"/>
    </xf>
    <xf numFmtId="0" fontId="21" fillId="0" borderId="60" applyAlignment="1" pivotButton="0" quotePrefix="0" xfId="0">
      <alignment vertical="center"/>
    </xf>
    <xf numFmtId="0" fontId="246" fillId="0" borderId="60" applyAlignment="1" pivotButton="0" quotePrefix="0" xfId="0">
      <alignment vertical="center"/>
    </xf>
    <xf numFmtId="0" fontId="21" fillId="0"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52" applyAlignment="1" pivotButton="0" quotePrefix="0" xfId="0">
      <alignment horizontal="center" vertical="center" wrapText="1"/>
    </xf>
    <xf numFmtId="0" fontId="246" fillId="0" borderId="2" applyAlignment="1" pivotButton="0" quotePrefix="1" xfId="0">
      <alignment vertical="center" wrapText="1"/>
    </xf>
    <xf numFmtId="0" fontId="255" fillId="0" borderId="2" applyAlignment="1" pivotButton="0" quotePrefix="0" xfId="0">
      <alignment vertical="center" wrapText="1"/>
    </xf>
    <xf numFmtId="0" fontId="263" fillId="34" borderId="15" applyAlignment="1" pivotButton="0" quotePrefix="0" xfId="0">
      <alignment horizontal="center" vertical="center" wrapText="1"/>
    </xf>
    <xf numFmtId="0" fontId="263" fillId="34" borderId="55" applyAlignment="1" pivotButton="0" quotePrefix="0" xfId="0">
      <alignment horizontal="center" vertical="center" wrapText="1"/>
    </xf>
    <xf numFmtId="0" fontId="250" fillId="106" borderId="2" applyAlignment="1" pivotButton="0" quotePrefix="0" xfId="0">
      <alignment horizontal="center" vertical="center" wrapText="1"/>
    </xf>
    <xf numFmtId="0" fontId="244" fillId="106" borderId="2" applyAlignment="1" pivotButton="0" quotePrefix="0" xfId="0">
      <alignment horizontal="left" vertical="center"/>
    </xf>
    <xf numFmtId="0" fontId="244" fillId="0" borderId="2" applyAlignment="1" pivotButton="0" quotePrefix="0" xfId="0">
      <alignment horizontal="center" vertical="center"/>
    </xf>
    <xf numFmtId="0" fontId="250" fillId="106" borderId="52" applyAlignment="1" pivotButton="0" quotePrefix="0" xfId="0">
      <alignment horizontal="center" vertical="center" wrapText="1"/>
    </xf>
    <xf numFmtId="0" fontId="247" fillId="0" borderId="2" applyAlignment="1" pivotButton="0" quotePrefix="0" xfId="0">
      <alignment horizontal="center" vertical="center" wrapText="1"/>
    </xf>
    <xf numFmtId="9" fontId="21" fillId="0" borderId="2" applyAlignment="1" pivotButton="0" quotePrefix="0" xfId="0">
      <alignment vertical="center"/>
    </xf>
    <xf numFmtId="0" fontId="247" fillId="0" borderId="2" applyAlignment="1" pivotButton="0" quotePrefix="0" xfId="0">
      <alignment horizontal="center" vertical="center" wrapText="1"/>
    </xf>
    <xf numFmtId="0" fontId="21" fillId="0" borderId="2" applyAlignment="1" pivotButton="0" quotePrefix="0" xfId="0">
      <alignment horizontal="center" vertical="top"/>
    </xf>
    <xf numFmtId="0" fontId="247" fillId="0" borderId="1" applyAlignment="1" pivotButton="0" quotePrefix="0" xfId="0">
      <alignment horizontal="center" vertical="center" wrapText="1"/>
    </xf>
    <xf numFmtId="0" fontId="244" fillId="0" borderId="1" applyAlignment="1" pivotButton="0" quotePrefix="0" xfId="0">
      <alignment horizontal="center" vertical="center"/>
    </xf>
    <xf numFmtId="0" fontId="251" fillId="0" borderId="2" applyAlignment="1" pivotButton="0" quotePrefix="0" xfId="0">
      <alignment horizontal="center" vertical="center"/>
    </xf>
    <xf numFmtId="0" fontId="244" fillId="106" borderId="2" applyAlignment="1" pivotButton="0" quotePrefix="0" xfId="0">
      <alignment horizontal="left" vertical="center"/>
    </xf>
    <xf numFmtId="0" fontId="255" fillId="0" borderId="2" applyAlignment="1" pivotButton="0" quotePrefix="0" xfId="0">
      <alignment horizontal="center" vertical="center"/>
    </xf>
    <xf numFmtId="0" fontId="244" fillId="106" borderId="12" applyAlignment="1" pivotButton="0" quotePrefix="0" xfId="0">
      <alignment horizontal="center" vertical="center"/>
    </xf>
    <xf numFmtId="0" fontId="244" fillId="106" borderId="71" applyAlignment="1" pivotButton="0" quotePrefix="0" xfId="0">
      <alignment horizontal="center" vertical="center"/>
    </xf>
    <xf numFmtId="14" fontId="252" fillId="0" borderId="2" applyAlignment="1" pivotButton="0" quotePrefix="0" xfId="0">
      <alignment horizontal="center" vertical="center" wrapText="1"/>
    </xf>
    <xf numFmtId="0" fontId="264" fillId="0" borderId="2" applyAlignment="1" pivotButton="0" quotePrefix="0" xfId="51046">
      <alignment horizontal="center" vertical="center"/>
    </xf>
    <xf numFmtId="0" fontId="255" fillId="0" borderId="2" applyAlignment="1" pivotButton="0" quotePrefix="0" xfId="0">
      <alignment horizontal="left" vertical="center"/>
    </xf>
    <xf numFmtId="0" fontId="251" fillId="0" borderId="2" applyAlignment="1" pivotButton="0" quotePrefix="0" xfId="0">
      <alignment horizontal="left" vertical="center"/>
    </xf>
    <xf numFmtId="0" fontId="21" fillId="0" borderId="0" applyAlignment="1" pivotButton="0" quotePrefix="0" xfId="0">
      <alignment horizontal="left" vertical="center"/>
    </xf>
    <xf numFmtId="0" fontId="21" fillId="0" borderId="2" applyAlignment="1" pivotButton="0" quotePrefix="0" xfId="0">
      <alignment horizontal="left" vertical="center" wrapText="1"/>
    </xf>
    <xf numFmtId="0" fontId="21" fillId="0" borderId="2" applyAlignment="1" pivotButton="0" quotePrefix="1" xfId="0">
      <alignment horizontal="left" vertical="center" wrapText="1"/>
    </xf>
    <xf numFmtId="0" fontId="244" fillId="106" borderId="1" applyAlignment="1" pivotButton="0" quotePrefix="0" xfId="0">
      <alignment horizontal="left" vertical="center"/>
    </xf>
    <xf numFmtId="0" fontId="21" fillId="0" borderId="2" applyAlignment="1" pivotButton="0" quotePrefix="0" xfId="0">
      <alignment horizontal="left" vertical="center" wrapText="1"/>
    </xf>
    <xf numFmtId="0" fontId="21" fillId="0" borderId="52" applyAlignment="1" pivotButton="0" quotePrefix="0" xfId="0">
      <alignment horizontal="left" vertical="center" wrapText="1"/>
    </xf>
    <xf numFmtId="0" fontId="244" fillId="0" borderId="2" applyAlignment="1" pivotButton="0" quotePrefix="0" xfId="0">
      <alignment horizontal="left" vertical="center"/>
    </xf>
    <xf numFmtId="0" fontId="21" fillId="0" borderId="58" applyAlignment="1" pivotButton="0" quotePrefix="0" xfId="0">
      <alignment horizontal="left" vertical="center"/>
    </xf>
    <xf numFmtId="0" fontId="21" fillId="0" borderId="59" applyAlignment="1" pivotButton="0" quotePrefix="0" xfId="0">
      <alignment horizontal="left" vertical="center"/>
    </xf>
    <xf numFmtId="0" fontId="21" fillId="0" borderId="60" applyAlignment="1" pivotButton="0" quotePrefix="0" xfId="0">
      <alignment horizontal="left" vertical="center"/>
    </xf>
    <xf numFmtId="9" fontId="21" fillId="106" borderId="2" applyAlignment="1" pivotButton="0" quotePrefix="0" xfId="0">
      <alignment vertical="center"/>
    </xf>
    <xf numFmtId="0" fontId="278" fillId="2" borderId="0" applyAlignment="1" pivotButton="0" quotePrefix="0" xfId="51075">
      <alignment vertical="center"/>
    </xf>
    <xf numFmtId="0" fontId="280" fillId="2" borderId="0" pivotButton="0" quotePrefix="0" xfId="51076"/>
    <xf numFmtId="0" fontId="280" fillId="2" borderId="72" pivotButton="0" quotePrefix="0" xfId="51076"/>
    <xf numFmtId="0" fontId="280" fillId="2" borderId="16" pivotButton="0" quotePrefix="0" xfId="51076"/>
    <xf numFmtId="0" fontId="280" fillId="2" borderId="73" pivotButton="0" quotePrefix="0" xfId="51076"/>
    <xf numFmtId="0" fontId="280" fillId="2" borderId="74" pivotButton="0" quotePrefix="0" xfId="51076"/>
    <xf numFmtId="0" fontId="280" fillId="2" borderId="75" pivotButton="0" quotePrefix="0" xfId="51076"/>
    <xf numFmtId="0" fontId="278" fillId="2" borderId="74" applyAlignment="1" pivotButton="0" quotePrefix="0" xfId="51075">
      <alignment vertical="center"/>
    </xf>
    <xf numFmtId="0" fontId="278" fillId="2" borderId="0" applyAlignment="1" pivotButton="0" quotePrefix="0" xfId="51075">
      <alignment vertical="center"/>
    </xf>
    <xf numFmtId="0" fontId="283" fillId="2" borderId="74" applyAlignment="1" pivotButton="0" quotePrefix="0" xfId="51076">
      <alignment horizontal="center"/>
    </xf>
    <xf numFmtId="0" fontId="282" fillId="2" borderId="0" applyAlignment="1" pivotButton="0" quotePrefix="0" xfId="51075">
      <alignment horizontal="right" vertical="center"/>
    </xf>
    <xf numFmtId="0" fontId="278" fillId="2" borderId="75" applyAlignment="1" pivotButton="0" quotePrefix="0" xfId="51075">
      <alignment vertical="center"/>
    </xf>
    <xf numFmtId="0" fontId="285" fillId="2" borderId="0" pivotButton="0" quotePrefix="0" xfId="51076"/>
    <xf numFmtId="0" fontId="280" fillId="2" borderId="76" pivotButton="0" quotePrefix="0" xfId="51076"/>
    <xf numFmtId="0" fontId="280" fillId="2" borderId="17" pivotButton="0" quotePrefix="0" xfId="51076"/>
    <xf numFmtId="0" fontId="280" fillId="2" borderId="77" pivotButton="0" quotePrefix="0" xfId="51076"/>
    <xf numFmtId="0" fontId="286" fillId="0" borderId="0" applyAlignment="1" pivotButton="0" quotePrefix="0" xfId="51077">
      <alignment vertical="center"/>
    </xf>
    <xf numFmtId="0" fontId="287" fillId="0" borderId="0" applyAlignment="1" pivotButton="0" quotePrefix="0" xfId="51077">
      <alignment vertical="center"/>
    </xf>
    <xf numFmtId="0" fontId="288" fillId="0" borderId="0" applyAlignment="1" pivotButton="0" quotePrefix="0" xfId="51077">
      <alignment vertical="center"/>
    </xf>
    <xf numFmtId="0" fontId="289" fillId="0" borderId="0" applyAlignment="1" pivotButton="0" quotePrefix="0" xfId="51077">
      <alignment vertical="center"/>
    </xf>
    <xf numFmtId="0" fontId="290" fillId="0" borderId="0" applyAlignment="1" pivotButton="0" quotePrefix="0" xfId="51077">
      <alignment vertical="center"/>
    </xf>
    <xf numFmtId="0" fontId="295" fillId="0" borderId="0" applyAlignment="1" pivotButton="0" quotePrefix="0" xfId="51077">
      <alignment vertical="center"/>
    </xf>
    <xf numFmtId="0" fontId="289" fillId="0" borderId="1" applyAlignment="1" pivotButton="0" quotePrefix="0" xfId="51077">
      <alignment horizontal="center" vertical="center"/>
    </xf>
    <xf numFmtId="0" fontId="294" fillId="0" borderId="1" applyAlignment="1" pivotButton="0" quotePrefix="0" xfId="1">
      <alignment horizontal="center" vertical="top" wrapText="1"/>
    </xf>
    <xf numFmtId="9" fontId="297" fillId="0" borderId="1" applyAlignment="1" pivotButton="0" quotePrefix="0" xfId="51078">
      <alignment horizontal="center" vertical="center"/>
    </xf>
    <xf numFmtId="0" fontId="289" fillId="0" borderId="2" applyAlignment="1" pivotButton="0" quotePrefix="0" xfId="51077">
      <alignment horizontal="center" vertical="center"/>
    </xf>
    <xf numFmtId="0" fontId="294" fillId="0" borderId="2" applyAlignment="1" pivotButton="0" quotePrefix="0" xfId="1">
      <alignment horizontal="center" vertical="top" wrapText="1"/>
    </xf>
    <xf numFmtId="9" fontId="297" fillId="0" borderId="2" applyAlignment="1" pivotButton="0" quotePrefix="0" xfId="51078">
      <alignment horizontal="center" vertical="center"/>
    </xf>
    <xf numFmtId="0" fontId="287" fillId="0" borderId="0" applyAlignment="1" pivotButton="0" quotePrefix="0" xfId="51077">
      <alignment vertical="center"/>
    </xf>
    <xf numFmtId="0" fontId="302" fillId="0" borderId="0" applyAlignment="1" pivotButton="0" quotePrefix="0" xfId="1">
      <alignment vertical="top" wrapText="1"/>
    </xf>
    <xf numFmtId="0" fontId="303" fillId="0" borderId="0" applyAlignment="1" pivotButton="0" quotePrefix="0" xfId="1">
      <alignment horizontal="center" vertical="center" wrapText="1"/>
    </xf>
    <xf numFmtId="0" fontId="287" fillId="0" borderId="0" applyAlignment="1" pivotButton="0" quotePrefix="0" xfId="51077">
      <alignment horizontal="center" vertical="center"/>
    </xf>
    <xf numFmtId="0" fontId="295" fillId="0" borderId="0" applyAlignment="1" pivotButton="0" quotePrefix="0" xfId="51077">
      <alignment vertical="center" wrapText="1"/>
    </xf>
    <xf numFmtId="0" fontId="287" fillId="0" borderId="0" applyAlignment="1" pivotButton="0" quotePrefix="0" xfId="51077">
      <alignment horizontal="right" vertical="center"/>
    </xf>
    <xf numFmtId="0" fontId="287" fillId="0" borderId="0" applyAlignment="1" pivotButton="0" quotePrefix="0" xfId="51077">
      <alignment horizontal="left" vertical="center"/>
    </xf>
    <xf numFmtId="0" fontId="307" fillId="0" borderId="0" applyAlignment="1" pivotButton="0" quotePrefix="0" xfId="51077">
      <alignment vertical="center"/>
    </xf>
    <xf numFmtId="0" fontId="308" fillId="0" borderId="0" applyAlignment="1" pivotButton="0" quotePrefix="0" xfId="51079">
      <alignment horizontal="center" vertical="center"/>
    </xf>
    <xf numFmtId="0" fontId="308" fillId="0" borderId="0" applyAlignment="1" pivotButton="0" quotePrefix="0" xfId="51079">
      <alignment horizontal="left" vertical="center"/>
    </xf>
    <xf numFmtId="0" fontId="309" fillId="2" borderId="0" applyAlignment="1" pivotButton="0" quotePrefix="0" xfId="42179">
      <alignment horizontal="center" vertical="center"/>
    </xf>
    <xf numFmtId="0" fontId="310" fillId="2" borderId="0" applyAlignment="1" pivotButton="0" quotePrefix="0" xfId="42179">
      <alignment horizontal="center" vertical="center"/>
    </xf>
    <xf numFmtId="0" fontId="311" fillId="2" borderId="0" applyAlignment="1" pivotButton="0" quotePrefix="0" xfId="51079">
      <alignment horizontal="center" vertical="center"/>
    </xf>
    <xf numFmtId="9" fontId="311" fillId="2" borderId="0" applyAlignment="1" pivotButton="0" quotePrefix="0" xfId="26216">
      <alignment horizontal="center" vertical="center"/>
    </xf>
    <xf numFmtId="0" fontId="311" fillId="0" borderId="0" applyAlignment="1" pivotButton="0" quotePrefix="0" xfId="51079">
      <alignment horizontal="center" vertical="center"/>
    </xf>
    <xf numFmtId="9" fontId="311" fillId="0" borderId="0" applyAlignment="1" pivotButton="0" quotePrefix="0" xfId="26216">
      <alignment horizontal="center" vertical="center"/>
    </xf>
    <xf numFmtId="0" fontId="312" fillId="108" borderId="82" applyAlignment="1" pivotButton="0" quotePrefix="0" xfId="51079">
      <alignment horizontal="center" vertical="center"/>
    </xf>
    <xf numFmtId="0" fontId="312" fillId="108" borderId="83" applyAlignment="1" pivotButton="0" quotePrefix="0" xfId="51079">
      <alignment horizontal="center" vertical="center"/>
    </xf>
    <xf numFmtId="0" fontId="312" fillId="108" borderId="86" applyAlignment="1" pivotButton="0" quotePrefix="0" xfId="51079">
      <alignment horizontal="center" vertical="center"/>
    </xf>
    <xf numFmtId="0" fontId="312" fillId="108" borderId="91" applyAlignment="1" pivotButton="0" quotePrefix="0" xfId="51079">
      <alignment horizontal="center" vertical="center"/>
    </xf>
    <xf numFmtId="0" fontId="312" fillId="108" borderId="92" applyAlignment="1" pivotButton="0" quotePrefix="0" xfId="51079">
      <alignment horizontal="center" vertical="center"/>
    </xf>
    <xf numFmtId="0" fontId="312" fillId="108" borderId="93" applyAlignment="1" pivotButton="0" quotePrefix="0" xfId="51079">
      <alignment horizontal="center" vertical="center"/>
    </xf>
    <xf numFmtId="0" fontId="312" fillId="108" borderId="94" applyAlignment="1" pivotButton="0" quotePrefix="0" xfId="51079">
      <alignment horizontal="center" vertical="center"/>
    </xf>
    <xf numFmtId="0" fontId="312" fillId="108" borderId="95" applyAlignment="1" pivotButton="0" quotePrefix="0" xfId="51079">
      <alignment horizontal="center" vertical="center"/>
    </xf>
    <xf numFmtId="0" fontId="313" fillId="0" borderId="97" applyAlignment="1" pivotButton="0" quotePrefix="0" xfId="51079">
      <alignment horizontal="center" vertical="center" wrapText="1"/>
    </xf>
    <xf numFmtId="0" fontId="313" fillId="0" borderId="98" applyAlignment="1" pivotButton="0" quotePrefix="0" xfId="51079">
      <alignment horizontal="center" vertical="center" wrapText="1"/>
    </xf>
    <xf numFmtId="0" fontId="308" fillId="0" borderId="98" applyAlignment="1" pivotButton="0" quotePrefix="0" xfId="38181">
      <alignment horizontal="left" vertical="center" wrapText="1"/>
    </xf>
    <xf numFmtId="0" fontId="308" fillId="0" borderId="99" applyAlignment="1" pivotButton="0" quotePrefix="0" xfId="51079">
      <alignment horizontal="left" vertical="center" wrapText="1"/>
    </xf>
    <xf numFmtId="0" fontId="308" fillId="0" borderId="99" applyAlignment="1" pivotButton="0" quotePrefix="0" xfId="51079">
      <alignment horizontal="center" vertical="center" wrapText="1"/>
    </xf>
    <xf numFmtId="49" fontId="308" fillId="0" borderId="100" applyAlignment="1" pivotButton="0" quotePrefix="0" xfId="51079">
      <alignment horizontal="center" vertical="center"/>
    </xf>
    <xf numFmtId="0" fontId="308" fillId="0" borderId="101" applyAlignment="1" pivotButton="0" quotePrefix="0" xfId="50997">
      <alignment horizontal="left" vertical="center" wrapText="1"/>
    </xf>
    <xf numFmtId="49" fontId="308" fillId="0" borderId="98" applyAlignment="1" pivotButton="0" quotePrefix="0" xfId="51079">
      <alignment horizontal="center" vertical="center"/>
    </xf>
    <xf numFmtId="0" fontId="308" fillId="0" borderId="102" applyAlignment="1" pivotButton="0" quotePrefix="0" xfId="51079">
      <alignment horizontal="center" vertical="center"/>
    </xf>
    <xf numFmtId="0" fontId="313" fillId="0" borderId="103" applyAlignment="1" pivotButton="0" quotePrefix="0" xfId="51079">
      <alignment horizontal="center" vertical="center" wrapText="1"/>
    </xf>
    <xf numFmtId="0" fontId="313" fillId="0" borderId="104" applyAlignment="1" pivotButton="0" quotePrefix="0" xfId="51079">
      <alignment horizontal="center" vertical="center" wrapText="1"/>
    </xf>
    <xf numFmtId="0" fontId="308" fillId="0" borderId="104" applyAlignment="1" pivotButton="0" quotePrefix="0" xfId="38181">
      <alignment horizontal="left" vertical="center" wrapText="1"/>
    </xf>
    <xf numFmtId="0" fontId="308" fillId="0" borderId="105" applyAlignment="1" pivotButton="0" quotePrefix="0" xfId="51079">
      <alignment horizontal="left" vertical="center" wrapText="1"/>
    </xf>
    <xf numFmtId="0" fontId="308" fillId="0" borderId="106" applyAlignment="1" pivotButton="0" quotePrefix="0" xfId="51079">
      <alignment horizontal="center" vertical="center" wrapText="1"/>
    </xf>
    <xf numFmtId="49" fontId="308" fillId="0" borderId="0" applyAlignment="1" pivotButton="0" quotePrefix="0" xfId="51079">
      <alignment horizontal="center" vertical="center"/>
    </xf>
    <xf numFmtId="0" fontId="308" fillId="0" borderId="107" applyAlignment="1" pivotButton="0" quotePrefix="0" xfId="50997">
      <alignment horizontal="left" vertical="center" wrapText="1"/>
    </xf>
    <xf numFmtId="49" fontId="308" fillId="0" borderId="108" applyAlignment="1" pivotButton="0" quotePrefix="0" xfId="51079">
      <alignment horizontal="center" vertical="center"/>
    </xf>
    <xf numFmtId="0" fontId="308" fillId="0" borderId="109" applyAlignment="1" pivotButton="0" quotePrefix="0" xfId="51079">
      <alignment horizontal="center" vertical="center"/>
    </xf>
    <xf numFmtId="0" fontId="313" fillId="0" borderId="2" applyAlignment="1" pivotButton="0" quotePrefix="0" xfId="51079">
      <alignment horizontal="center" vertical="center" wrapText="1"/>
    </xf>
    <xf numFmtId="0" fontId="308" fillId="0" borderId="2" applyAlignment="1" pivotButton="0" quotePrefix="0" xfId="38181">
      <alignment horizontal="left" vertical="center" wrapText="1"/>
    </xf>
    <xf numFmtId="0" fontId="308" fillId="0" borderId="2" applyAlignment="1" pivotButton="0" quotePrefix="0" xfId="51079">
      <alignment horizontal="left" vertical="center" wrapText="1"/>
    </xf>
    <xf numFmtId="0" fontId="308" fillId="0" borderId="2" applyAlignment="1" pivotButton="0" quotePrefix="0" xfId="51079">
      <alignment horizontal="center" vertical="center" wrapText="1"/>
    </xf>
    <xf numFmtId="49" fontId="308" fillId="0" borderId="2" applyAlignment="1" pivotButton="0" quotePrefix="0" xfId="51079">
      <alignment horizontal="center" vertical="center"/>
    </xf>
    <xf numFmtId="0" fontId="308" fillId="0" borderId="2" applyAlignment="1" pivotButton="0" quotePrefix="0" xfId="50997">
      <alignment horizontal="left" vertical="center" wrapText="1"/>
    </xf>
    <xf numFmtId="14" fontId="308" fillId="0" borderId="2" applyAlignment="1" pivotButton="0" quotePrefix="0" xfId="51079">
      <alignment horizontal="center" vertical="center" wrapText="1"/>
    </xf>
    <xf numFmtId="0" fontId="308" fillId="0" borderId="2" applyAlignment="1" pivotButton="0" quotePrefix="0" xfId="51079">
      <alignment horizontal="center" vertical="center"/>
    </xf>
    <xf numFmtId="0" fontId="313" fillId="0" borderId="110" applyAlignment="1" pivotButton="0" quotePrefix="0" xfId="51079">
      <alignment horizontal="center" vertical="top" wrapText="1"/>
    </xf>
    <xf numFmtId="0" fontId="308" fillId="0" borderId="100" applyAlignment="1" pivotButton="0" quotePrefix="0" xfId="51079">
      <alignment horizontal="left" vertical="center" wrapText="1"/>
    </xf>
    <xf numFmtId="0" fontId="308" fillId="0" borderId="98" applyAlignment="1" pivotButton="0" quotePrefix="0" xfId="51079">
      <alignment horizontal="center" vertical="center" wrapText="1"/>
    </xf>
    <xf numFmtId="14" fontId="308" fillId="0" borderId="100" applyAlignment="1" pivotButton="0" quotePrefix="0" xfId="51079">
      <alignment horizontal="center" vertical="center" wrapText="1"/>
    </xf>
    <xf numFmtId="0" fontId="313" fillId="0" borderId="97" applyAlignment="1" pivotButton="0" quotePrefix="0" xfId="51079">
      <alignment horizontal="center" vertical="top" wrapText="1"/>
    </xf>
    <xf numFmtId="0" fontId="313" fillId="0" borderId="111" applyAlignment="1" pivotButton="0" quotePrefix="0" xfId="51079">
      <alignment horizontal="center" vertical="center" wrapText="1"/>
    </xf>
    <xf numFmtId="0" fontId="308" fillId="0" borderId="111" applyAlignment="1" pivotButton="0" quotePrefix="0" xfId="38181">
      <alignment horizontal="left" vertical="center" wrapText="1"/>
    </xf>
    <xf numFmtId="0" fontId="308" fillId="0" borderId="112" applyAlignment="1" pivotButton="0" quotePrefix="0" xfId="51079">
      <alignment horizontal="left" vertical="center" wrapText="1"/>
    </xf>
    <xf numFmtId="0" fontId="308" fillId="0" borderId="113" applyAlignment="1" pivotButton="0" quotePrefix="0" xfId="51079">
      <alignment horizontal="left" vertical="center" wrapText="1"/>
    </xf>
    <xf numFmtId="0" fontId="308" fillId="0" borderId="111" applyAlignment="1" pivotButton="0" quotePrefix="0" xfId="51079">
      <alignment horizontal="center" vertical="center" wrapText="1"/>
    </xf>
    <xf numFmtId="49" fontId="308" fillId="0" borderId="113" applyAlignment="1" pivotButton="0" quotePrefix="0" xfId="51079">
      <alignment horizontal="center" vertical="center"/>
    </xf>
    <xf numFmtId="0" fontId="308" fillId="0" borderId="114" applyAlignment="1" pivotButton="0" quotePrefix="0" xfId="50997">
      <alignment horizontal="left" vertical="center" wrapText="1"/>
    </xf>
    <xf numFmtId="49" fontId="308" fillId="0" borderId="111" applyAlignment="1" pivotButton="0" quotePrefix="0" xfId="51079">
      <alignment horizontal="center" vertical="center"/>
    </xf>
    <xf numFmtId="14" fontId="308" fillId="0" borderId="113" applyAlignment="1" pivotButton="0" quotePrefix="0" xfId="51079">
      <alignment horizontal="center" vertical="center" wrapText="1"/>
    </xf>
    <xf numFmtId="0" fontId="308" fillId="0" borderId="115" applyAlignment="1" pivotButton="0" quotePrefix="0" xfId="51079">
      <alignment horizontal="center" vertical="center"/>
    </xf>
    <xf numFmtId="0" fontId="308" fillId="2" borderId="113" applyAlignment="1" pivotButton="0" quotePrefix="0" xfId="51079">
      <alignment horizontal="left" vertical="center" wrapText="1"/>
    </xf>
    <xf numFmtId="0" fontId="308" fillId="2" borderId="111" applyAlignment="1" pivotButton="0" quotePrefix="0" xfId="51079">
      <alignment horizontal="center" vertical="center" wrapText="1"/>
    </xf>
    <xf numFmtId="49" fontId="308" fillId="2" borderId="113" applyAlignment="1" pivotButton="0" quotePrefix="0" xfId="51079">
      <alignment horizontal="center" vertical="center"/>
    </xf>
    <xf numFmtId="0" fontId="308" fillId="2" borderId="114" applyAlignment="1" pivotButton="0" quotePrefix="0" xfId="50997">
      <alignment horizontal="left" vertical="center" wrapText="1"/>
    </xf>
    <xf numFmtId="0" fontId="308" fillId="0" borderId="97" applyAlignment="1" pivotButton="0" quotePrefix="0" xfId="51079">
      <alignment horizontal="center" vertical="top" wrapText="1"/>
    </xf>
    <xf numFmtId="0" fontId="308" fillId="0" borderId="116" applyAlignment="1" pivotButton="0" quotePrefix="0" xfId="51079">
      <alignment horizontal="center" vertical="top" wrapText="1"/>
    </xf>
    <xf numFmtId="0" fontId="313" fillId="0" borderId="117" applyAlignment="1" pivotButton="0" quotePrefix="0" xfId="51079">
      <alignment horizontal="center" vertical="center" wrapText="1"/>
    </xf>
    <xf numFmtId="0" fontId="308" fillId="0" borderId="117" applyAlignment="1" pivotButton="0" quotePrefix="0" xfId="38181">
      <alignment horizontal="left" vertical="center" wrapText="1"/>
    </xf>
    <xf numFmtId="0" fontId="308" fillId="0" borderId="118" applyAlignment="1" pivotButton="0" quotePrefix="0" xfId="51079">
      <alignment horizontal="left" vertical="center" wrapText="1"/>
    </xf>
    <xf numFmtId="0" fontId="308" fillId="0" borderId="119" applyAlignment="1" pivotButton="0" quotePrefix="0" xfId="51079">
      <alignment horizontal="left" vertical="center" wrapText="1"/>
    </xf>
    <xf numFmtId="0" fontId="308" fillId="0" borderId="117" applyAlignment="1" pivotButton="0" quotePrefix="0" xfId="51079">
      <alignment horizontal="center" vertical="center" wrapText="1"/>
    </xf>
    <xf numFmtId="49" fontId="308" fillId="0" borderId="119" applyAlignment="1" pivotButton="0" quotePrefix="0" xfId="51079">
      <alignment horizontal="center" vertical="center"/>
    </xf>
    <xf numFmtId="0" fontId="308" fillId="0" borderId="120" applyAlignment="1" pivotButton="0" quotePrefix="0" xfId="50997">
      <alignment horizontal="left" vertical="center" wrapText="1"/>
    </xf>
    <xf numFmtId="49" fontId="308" fillId="0" borderId="117" applyAlignment="1" pivotButton="0" quotePrefix="0" xfId="51079">
      <alignment horizontal="center" vertical="center"/>
    </xf>
    <xf numFmtId="14" fontId="308" fillId="0" borderId="119" applyAlignment="1" pivotButton="0" quotePrefix="0" xfId="51079">
      <alignment horizontal="center" vertical="center" wrapText="1"/>
    </xf>
    <xf numFmtId="0" fontId="308" fillId="0" borderId="121" applyAlignment="1" pivotButton="0" quotePrefix="0" xfId="51079">
      <alignment horizontal="center" vertical="center"/>
    </xf>
    <xf numFmtId="0" fontId="281" fillId="2" borderId="2" applyAlignment="1" pivotButton="0" quotePrefix="0" xfId="51075">
      <alignment horizontal="center" vertical="center" wrapText="1"/>
    </xf>
    <xf numFmtId="0" fontId="282" fillId="2" borderId="2" applyAlignment="1" pivotButton="0" quotePrefix="0" xfId="51075">
      <alignment horizontal="center" vertical="center" wrapText="1"/>
    </xf>
    <xf numFmtId="0" fontId="284" fillId="2" borderId="74" applyAlignment="1" pivotButton="0" quotePrefix="0" xfId="51076">
      <alignment horizontal="center"/>
    </xf>
    <xf numFmtId="0" fontId="284" fillId="2" borderId="0" applyAlignment="1" pivotButton="0" quotePrefix="0" xfId="51076">
      <alignment horizontal="center"/>
    </xf>
    <xf numFmtId="0" fontId="284" fillId="2" borderId="75" applyAlignment="1" pivotButton="0" quotePrefix="0" xfId="51076">
      <alignment horizontal="center"/>
    </xf>
    <xf numFmtId="0" fontId="281" fillId="2" borderId="74" applyAlignment="1" pivotButton="0" quotePrefix="0" xfId="51076">
      <alignment horizontal="center"/>
    </xf>
    <xf numFmtId="0" fontId="281" fillId="2" borderId="0" applyAlignment="1" pivotButton="0" quotePrefix="0" xfId="51076">
      <alignment horizontal="center"/>
    </xf>
    <xf numFmtId="0" fontId="281" fillId="2" borderId="75" applyAlignment="1" pivotButton="0" quotePrefix="0" xfId="51076">
      <alignment horizontal="center"/>
    </xf>
    <xf numFmtId="0" fontId="292" fillId="0" borderId="52" applyAlignment="1" pivotButton="0" quotePrefix="0" xfId="51077">
      <alignment horizontal="center" vertical="center"/>
    </xf>
    <xf numFmtId="0" fontId="292" fillId="0" borderId="51" applyAlignment="1" pivotButton="0" quotePrefix="0" xfId="51077">
      <alignment horizontal="center" vertical="center"/>
    </xf>
    <xf numFmtId="0" fontId="291" fillId="107" borderId="78" applyAlignment="1" pivotButton="0" quotePrefix="0" xfId="51077">
      <alignment horizontal="center" vertical="center"/>
    </xf>
    <xf numFmtId="0" fontId="291" fillId="107" borderId="79" applyAlignment="1" pivotButton="0" quotePrefix="0" xfId="51077">
      <alignment horizontal="center" vertical="center"/>
    </xf>
    <xf numFmtId="0" fontId="292" fillId="0" borderId="27" applyAlignment="1" pivotButton="0" quotePrefix="0" xfId="51077">
      <alignment horizontal="center" vertical="center"/>
    </xf>
    <xf numFmtId="0" fontId="291" fillId="107" borderId="2" applyAlignment="1" pivotButton="0" quotePrefix="0" xfId="51077">
      <alignment horizontal="center" vertical="center"/>
    </xf>
    <xf numFmtId="0" fontId="293" fillId="0" borderId="2" applyAlignment="1" pivotButton="0" quotePrefix="0" xfId="51077">
      <alignment horizontal="center" vertical="center"/>
    </xf>
    <xf numFmtId="164" fontId="292" fillId="0" borderId="2" applyAlignment="1" pivotButton="0" quotePrefix="1" xfId="51077">
      <alignment horizontal="center" vertical="center"/>
    </xf>
    <xf numFmtId="164" fontId="292" fillId="0" borderId="2" applyAlignment="1" pivotButton="0" quotePrefix="0" xfId="51077">
      <alignment horizontal="center" vertical="center"/>
    </xf>
    <xf numFmtId="0" fontId="293" fillId="0" borderId="52" applyAlignment="1" pivotButton="0" quotePrefix="0" xfId="51077">
      <alignment horizontal="center" vertical="center"/>
    </xf>
    <xf numFmtId="0" fontId="293" fillId="0" borderId="27" applyAlignment="1" pivotButton="0" quotePrefix="0" xfId="51077">
      <alignment horizontal="center" vertical="center"/>
    </xf>
    <xf numFmtId="0" fontId="293" fillId="0" borderId="51" applyAlignment="1" pivotButton="0" quotePrefix="0" xfId="51077">
      <alignment horizontal="center" vertical="center"/>
    </xf>
    <xf numFmtId="0" fontId="294" fillId="100" borderId="2" applyAlignment="1" pivotButton="0" quotePrefix="0" xfId="51077">
      <alignment horizontal="center" vertical="center"/>
    </xf>
    <xf numFmtId="0" fontId="294" fillId="100" borderId="52" applyAlignment="1" pivotButton="0" quotePrefix="0" xfId="51077">
      <alignment horizontal="center" vertical="center"/>
    </xf>
    <xf numFmtId="0" fontId="294" fillId="100" borderId="27" applyAlignment="1" pivotButton="0" quotePrefix="0" xfId="51077">
      <alignment horizontal="center" vertical="center"/>
    </xf>
    <xf numFmtId="0" fontId="294" fillId="100" borderId="51" applyAlignment="1" pivotButton="0" quotePrefix="0" xfId="51077">
      <alignment horizontal="center" vertical="center"/>
    </xf>
    <xf numFmtId="49" fontId="294" fillId="100" borderId="52" applyAlignment="1" pivotButton="0" quotePrefix="0" xfId="51077">
      <alignment horizontal="center" vertical="center" wrapText="1"/>
    </xf>
    <xf numFmtId="49" fontId="294" fillId="100" borderId="27" applyAlignment="1" pivotButton="0" quotePrefix="0" xfId="51077">
      <alignment horizontal="center" vertical="center" wrapText="1"/>
    </xf>
    <xf numFmtId="49" fontId="294" fillId="100" borderId="51" applyAlignment="1" pivotButton="0" quotePrefix="0" xfId="51077">
      <alignment horizontal="center" vertical="center" wrapText="1"/>
    </xf>
    <xf numFmtId="49" fontId="294" fillId="100" borderId="2" applyAlignment="1" pivotButton="0" quotePrefix="0" xfId="51077">
      <alignment horizontal="center" vertical="center" wrapText="1"/>
    </xf>
    <xf numFmtId="0" fontId="296" fillId="0" borderId="52" applyAlignment="1" pivotButton="0" quotePrefix="0" xfId="51078">
      <alignment horizontal="center" vertical="top" wrapText="1"/>
    </xf>
    <xf numFmtId="0" fontId="296" fillId="0" borderId="27" applyAlignment="1" pivotButton="0" quotePrefix="0" xfId="51078">
      <alignment horizontal="center" vertical="top" wrapText="1"/>
    </xf>
    <xf numFmtId="0" fontId="296" fillId="0" borderId="51" applyAlignment="1" pivotButton="0" quotePrefix="0" xfId="51078">
      <alignment horizontal="center" vertical="top" wrapText="1"/>
    </xf>
    <xf numFmtId="165" fontId="296" fillId="0" borderId="52" applyAlignment="1" pivotButton="0" quotePrefix="0" xfId="1">
      <alignment horizontal="center" vertical="top" wrapText="1"/>
    </xf>
    <xf numFmtId="165" fontId="296" fillId="0" borderId="27" applyAlignment="1" pivotButton="0" quotePrefix="0" xfId="1">
      <alignment horizontal="center" vertical="top" wrapText="1"/>
    </xf>
    <xf numFmtId="165" fontId="296" fillId="0" borderId="51" applyAlignment="1" pivotButton="0" quotePrefix="0" xfId="1">
      <alignment horizontal="center" vertical="top" wrapText="1"/>
    </xf>
    <xf numFmtId="166" fontId="297" fillId="0" borderId="1" applyAlignment="1" pivotButton="0" quotePrefix="0" xfId="3">
      <alignment horizontal="center" vertical="center"/>
    </xf>
    <xf numFmtId="0" fontId="294" fillId="0" borderId="52" applyAlignment="1" pivotButton="0" quotePrefix="0" xfId="1">
      <alignment horizontal="center" vertical="top" wrapText="1"/>
    </xf>
    <xf numFmtId="0" fontId="294" fillId="0" borderId="51" applyAlignment="1" pivotButton="0" quotePrefix="0" xfId="1">
      <alignment horizontal="center" vertical="top" wrapText="1"/>
    </xf>
    <xf numFmtId="0" fontId="296" fillId="0" borderId="52" applyAlignment="1" pivotButton="0" quotePrefix="0" xfId="1">
      <alignment horizontal="center" vertical="center" wrapText="1"/>
    </xf>
    <xf numFmtId="0" fontId="296" fillId="0" borderId="27" applyAlignment="1" pivotButton="0" quotePrefix="0" xfId="1">
      <alignment horizontal="center" vertical="center" wrapText="1"/>
    </xf>
    <xf numFmtId="0" fontId="296" fillId="0" borderId="51" applyAlignment="1" pivotButton="0" quotePrefix="0" xfId="1">
      <alignment horizontal="center" vertical="center" wrapText="1"/>
    </xf>
    <xf numFmtId="0" fontId="298" fillId="46" borderId="2" applyAlignment="1" pivotButton="0" quotePrefix="0" xfId="51077">
      <alignment horizontal="center" vertical="center"/>
    </xf>
    <xf numFmtId="167" fontId="297" fillId="46" borderId="2" applyAlignment="1" pivotButton="0" quotePrefix="0" xfId="51077">
      <alignment horizontal="center" vertical="center"/>
    </xf>
    <xf numFmtId="0" fontId="297" fillId="46" borderId="52" applyAlignment="1" pivotButton="0" quotePrefix="0" xfId="51077">
      <alignment horizontal="center" vertical="center"/>
    </xf>
    <xf numFmtId="0" fontId="297" fillId="46" borderId="51" applyAlignment="1" pivotButton="0" quotePrefix="0" xfId="51077">
      <alignment horizontal="center" vertical="center"/>
    </xf>
    <xf numFmtId="168" fontId="301" fillId="46" borderId="2" applyAlignment="1" pivotButton="0" quotePrefix="0" xfId="51078">
      <alignment horizontal="center" vertical="center"/>
    </xf>
    <xf numFmtId="0" fontId="304" fillId="0" borderId="2" applyAlignment="1" pivotButton="0" quotePrefix="0" xfId="1">
      <alignment horizontal="center" vertical="top" wrapText="1"/>
    </xf>
    <xf numFmtId="0" fontId="305" fillId="0" borderId="52" applyAlignment="1" pivotButton="0" quotePrefix="0" xfId="1">
      <alignment horizontal="center" vertical="center" wrapText="1"/>
    </xf>
    <xf numFmtId="0" fontId="305" fillId="0" borderId="27" applyAlignment="1" pivotButton="0" quotePrefix="0" xfId="1">
      <alignment horizontal="center" vertical="center" wrapText="1"/>
    </xf>
    <xf numFmtId="0" fontId="305" fillId="0" borderId="51" applyAlignment="1" pivotButton="0" quotePrefix="0" xfId="1">
      <alignment horizontal="center" vertical="center" wrapText="1"/>
    </xf>
    <xf numFmtId="0" fontId="288" fillId="0" borderId="0" applyAlignment="1" pivotButton="0" quotePrefix="0" xfId="51077">
      <alignment horizontal="center" vertical="center"/>
    </xf>
    <xf numFmtId="0" fontId="294" fillId="0" borderId="2" applyAlignment="1" pivotButton="0" quotePrefix="0" xfId="51077">
      <alignment horizontal="center" vertical="center"/>
    </xf>
    <xf numFmtId="0" fontId="289" fillId="0" borderId="2" applyAlignment="1" pivotButton="0" quotePrefix="0" xfId="51077">
      <alignment horizontal="center" vertical="center"/>
    </xf>
    <xf numFmtId="0" fontId="299" fillId="0" borderId="52" applyAlignment="1" pivotButton="0" quotePrefix="0" xfId="1">
      <alignment horizontal="center" vertical="center" wrapText="1"/>
    </xf>
    <xf numFmtId="0" fontId="299" fillId="0" borderId="27" applyAlignment="1" pivotButton="0" quotePrefix="0" xfId="1">
      <alignment horizontal="center" vertical="center" wrapText="1"/>
    </xf>
    <xf numFmtId="0" fontId="299" fillId="0" borderId="51" applyAlignment="1" pivotButton="0" quotePrefix="0" xfId="1">
      <alignment horizontal="center" vertical="center" wrapText="1"/>
    </xf>
    <xf numFmtId="0" fontId="312" fillId="108" borderId="88" applyAlignment="1" pivotButton="0" quotePrefix="0" xfId="51079">
      <alignment horizontal="center" vertical="center" wrapText="1"/>
    </xf>
    <xf numFmtId="0" fontId="312" fillId="108" borderId="96" applyAlignment="1" pivotButton="0" quotePrefix="0" xfId="51079">
      <alignment horizontal="center" vertical="center" wrapText="1"/>
    </xf>
    <xf numFmtId="0" fontId="312" fillId="108" borderId="80" applyAlignment="1" pivotButton="0" quotePrefix="0" xfId="51079">
      <alignment horizontal="center" vertical="center"/>
    </xf>
    <xf numFmtId="0" fontId="312" fillId="108" borderId="89" applyAlignment="1" pivotButton="0" quotePrefix="0" xfId="51079">
      <alignment horizontal="center" vertical="center"/>
    </xf>
    <xf numFmtId="0" fontId="312" fillId="108" borderId="81" applyAlignment="1" pivotButton="0" quotePrefix="0" xfId="51079">
      <alignment horizontal="center" vertical="center"/>
    </xf>
    <xf numFmtId="0" fontId="312" fillId="108" borderId="90" applyAlignment="1" pivotButton="0" quotePrefix="0" xfId="51079">
      <alignment horizontal="center" vertical="center"/>
    </xf>
    <xf numFmtId="0" fontId="312" fillId="108" borderId="84" applyAlignment="1" pivotButton="0" quotePrefix="0" xfId="51079">
      <alignment horizontal="center" vertical="center"/>
    </xf>
    <xf numFmtId="0" fontId="312" fillId="108" borderId="85" applyAlignment="1" pivotButton="0" quotePrefix="0" xfId="51079">
      <alignment horizontal="center" vertical="center"/>
    </xf>
    <xf numFmtId="0" fontId="312" fillId="108" borderId="87" applyAlignment="1" pivotButton="0" quotePrefix="0" xfId="51079">
      <alignment horizontal="center" vertical="center"/>
    </xf>
    <xf numFmtId="0" fontId="312" fillId="108" borderId="81" applyAlignment="1" pivotButton="0" quotePrefix="0" xfId="51079">
      <alignment horizontal="center" vertical="center" wrapText="1"/>
    </xf>
    <xf numFmtId="0" fontId="312" fillId="108" borderId="90" applyAlignment="1" pivotButton="0" quotePrefix="0" xfId="51079">
      <alignment horizontal="center" vertical="center" wrapText="1"/>
    </xf>
    <xf numFmtId="0" fontId="251" fillId="0" borderId="2" applyAlignment="1" pivotButton="0" quotePrefix="0" xfId="0">
      <alignment horizontal="center" vertical="center"/>
    </xf>
    <xf numFmtId="0" fontId="256" fillId="0" borderId="2" applyAlignment="1" pivotButton="0" quotePrefix="0" xfId="0">
      <alignment horizontal="center" vertical="center"/>
    </xf>
    <xf numFmtId="0" fontId="252" fillId="0" borderId="52" applyAlignment="1" pivotButton="0" quotePrefix="0" xfId="0">
      <alignment horizontal="center" vertical="center" wrapText="1"/>
    </xf>
    <xf numFmtId="0" fontId="252" fillId="0" borderId="51" applyAlignment="1" pivotButton="0" quotePrefix="0" xfId="0">
      <alignment horizontal="center" vertical="center" wrapText="1"/>
    </xf>
    <xf numFmtId="0" fontId="254" fillId="0" borderId="52" applyAlignment="1" pivotButton="0" quotePrefix="0" xfId="0">
      <alignment horizontal="left" vertical="center"/>
    </xf>
    <xf numFmtId="0" fontId="254" fillId="0" borderId="51" applyAlignment="1" pivotButton="0" quotePrefix="0" xfId="0">
      <alignment horizontal="left" vertical="center"/>
    </xf>
    <xf numFmtId="0" fontId="244" fillId="106" borderId="2" applyAlignment="1" pivotButton="0" quotePrefix="0" xfId="0">
      <alignment horizontal="left" vertical="center"/>
    </xf>
    <xf numFmtId="0" fontId="244" fillId="106" borderId="2" applyAlignment="1" pivotButton="0" quotePrefix="0" xfId="0">
      <alignment horizontal="center" vertical="center"/>
    </xf>
    <xf numFmtId="0" fontId="255" fillId="0" borderId="27" applyAlignment="1" pivotButton="0" quotePrefix="0" xfId="0">
      <alignment horizontal="center" vertical="center"/>
    </xf>
    <xf numFmtId="0" fontId="255" fillId="0" borderId="51" applyAlignment="1" pivotButton="0" quotePrefix="0" xfId="0">
      <alignment horizontal="center" vertical="center"/>
    </xf>
    <xf numFmtId="0" fontId="255" fillId="0" borderId="52" applyAlignment="1" pivotButton="0" quotePrefix="0" xfId="0">
      <alignment horizontal="center" vertical="center"/>
    </xf>
    <xf numFmtId="0" fontId="255" fillId="0" borderId="2" applyAlignment="1" pivotButton="0" quotePrefix="0" xfId="0">
      <alignment horizontal="center" vertical="center"/>
    </xf>
    <xf numFmtId="0" fontId="255" fillId="0" borderId="52" applyAlignment="1" pivotButton="0" quotePrefix="0" xfId="0">
      <alignment horizontal="center" vertical="center" wrapText="1"/>
    </xf>
    <xf numFmtId="0" fontId="251" fillId="0" borderId="52" applyAlignment="1" pivotButton="0" quotePrefix="0" xfId="0">
      <alignment horizontal="center" vertical="center"/>
    </xf>
    <xf numFmtId="0" fontId="251" fillId="0" borderId="51" applyAlignment="1" pivotButton="0" quotePrefix="0" xfId="0">
      <alignment horizontal="center" vertical="center"/>
    </xf>
    <xf numFmtId="0" fontId="251" fillId="0" borderId="2" applyAlignment="1" pivotButton="0" quotePrefix="1" xfId="0">
      <alignment horizontal="center" vertical="center"/>
    </xf>
    <xf numFmtId="0" fontId="244" fillId="0" borderId="52" applyAlignment="1" pivotButton="0" quotePrefix="0" xfId="0">
      <alignment horizontal="center" vertical="center"/>
    </xf>
    <xf numFmtId="0" fontId="244" fillId="0" borderId="27" applyAlignment="1" pivotButton="0" quotePrefix="0" xfId="0">
      <alignment horizontal="center" vertical="center"/>
    </xf>
    <xf numFmtId="0" fontId="244" fillId="0" borderId="51" applyAlignment="1" pivotButton="0" quotePrefix="0" xfId="0">
      <alignment horizontal="center" vertical="center"/>
    </xf>
    <xf numFmtId="0" fontId="244" fillId="106" borderId="12" applyAlignment="1" pivotButton="0" quotePrefix="0" xfId="0">
      <alignment horizontal="center" vertical="center"/>
    </xf>
    <xf numFmtId="0" fontId="244" fillId="106" borderId="71" applyAlignment="1" pivotButton="0" quotePrefix="0" xfId="0">
      <alignment horizontal="center" vertical="center"/>
    </xf>
    <xf numFmtId="0" fontId="244" fillId="106" borderId="1" applyAlignment="1" pivotButton="0" quotePrefix="0" xfId="0">
      <alignment horizontal="center" vertical="center"/>
    </xf>
    <xf numFmtId="0" fontId="244" fillId="0" borderId="54" applyAlignment="1" pivotButton="0" quotePrefix="0" xfId="0">
      <alignment horizontal="center" vertical="center"/>
    </xf>
    <xf numFmtId="0" fontId="250" fillId="106" borderId="2" applyAlignment="1" pivotButton="0" quotePrefix="0" xfId="0">
      <alignment horizontal="center" vertical="center" wrapText="1"/>
    </xf>
    <xf numFmtId="0" fontId="250" fillId="106" borderId="53" applyAlignment="1" pivotButton="0" quotePrefix="0" xfId="0">
      <alignment horizontal="center" vertical="center" wrapText="1"/>
    </xf>
    <xf numFmtId="0" fontId="250" fillId="106" borderId="50" applyAlignment="1" pivotButton="0" quotePrefix="0" xfId="0">
      <alignment horizontal="center" vertical="center" wrapText="1"/>
    </xf>
    <xf numFmtId="0" fontId="250" fillId="106" borderId="20" applyAlignment="1" pivotButton="0" quotePrefix="0" xfId="0">
      <alignment horizontal="center" vertical="center" wrapText="1"/>
    </xf>
    <xf numFmtId="0" fontId="250" fillId="106" borderId="19" applyAlignment="1" pivotButton="0" quotePrefix="0" xfId="0">
      <alignment horizontal="center" vertical="center" wrapText="1"/>
    </xf>
    <xf numFmtId="0" fontId="250" fillId="106" borderId="52" applyAlignment="1" pivotButton="0" quotePrefix="0" xfId="0">
      <alignment horizontal="center" vertical="center" wrapText="1"/>
    </xf>
    <xf numFmtId="0" fontId="263" fillId="34" borderId="56" applyAlignment="1" pivotButton="0" quotePrefix="0" xfId="0">
      <alignment horizontal="center" vertical="center" wrapText="1"/>
    </xf>
    <xf numFmtId="0" fontId="263" fillId="34" borderId="57" applyAlignment="1" pivotButton="0" quotePrefix="0" xfId="0">
      <alignment horizontal="center" vertical="center" wrapText="1"/>
    </xf>
    <xf numFmtId="0" fontId="250" fillId="34" borderId="52" applyAlignment="1" pivotButton="0" quotePrefix="0" xfId="0">
      <alignment horizontal="center" vertical="center" wrapText="1"/>
    </xf>
    <xf numFmtId="0" fontId="250" fillId="34" borderId="51" applyAlignment="1" pivotButton="0" quotePrefix="0" xfId="0">
      <alignment horizontal="center" vertical="center" wrapText="1"/>
    </xf>
    <xf numFmtId="0" fontId="263" fillId="34" borderId="13" applyAlignment="1" pivotButton="0" quotePrefix="0" xfId="0">
      <alignment horizontal="center" vertical="center" wrapText="1"/>
    </xf>
    <xf numFmtId="0" fontId="263" fillId="34" borderId="14" applyAlignment="1" pivotButton="0" quotePrefix="0" xfId="0">
      <alignment horizontal="center" vertical="center" wrapText="1"/>
    </xf>
    <xf numFmtId="0" fontId="250" fillId="106" borderId="27" applyAlignment="1" pivotButton="0" quotePrefix="0" xfId="0">
      <alignment horizontal="center" vertical="center" wrapText="1"/>
    </xf>
    <xf numFmtId="0" fontId="250" fillId="106" borderId="51" applyAlignment="1" pivotButton="0" quotePrefix="0" xfId="0">
      <alignment horizontal="center" vertical="center" wrapText="1"/>
    </xf>
    <xf numFmtId="0" fontId="244" fillId="0" borderId="2" applyAlignment="1" pivotButton="0" quotePrefix="0" xfId="0">
      <alignment horizontal="center" vertical="center"/>
    </xf>
    <xf numFmtId="0" fontId="245" fillId="0" borderId="2" applyAlignment="1" pivotButton="0" quotePrefix="0" xfId="0">
      <alignment horizontal="center" vertical="center"/>
    </xf>
    <xf numFmtId="0" fontId="249" fillId="0" borderId="2" applyAlignment="1" pivotButton="0" quotePrefix="0" xfId="0">
      <alignment horizontal="center" vertical="center" wrapText="1"/>
    </xf>
    <xf numFmtId="0" fontId="246" fillId="0" borderId="2" applyAlignment="1" pivotButton="0" quotePrefix="0" xfId="0">
      <alignment horizontal="left" vertical="center" wrapText="1"/>
    </xf>
    <xf numFmtId="0" fontId="247" fillId="0" borderId="2" applyAlignment="1" pivotButton="0" quotePrefix="0" xfId="0">
      <alignment horizontal="center" vertical="center" wrapText="1"/>
    </xf>
    <xf numFmtId="0" fontId="246" fillId="0" borderId="53" applyAlignment="1" pivotButton="0" quotePrefix="0" xfId="0">
      <alignment horizontal="center" vertical="center" wrapText="1"/>
    </xf>
    <xf numFmtId="0" fontId="246" fillId="0" borderId="50" applyAlignment="1" pivotButton="0" quotePrefix="0" xfId="0">
      <alignment horizontal="center" vertical="center" wrapText="1"/>
    </xf>
    <xf numFmtId="0" fontId="246" fillId="0" borderId="20" applyAlignment="1" pivotButton="0" quotePrefix="0" xfId="0">
      <alignment horizontal="left" vertical="center" wrapText="1"/>
    </xf>
    <xf numFmtId="0" fontId="246" fillId="0" borderId="19" applyAlignment="1" pivotButton="0" quotePrefix="0" xfId="0">
      <alignment horizontal="left" vertical="center" wrapText="1"/>
    </xf>
    <xf numFmtId="0" fontId="21" fillId="0" borderId="60" applyAlignment="1" pivotButton="0" quotePrefix="0" xfId="0">
      <alignment horizontal="center" vertical="center"/>
    </xf>
    <xf numFmtId="0" fontId="247" fillId="0" borderId="67" applyAlignment="1" pivotButton="0" quotePrefix="0" xfId="0">
      <alignment horizontal="center" vertical="center" wrapText="1"/>
    </xf>
    <xf numFmtId="0" fontId="247" fillId="0" borderId="68" applyAlignment="1" pivotButton="0" quotePrefix="0" xfId="0">
      <alignment horizontal="center" vertical="center" wrapText="1"/>
    </xf>
    <xf numFmtId="0" fontId="247" fillId="0" borderId="69" applyAlignment="1" pivotButton="0" quotePrefix="0" xfId="0">
      <alignment horizontal="center" vertical="center" wrapText="1"/>
    </xf>
    <xf numFmtId="0" fontId="21" fillId="0" borderId="54" applyAlignment="1" pivotButton="0" quotePrefix="0" xfId="0">
      <alignment horizontal="left" vertical="center" wrapText="1"/>
    </xf>
    <xf numFmtId="0" fontId="21" fillId="0" borderId="59" applyAlignment="1" pivotButton="0" quotePrefix="0" xfId="0">
      <alignment horizontal="center" vertical="center"/>
    </xf>
    <xf numFmtId="0" fontId="247" fillId="0" borderId="64" applyAlignment="1" pivotButton="0" quotePrefix="0" xfId="0">
      <alignment horizontal="center" vertical="center" wrapText="1"/>
    </xf>
    <xf numFmtId="0" fontId="247" fillId="0" borderId="65" applyAlignment="1" pivotButton="0" quotePrefix="0" xfId="0">
      <alignment horizontal="center" vertical="center" wrapText="1"/>
    </xf>
    <xf numFmtId="0" fontId="247" fillId="0" borderId="66" applyAlignment="1" pivotButton="0" quotePrefix="0" xfId="0">
      <alignment horizontal="center" vertical="center" wrapText="1"/>
    </xf>
    <xf numFmtId="0" fontId="21" fillId="0" borderId="70" applyAlignment="1" pivotButton="0" quotePrefix="0" xfId="0">
      <alignment horizontal="center" vertical="center"/>
    </xf>
    <xf numFmtId="0" fontId="247" fillId="0" borderId="61" applyAlignment="1" pivotButton="0" quotePrefix="0" xfId="0">
      <alignment horizontal="center" vertical="center" wrapText="1"/>
    </xf>
    <xf numFmtId="0" fontId="247" fillId="0" borderId="62" applyAlignment="1" pivotButton="0" quotePrefix="0" xfId="0">
      <alignment horizontal="center" vertical="center" wrapText="1"/>
    </xf>
    <xf numFmtId="0" fontId="247" fillId="0" borderId="63" applyAlignment="1" pivotButton="0" quotePrefix="0" xfId="0">
      <alignment horizontal="center" vertical="center" wrapText="1"/>
    </xf>
    <xf numFmtId="0" fontId="0" fillId="0" borderId="51" pivotButton="0" quotePrefix="0" xfId="0"/>
    <xf numFmtId="0" fontId="0" fillId="0" borderId="27" pivotButton="0" quotePrefix="0" xfId="0"/>
    <xf numFmtId="0" fontId="284" fillId="2" borderId="122" applyAlignment="1" pivotButton="0" quotePrefix="0" xfId="51076">
      <alignment horizontal="center"/>
    </xf>
    <xf numFmtId="0" fontId="0" fillId="0" borderId="75" pivotButton="0" quotePrefix="0" xfId="0"/>
    <xf numFmtId="0" fontId="281" fillId="2" borderId="122" applyAlignment="1" pivotButton="0" quotePrefix="0" xfId="51076">
      <alignment horizontal="center"/>
    </xf>
    <xf numFmtId="0" fontId="0" fillId="0" borderId="125" pivotButton="0" quotePrefix="0" xfId="0"/>
    <xf numFmtId="0" fontId="0" fillId="0" borderId="126" pivotButton="0" quotePrefix="0" xfId="0"/>
    <xf numFmtId="0" fontId="292" fillId="0" borderId="2" applyAlignment="1" pivotButton="0" quotePrefix="0" xfId="51077">
      <alignment horizontal="center" vertical="center"/>
    </xf>
    <xf numFmtId="164" fontId="292" fillId="0" borderId="2" applyAlignment="1" pivotButton="0" quotePrefix="1" xfId="51077">
      <alignment horizontal="center" vertical="center"/>
    </xf>
    <xf numFmtId="0" fontId="0" fillId="0" borderId="1" pivotButton="0" quotePrefix="0" xfId="0"/>
    <xf numFmtId="0" fontId="296" fillId="0" borderId="2" applyAlignment="1" pivotButton="0" quotePrefix="0" xfId="51078">
      <alignment horizontal="center" vertical="top" wrapText="1"/>
    </xf>
    <xf numFmtId="165" fontId="296" fillId="0" borderId="2" applyAlignment="1" pivotButton="0" quotePrefix="0" xfId="1">
      <alignment horizontal="center" vertical="top" wrapText="1"/>
    </xf>
    <xf numFmtId="166" fontId="297" fillId="0" borderId="1" applyAlignment="1" pivotButton="0" quotePrefix="0" xfId="3">
      <alignment horizontal="center" vertical="center"/>
    </xf>
    <xf numFmtId="0" fontId="0" fillId="0" borderId="19" pivotButton="0" quotePrefix="0" xfId="0"/>
    <xf numFmtId="167" fontId="297" fillId="46" borderId="2" applyAlignment="1" pivotButton="0" quotePrefix="0" xfId="51077">
      <alignment horizontal="center" vertical="center"/>
    </xf>
    <xf numFmtId="0" fontId="297" fillId="46" borderId="2" applyAlignment="1" pivotButton="0" quotePrefix="0" xfId="51077">
      <alignment horizontal="center" vertical="center"/>
    </xf>
    <xf numFmtId="168" fontId="301" fillId="46" borderId="2" applyAlignment="1" pivotButton="0" quotePrefix="0" xfId="51078">
      <alignment horizontal="center" vertical="center"/>
    </xf>
    <xf numFmtId="0" fontId="299" fillId="0" borderId="2" applyAlignment="1" pivotButton="0" quotePrefix="0" xfId="1">
      <alignment horizontal="center" vertical="center" wrapText="1"/>
    </xf>
    <xf numFmtId="0" fontId="296" fillId="0" borderId="2" applyAlignment="1" pivotButton="0" quotePrefix="0" xfId="1">
      <alignment horizontal="center" vertical="center" wrapText="1"/>
    </xf>
    <xf numFmtId="0" fontId="305" fillId="0" borderId="2" applyAlignment="1" pivotButton="0" quotePrefix="0" xfId="1">
      <alignment horizontal="center" vertical="center" wrapText="1"/>
    </xf>
    <xf numFmtId="0" fontId="312" fillId="108" borderId="129" applyAlignment="1" pivotButton="0" quotePrefix="0" xfId="51079">
      <alignment horizontal="center" vertical="center"/>
    </xf>
    <xf numFmtId="0" fontId="312" fillId="108" borderId="132" applyAlignment="1" pivotButton="0" quotePrefix="0" xfId="51079">
      <alignment horizontal="center" vertical="center"/>
    </xf>
    <xf numFmtId="0" fontId="0" fillId="0" borderId="85" pivotButton="0" quotePrefix="0" xfId="0"/>
    <xf numFmtId="0" fontId="312" fillId="108" borderId="133" applyAlignment="1" pivotButton="0" quotePrefix="0" xfId="51079">
      <alignment horizontal="center" vertical="center"/>
    </xf>
    <xf numFmtId="0" fontId="0" fillId="0" borderId="87" pivotButton="0" quotePrefix="0" xfId="0"/>
    <xf numFmtId="0" fontId="312" fillId="108" borderId="132" applyAlignment="1" pivotButton="0" quotePrefix="0" xfId="51079">
      <alignment horizontal="center" vertical="center" wrapText="1"/>
    </xf>
    <xf numFmtId="0" fontId="312" fillId="108" borderId="127" applyAlignment="1" pivotButton="0" quotePrefix="0" xfId="51079">
      <alignment horizontal="center" vertical="center" wrapText="1"/>
    </xf>
    <xf numFmtId="0" fontId="0" fillId="0" borderId="89" pivotButton="0" quotePrefix="0" xfId="0"/>
    <xf numFmtId="0" fontId="0" fillId="0" borderId="90" pivotButton="0" quotePrefix="0" xfId="0"/>
    <xf numFmtId="0" fontId="0" fillId="0" borderId="96" pivotButton="0" quotePrefix="0" xfId="0"/>
    <xf numFmtId="0" fontId="0" fillId="0" borderId="50" pivotButton="0" quotePrefix="0" xfId="0"/>
    <xf numFmtId="0" fontId="0" fillId="0" borderId="54" pivotButton="0" quotePrefix="0" xfId="0"/>
    <xf numFmtId="0" fontId="0" fillId="0" borderId="18" pivotButton="0" quotePrefix="0" xfId="0"/>
    <xf numFmtId="0" fontId="0" fillId="0" borderId="123" pivotButton="0" quotePrefix="0" xfId="0"/>
    <xf numFmtId="0" fontId="0" fillId="0" borderId="20" pivotButton="0" quotePrefix="0" xfId="0"/>
    <xf numFmtId="0" fontId="0" fillId="0" borderId="137" pivotButton="0" quotePrefix="0" xfId="0"/>
    <xf numFmtId="0" fontId="254" fillId="0" borderId="2" applyAlignment="1" pivotButton="0" quotePrefix="0" xfId="0">
      <alignment horizontal="left" vertical="center"/>
    </xf>
    <xf numFmtId="0" fontId="0" fillId="0" borderId="71" pivotButton="0" quotePrefix="0" xfId="0"/>
    <xf numFmtId="0" fontId="263" fillId="34" borderId="141" applyAlignment="1" pivotButton="0" quotePrefix="0" xfId="0">
      <alignment horizontal="center" vertical="center" wrapText="1"/>
    </xf>
    <xf numFmtId="0" fontId="0" fillId="0" borderId="57" pivotButton="0" quotePrefix="0" xfId="0"/>
    <xf numFmtId="0" fontId="263" fillId="34" borderId="138" applyAlignment="1" pivotButton="0" quotePrefix="0" xfId="0">
      <alignment horizontal="center" vertical="center" wrapText="1"/>
    </xf>
    <xf numFmtId="0" fontId="0" fillId="0" borderId="14" pivotButton="0" quotePrefix="0" xfId="0"/>
    <xf numFmtId="0" fontId="246" fillId="0" borderId="12" applyAlignment="1" pivotButton="0" quotePrefix="0" xfId="0">
      <alignment horizontal="center" vertical="center" wrapText="1"/>
    </xf>
    <xf numFmtId="0" fontId="246" fillId="0" borderId="1" applyAlignment="1" pivotButton="0" quotePrefix="0" xfId="0">
      <alignment horizontal="left" vertical="center" wrapText="1"/>
    </xf>
    <xf numFmtId="0" fontId="0" fillId="0" borderId="134" pivotButton="0" quotePrefix="0" xfId="0"/>
    <xf numFmtId="0" fontId="247" fillId="0" borderId="58" applyAlignment="1" pivotButton="0" quotePrefix="0" xfId="0">
      <alignment horizontal="center" vertical="center" wrapText="1"/>
    </xf>
    <xf numFmtId="0" fontId="0" fillId="0" borderId="62" pivotButton="0" quotePrefix="0" xfId="0"/>
    <xf numFmtId="0" fontId="0" fillId="0" borderId="63" pivotButton="0" quotePrefix="0" xfId="0"/>
    <xf numFmtId="0" fontId="0" fillId="0" borderId="66" pivotButton="0" quotePrefix="0" xfId="0"/>
    <xf numFmtId="0" fontId="247" fillId="0" borderId="59" applyAlignment="1" pivotButton="0" quotePrefix="0" xfId="0">
      <alignment horizontal="center" vertical="center" wrapText="1"/>
    </xf>
    <xf numFmtId="0" fontId="0" fillId="0" borderId="65" pivotButton="0" quotePrefix="0" xfId="0"/>
    <xf numFmtId="0" fontId="0" fillId="0" borderId="69" pivotButton="0" quotePrefix="0" xfId="0"/>
    <xf numFmtId="0" fontId="247" fillId="0" borderId="60" applyAlignment="1" pivotButton="0" quotePrefix="0" xfId="0">
      <alignment horizontal="center" vertical="center" wrapText="1"/>
    </xf>
    <xf numFmtId="0" fontId="0" fillId="0" borderId="68" pivotButton="0" quotePrefix="0" xfId="0"/>
  </cellXfs>
  <cellStyles count="51081">
    <cellStyle name="Normal" xfId="0" builtinId="0"/>
    <cellStyle name="Normal 2" xfId="1"/>
    <cellStyle name="표준_COR(1).40.WWP.SQ.0270_QPA_PWB_Rev2.0_Audit form (송부)_Process check list(영문) 취합" xfId="2"/>
    <cellStyle name="Comma [0] 2"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½C¿¹PL " xfId="20667"/>
    <cellStyle name="ÅëÈ­ [0]_½Ç¿¹PL " xfId="20668"/>
    <cellStyle name="AeE­ [0]_½C¿¹PL _1031상품손익(채)" xfId="20669"/>
    <cellStyle name="ÅëÈ­ [0]_¾÷Á¾º° " xfId="20670"/>
    <cellStyle name="AeE­ [0]_¾c½A " xfId="20671"/>
    <cellStyle name="ÅëÈ­ [0]_1.ÆÇ¸Å½ÇÀû " xfId="20672"/>
    <cellStyle name="AeE­ [0]_1.SUMMARY " xfId="20673"/>
    <cellStyle name="ÅëÈ­ [0]_1.SUMMARY " xfId="20674"/>
    <cellStyle name="AeE­ [0]_1.SUMMARY  2" xfId="20675"/>
    <cellStyle name="ÅëÈ­ [0]_1.SUMMARY  2" xfId="20676"/>
    <cellStyle name="AeE­ [0]_11¿a½A " xfId="20677"/>
    <cellStyle name="ÅëÈ­ [0]_2.CONCEPT " xfId="20678"/>
    <cellStyle name="AeE­ [0]_3.MSCHEDULE¿μ¹R " xfId="20679"/>
    <cellStyle name="ÅëÈ­ [0]_3PJTR°èÈ¹ " xfId="20680"/>
    <cellStyle name="AeE­ [0]_4 " xfId="20681"/>
    <cellStyle name="ÅëÈ­ [0]_4 " xfId="20682"/>
    <cellStyle name="AeE­ [0]_4  2" xfId="20683"/>
    <cellStyle name="ÅëÈ­ [0]_4  2" xfId="20684"/>
    <cellStyle name="AeE- [0]_4PART " xfId="20685"/>
    <cellStyle name="AeE­ [0]_6¿u2A°AO " xfId="20686"/>
    <cellStyle name="ÅëÈ­ [0]_6-3°æÀï·Â " xfId="20687"/>
    <cellStyle name="AeE- [0]_64-C STEPPER 줩!줩o?A줩줗(PHOTO) " xfId="20688"/>
    <cellStyle name="AeE­ [0]_7.MASTER SCHEDULE " xfId="20689"/>
    <cellStyle name="ÅëÈ­ [0]_7.MASTER SCHEDULE " xfId="20690"/>
    <cellStyle name="AeE­ [0]_7.MASTER SCHEDULE  2" xfId="20691"/>
    <cellStyle name="ÅëÈ­ [0]_7.MASTER SCHEDULE  2" xfId="20692"/>
    <cellStyle name="AeE­ [0]_95³aAN°y¼o·R " xfId="20693"/>
    <cellStyle name="AeE- [0]_953aAN줩y?o좵R " xfId="20694"/>
    <cellStyle name="AeE­ [0]_96¾Æ½OBD " xfId="20695"/>
    <cellStyle name="ÅëÈ­ [0]_Á¦Á¶1ºÎ1°ú ÇöÈ² " xfId="20696"/>
    <cellStyle name="AeE­ [0]_Ac°i°u¸R " xfId="20697"/>
    <cellStyle name="ÅëÈ­ [0]_ÀÎ¿ø°èÈ¹ " xfId="20698"/>
    <cellStyle name="AeE­ [0]_AN°yº¸°i-Aß°¡Ay°¨ " xfId="20699"/>
    <cellStyle name="ÅëÈ­ [0]_Áö]¿Ï¼ºÂ÷ " xfId="20700"/>
    <cellStyle name="AeE­ [0]_AoAUAy°eC￥ " xfId="20701"/>
    <cellStyle name="ÅëÈ­ [0]_ÅõÀÚÁý°èÇ¥ " xfId="20702"/>
    <cellStyle name="AeE­ [0]_AoAUAy°eC￥ _1031상품손익(채)" xfId="20703"/>
    <cellStyle name="ÅëÈ­ [0]_Ç¥Áö_ÅõÀÚÁý°èÇ¥ " xfId="20704"/>
    <cellStyle name="AeE­ [0]_C￥Ao_AoAUAy°eC￥ _경통외주가공비인상검토" xfId="20705"/>
    <cellStyle name="AeE- [0]_C줩좲no줩 " xfId="20706"/>
    <cellStyle name="ÅëÈ­ [0]_INQUIRY ¿µ¾÷ÃßÁø " xfId="20707"/>
    <cellStyle name="AeE­ [0]_INQUIRY ¿μ¾÷AßAø " xfId="20708"/>
    <cellStyle name="ÅëÈ­ [0]_lx-taxi " xfId="20709"/>
    <cellStyle name="AeE­ [0]_M105CDT " xfId="20710"/>
    <cellStyle name="ÅëÈ­ [0]_MKN-M1.1 " xfId="20711"/>
    <cellStyle name="AeE­ [0]_ºÐ·u±a01_AoAO°eE¹ " xfId="20712"/>
    <cellStyle name="ÅëÈ­ [0]_ºÐ·ù±â01_ÅõÀÔ°èÈ¹ " xfId="20713"/>
    <cellStyle name="AeE­ [0]_SAMPLE " xfId="20714"/>
    <cellStyle name="ÅëÈ­ [0]_SAMPLE " xfId="20715"/>
    <cellStyle name="AeE­ [0]_SAMPLE  2" xfId="20716"/>
    <cellStyle name="ÅëÈ­ [0]_SAMPLE  2" xfId="20717"/>
    <cellStyle name="AeE­ [0]_Sheet1 (2)_1.SUMMARY " xfId="20718"/>
    <cellStyle name="ÅëÈ­ [0]_Sheet1 (2)_1.SUMMARY " xfId="20719"/>
    <cellStyle name="AeE­ [0]_Sheet1 (2)_1.SUMMARY  2" xfId="20720"/>
    <cellStyle name="ÅëÈ­ [0]_Sheet1 (2)_1.SUMMARY  2" xfId="20721"/>
    <cellStyle name="AeE­ [0]_Sheet1_XD AOA¾AIA¤ " xfId="20722"/>
    <cellStyle name="ÅëÈ­ [0]_Sheet1_XD ÃÖÁ¾ÀÏÁ¤ " xfId="20723"/>
    <cellStyle name="AeE­ [0]_Sheet1_XD AOA¾AIA¤  2" xfId="20724"/>
    <cellStyle name="ÅëÈ­ [0]_Sheet1_XD ÃÖÁ¾ÀÏÁ¤  2" xfId="20725"/>
    <cellStyle name="AeE­ [0]_SMG-CKD-d1.1 " xfId="20726"/>
    <cellStyle name="ÅëÈ­ [0]_SMG-CKD-d1.1 " xfId="20727"/>
    <cellStyle name="AeE­ [0]_SMG-CKD-d1.1  2" xfId="20728"/>
    <cellStyle name="ÅëÈ­ [0]_SMG-CKD-d1.1  2" xfId="20729"/>
    <cellStyle name="AeE­ [0]_SP ¹°μ¿¹× ¿UAO " xfId="20730"/>
    <cellStyle name="AeE-_?c?A " xfId="20731"/>
    <cellStyle name="AeE­_¡U¾EU￢ A¾COºn±³ " xfId="20732"/>
    <cellStyle name="ÅëÈ­_¡Ú¾ÈÜ¬ Á¾ÇÕºñ±³ " xfId="20733"/>
    <cellStyle name="AeE­_¡U¾EU￢ A¾COºn±³  2" xfId="20734"/>
    <cellStyle name="ÅëÈ­_¡Ú¾ÈÜ¬ Á¾ÇÕºñ±³  2" xfId="20735"/>
    <cellStyle name="AeE­_´eCu≫cAa" xfId="20736"/>
    <cellStyle name="ÅëÈ­_¸ÅÃâ" xfId="20737"/>
    <cellStyle name="AeE­_¸nC￥°C¼o " xfId="20738"/>
    <cellStyle name="ÅëÈ­_¿ä¾àµµ" xfId="20739"/>
    <cellStyle name="AeE­_±aA¸" xfId="20740"/>
    <cellStyle name="ÅëÈ­_±âÅ¸_¼ÕÀÍÇ¥ (³â°è 83¾ï) " xfId="20741"/>
    <cellStyle name="AeE­_°eE¹_11¿a½A " xfId="20742"/>
    <cellStyle name="ÅëÈ­_°ü¸®Ç×¸ñ_¾÷Á¾º° " xfId="20743"/>
    <cellStyle name="AeE­_°u¸RC×¸n_¾÷A¾º° " xfId="20744"/>
    <cellStyle name="ÅëÈ­_¼­½ÄÃ¼01_ÅõÀÔ°èÈ¹ " xfId="20745"/>
    <cellStyle name="AeE­_¼­½AAI¶÷_AoAO°eE¹ " xfId="20746"/>
    <cellStyle name="ÅëÈ­_¼­½ÄÀÏ¶÷_ÅõÀÔ°èÈ¹ " xfId="20747"/>
    <cellStyle name="AeE­_½C¿¹PL " xfId="20748"/>
    <cellStyle name="ÅëÈ­_½Ç¿¹PL " xfId="20749"/>
    <cellStyle name="AeE­_½C¿¹PL _1031상품손익(채)" xfId="20750"/>
    <cellStyle name="ÅëÈ­_¾÷Á¾º° " xfId="20751"/>
    <cellStyle name="AeE­_¾c½A " xfId="20752"/>
    <cellStyle name="ÅëÈ­_1.ÆÇ¸Å½ÇÀû " xfId="20753"/>
    <cellStyle name="AeE­_1.SUMMARY " xfId="20754"/>
    <cellStyle name="ÅëÈ­_1.SUMMARY " xfId="20755"/>
    <cellStyle name="AeE­_1.SUMMARY  2" xfId="20756"/>
    <cellStyle name="ÅëÈ­_1.SUMMARY  2" xfId="20757"/>
    <cellStyle name="AeE­_11¿a½A " xfId="20758"/>
    <cellStyle name="ÅëÈ­_2.CONCEPT " xfId="20759"/>
    <cellStyle name="AeE­_3.MSCHEDULE¿μ¹R " xfId="20760"/>
    <cellStyle name="ÅëÈ­_3PJTR°èÈ¹ " xfId="20761"/>
    <cellStyle name="AeE­_4 " xfId="20762"/>
    <cellStyle name="ÅëÈ­_4 " xfId="20763"/>
    <cellStyle name="AeE­_4  2" xfId="20764"/>
    <cellStyle name="ÅëÈ­_4  2" xfId="20765"/>
    <cellStyle name="AeE-_4PART " xfId="20766"/>
    <cellStyle name="AeE­_6¿u2A°AO " xfId="20767"/>
    <cellStyle name="ÅëÈ­_6-3°æÀï·Â " xfId="20768"/>
    <cellStyle name="AeE-_64-C STEPPER 줩!줩o?A줩줗(PHOTO) " xfId="20769"/>
    <cellStyle name="AeE­_7.MASTER SCHEDULE " xfId="20770"/>
    <cellStyle name="ÅëÈ­_7.MASTER SCHEDULE " xfId="20771"/>
    <cellStyle name="AeE­_7.MASTER SCHEDULE  2" xfId="20772"/>
    <cellStyle name="ÅëÈ­_7.MASTER SCHEDULE  2" xfId="20773"/>
    <cellStyle name="AeE­_95³aAN°y¼o·R " xfId="20774"/>
    <cellStyle name="AeE-_953aAN줩y?o좵R " xfId="20775"/>
    <cellStyle name="AeE­_96¾Æ½OBD " xfId="20776"/>
    <cellStyle name="ÅëÈ­_Á¦Á¶1ºÎ1°ú ÇöÈ² " xfId="20777"/>
    <cellStyle name="AeE­_Ac°i°u¸R " xfId="20778"/>
    <cellStyle name="ÅëÈ­_ÀÎ¿ø°èÈ¹ " xfId="20779"/>
    <cellStyle name="AeE­_AN°yº¸°i-Aß°¡Ay°¨ " xfId="20780"/>
    <cellStyle name="ÅëÈ­_Áö]¿Ï¼ºÂ÷ " xfId="20781"/>
    <cellStyle name="AeE­_AoAUAy°eC￥ " xfId="20782"/>
    <cellStyle name="ÅëÈ­_ÅõÀÚÁý°èÇ¥ " xfId="20783"/>
    <cellStyle name="AeE­_AoAUAy°eC￥ _1031상품손익(채)" xfId="20784"/>
    <cellStyle name="ÅëÈ­_Ç¥Áö_ÅõÀÚÁý°èÇ¥ " xfId="20785"/>
    <cellStyle name="AeE­_C￥Ao_AoAUAy°eC￥ _경통외주가공비인상검토" xfId="20786"/>
    <cellStyle name="AeE-_C줩좲no줩 " xfId="20787"/>
    <cellStyle name="ÅëÈ­_INQUIRY ¿µ¾÷ÃßÁø " xfId="20788"/>
    <cellStyle name="AeE­_INQUIRY ¿μ¾÷AßAø " xfId="20789"/>
    <cellStyle name="ÅëÈ­_lx-taxi " xfId="20790"/>
    <cellStyle name="AeE­_M105CDT " xfId="20791"/>
    <cellStyle name="ÅëÈ­_MKN-M1.1 " xfId="20792"/>
    <cellStyle name="AeE­_ºÐ·u±a01_AoAO°eE¹ " xfId="20793"/>
    <cellStyle name="ÅëÈ­_ºÐ·ù±â01_ÅõÀÔ°èÈ¹ " xfId="20794"/>
    <cellStyle name="AeE­_SAMPLE " xfId="20795"/>
    <cellStyle name="ÅëÈ­_SAMPLE " xfId="20796"/>
    <cellStyle name="AeE­_SAMPLE  2" xfId="20797"/>
    <cellStyle name="ÅëÈ­_SAMPLE  2" xfId="20798"/>
    <cellStyle name="AeE­_Sheet1 (2)_1.SUMMARY " xfId="20799"/>
    <cellStyle name="ÅëÈ­_Sheet1 (2)_1.SUMMARY " xfId="20800"/>
    <cellStyle name="AeE­_Sheet1 (2)_1.SUMMARY  2" xfId="20801"/>
    <cellStyle name="ÅëÈ­_Sheet1 (2)_1.SUMMARY  2" xfId="20802"/>
    <cellStyle name="AeE­_Sheet1_XD AOA¾AIA¤ " xfId="20803"/>
    <cellStyle name="ÅëÈ­_Sheet1_XD ÃÖÁ¾ÀÏÁ¤ " xfId="20804"/>
    <cellStyle name="AeE­_Sheet1_XD AOA¾AIA¤  2" xfId="20805"/>
    <cellStyle name="ÅëÈ­_Sheet1_XD ÃÖÁ¾ÀÏÁ¤  2" xfId="20806"/>
    <cellStyle name="AeE­_SMG-CKD-d1.1 " xfId="20807"/>
    <cellStyle name="ÅëÈ­_SMG-CKD-d1.1 " xfId="20808"/>
    <cellStyle name="AeE­_SMG-CKD-d1.1  2" xfId="20809"/>
    <cellStyle name="ÅëÈ­_SMG-CKD-d1.1  2" xfId="20810"/>
    <cellStyle name="AeE­_SP ¹°μ¿¹× ¿UAO " xfId="20811"/>
    <cellStyle name="AeE¡? [0]_AoAUAy¡ÆeC¡? " xfId="20812"/>
    <cellStyle name="AeE¡?_AoAUAy¡ÆeC¡? " xfId="20813"/>
    <cellStyle name="AeE¡© [0]_  RANGE " xfId="20814"/>
    <cellStyle name="AeE¡©_  RANGE " xfId="20815"/>
    <cellStyle name="AeE¡ⓒ [0]_¡Æu￠￢RC¡I " xfId="20816"/>
    <cellStyle name="AeE¡ⓒ_¡Æu￠￢RC¡I " xfId="20817"/>
    <cellStyle name="AeE¡ER¡§I [0]_¡ER¡§￠R¡§I¡ERAi¡ERicAc¡ER¡§￠Ri " xfId="20818"/>
    <cellStyle name="AeE¡ER¡§I_¡ER¡§￠R¡§I¡ERAi¡ERicAc¡ER¡§￠Ri " xfId="20819"/>
    <cellStyle name="AeE¡ERER¡ER￠R¡¿I [0]_¡ER￠R¡¿IoY￠RERIi￠RERIiA￠RER¡ER￠R￠?u_￠RER¡ER￠R￠?uOAIAo¡ERER¡ER￠R¡¿￠RER¡ERER￠RER¡ER¡E? " xfId="20820"/>
    <cellStyle name="AeE¡ERER¡ER￠R¡¿I_¡ER￠R¡¿IoY￠RERIi￠RERIiA￠RER¡ER￠R￠?u_￠RER¡ER￠R￠?uOAIAo¡ERER¡ER￠R¡¿￠RER¡ERER￠RER¡ER¡E? " xfId="20821"/>
    <cellStyle name="AeE￠R¨I [0]_￠R¨¡¨I￠RAi￠RicAc￠R¨¡i " xfId="20822"/>
    <cellStyle name="AeE￠R¨I_￠R¨¡¨I￠RAi￠RicAc￠R¨¡i " xfId="20823"/>
    <cellStyle name="AeE￠RER￠R¡×I [0]_  A¡ER￠R¡¿u  CO  " xfId="20824"/>
    <cellStyle name="AeE￠RER￠R¡×I_  A¡ER￠R¡¿u  CO  " xfId="20825"/>
    <cellStyle name="ALIGNMENT" xfId="20826"/>
    <cellStyle name="AÞ¸¶ [0]_ PLAN97 " xfId="20827"/>
    <cellStyle name="ÄÞ¸¶ [0]_¡Ú¾ÈÜ¬ Á¾ÇÕºñ±³ " xfId="20828"/>
    <cellStyle name="AÞ¸¶ [0]_´eCu≫cAa" xfId="20829"/>
    <cellStyle name="ÄÞ¸¶ [0]_¸ÅÃâ" xfId="20830"/>
    <cellStyle name="AÞ¸¶ [0]_¸i¼¼C￥ " xfId="20831"/>
    <cellStyle name="ÄÞ¸¶ [0]_¸ñÂ÷ " xfId="20832"/>
    <cellStyle name="AÞ¸¶ [0]_±aA¸" xfId="20833"/>
    <cellStyle name="ÄÞ¸¶ [0]_°ü¸®BS('98) " xfId="20834"/>
    <cellStyle name="AÞ¸¶ [0]_°u¸RBS('98) " xfId="20835"/>
    <cellStyle name="ÄÞ¸¶ [0]_¼öÁÖ°èÈ¹(SMD) " xfId="20836"/>
    <cellStyle name="AÞ¸¶ [0]_½C¿¹PL " xfId="20837"/>
    <cellStyle name="ÄÞ¸¶ [0]_½Ç¿¹PL " xfId="20838"/>
    <cellStyle name="AÞ¸¶ [0]_¾÷A¾º° " xfId="20839"/>
    <cellStyle name="ÄÞ¸¶ [0]_1.ÆÇ¸Å½ÇÀû " xfId="20840"/>
    <cellStyle name="AÞ¸¶ [0]_1.SUMMARY " xfId="20841"/>
    <cellStyle name="ÄÞ¸¶ [0]_1.SUMMARY " xfId="20842"/>
    <cellStyle name="AÞ¸¶ [0]_1.SUMMARY  2" xfId="20843"/>
    <cellStyle name="ÄÞ¸¶ [0]_1.SUMMARY  2" xfId="20844"/>
    <cellStyle name="AÞ¸¶ [0]_11¿a½A " xfId="20845"/>
    <cellStyle name="ÄÞ¸¶ [0]_2.CONCEPT " xfId="20846"/>
    <cellStyle name="AÞ¸¶ [0]_3.MSCHEDULE¿μ¹R " xfId="20847"/>
    <cellStyle name="ÄÞ¸¶ [0]_3PJTR°èÈ¹ " xfId="20848"/>
    <cellStyle name="AÞ¸¶ [0]_4 " xfId="20849"/>
    <cellStyle name="ÄÞ¸¶ [0]_4 " xfId="20850"/>
    <cellStyle name="AÞ¸¶ [0]_4  2" xfId="20851"/>
    <cellStyle name="ÄÞ¸¶ [0]_4  2" xfId="20852"/>
    <cellStyle name="AÞ¸¶ [0]_6-3°æAi·A " xfId="20853"/>
    <cellStyle name="ÄÞ¸¶ [0]_6-3°æÀï·Â " xfId="20854"/>
    <cellStyle name="AÞ¸¶ [0]_7.MASTER SCHEDULE " xfId="20855"/>
    <cellStyle name="ÄÞ¸¶ [0]_7.MASTER SCHEDULE " xfId="20856"/>
    <cellStyle name="AÞ¸¶ [0]_7.MASTER SCHEDULE  2" xfId="20857"/>
    <cellStyle name="ÄÞ¸¶ [0]_7.MASTER SCHEDULE  2" xfId="20858"/>
    <cellStyle name="AÞ¸¶ [0]_96¾Æ½OBD " xfId="20859"/>
    <cellStyle name="ÄÞ¸¶ [0]_Á¦Á¶1ºÎ1°ú ÇöÈ² " xfId="20860"/>
    <cellStyle name="AÞ¸¶ [0]_Ac°i°u¸R " xfId="20861"/>
    <cellStyle name="ÄÞ¸¶ [0]_ÀÎ¿ø°èÈ¹ " xfId="20862"/>
    <cellStyle name="AÞ¸¶ [0]_AN°yº¸°i-Aß°¡Ay°¨ " xfId="20863"/>
    <cellStyle name="ÄÞ¸¶ [0]_ÃÖÁ¾ÀÏÁ¤ " xfId="20864"/>
    <cellStyle name="AÞ¸¶ [0]_AoAUAy°eC￥ _경통외주가공비인상검토" xfId="20865"/>
    <cellStyle name="ÄÞ¸¶ [0]_Ç¥Áö_ÅõÀÚÁý°èÇ¥ " xfId="20866"/>
    <cellStyle name="AÞ¸¶ [0]_C￥Ao_AoAUAy°eC￥ _경통외주가공비인상검토" xfId="20867"/>
    <cellStyle name="ÄÞ¸¶ [0]_lx-taxi " xfId="20868"/>
    <cellStyle name="AÞ¸¶ [0]_M105CDT " xfId="20869"/>
    <cellStyle name="ÄÞ¸¶ [0]_MKN-M1.1 " xfId="20870"/>
    <cellStyle name="AÞ¸¶ [0]_SAMPLE " xfId="20871"/>
    <cellStyle name="ÄÞ¸¶ [0]_SAMPLE " xfId="20872"/>
    <cellStyle name="AÞ¸¶ [0]_SAMPLE  2" xfId="20873"/>
    <cellStyle name="ÄÞ¸¶ [0]_SAMPLE  2" xfId="20874"/>
    <cellStyle name="AÞ¸¶ [0]_Sheet1 (2)_1.SUMMARY " xfId="20875"/>
    <cellStyle name="ÄÞ¸¶ [0]_Sheet1 (2)_1.SUMMARY " xfId="20876"/>
    <cellStyle name="AÞ¸¶ [0]_Sheet1 (2)_1.SUMMARY  2" xfId="20877"/>
    <cellStyle name="ÄÞ¸¶ [0]_Sheet1 (2)_1.SUMMARY  2" xfId="20878"/>
    <cellStyle name="AÞ¸¶ [0]_Sheet1_XD AOA¾AIA¤ " xfId="20879"/>
    <cellStyle name="ÄÞ¸¶ [0]_Sheet1_XD ÃÖÁ¾ÀÏÁ¤ " xfId="20880"/>
    <cellStyle name="AÞ¸¶ [0]_Sheet1_XD AOA¾AIA¤  2" xfId="20881"/>
    <cellStyle name="ÄÞ¸¶ [0]_Sheet1_XD ÃÖÁ¾ÀÏÁ¤  2" xfId="20882"/>
    <cellStyle name="AÞ¸¶ [0]_SMG-CKD-d1.1 " xfId="20883"/>
    <cellStyle name="ÄÞ¸¶ [0]_SMG-CKD-d1.1 " xfId="20884"/>
    <cellStyle name="AÞ¸¶ [0]_SMG-CKD-d1.1  2" xfId="20885"/>
    <cellStyle name="ÄÞ¸¶ [0]_SMG-CKD-d1.1  2" xfId="20886"/>
    <cellStyle name="AÞ¸¶ [0]_SP ¹°μ¿¹× ¿UAO " xfId="20887"/>
    <cellStyle name="AÞ¸¶_¡U¾EU￢ A¾COºn±³ " xfId="20888"/>
    <cellStyle name="ÄÞ¸¶_¡Ú¾ÈÜ¬ Á¾ÇÕºñ±³ " xfId="20889"/>
    <cellStyle name="AÞ¸¶_¡U¾EU￢ A¾COºn±³  2" xfId="20890"/>
    <cellStyle name="ÄÞ¸¶_¡Ú¾ÈÜ¬ Á¾ÇÕºñ±³  2" xfId="20891"/>
    <cellStyle name="AÞ¸¶_´eCu≫cAa" xfId="20892"/>
    <cellStyle name="ÄÞ¸¶_¸ÅÃâ" xfId="20893"/>
    <cellStyle name="AÞ¸¶_¸nC￥°C¼o " xfId="20894"/>
    <cellStyle name="ÄÞ¸¶_¿ä¾àµµ" xfId="20895"/>
    <cellStyle name="AÞ¸¶_±aA¸" xfId="20896"/>
    <cellStyle name="ÄÞ¸¶_±âÅ¸_¼ÕÀÍÇ¥ (³â°è 83¾ï) " xfId="20897"/>
    <cellStyle name="AÞ¸¶_°eE¹_11¿a½A " xfId="20898"/>
    <cellStyle name="ÄÞ¸¶_°ü¸®Ç×¸ñ_¾÷Á¾º° " xfId="20899"/>
    <cellStyle name="AÞ¸¶_°u¸RC×¸n_¾÷A¾º° " xfId="20900"/>
    <cellStyle name="ÄÞ¸¶_¼öÁÖ°èÈ¹(SMD) " xfId="20901"/>
    <cellStyle name="AÞ¸¶_½C¿¹PL " xfId="20902"/>
    <cellStyle name="ÄÞ¸¶_½Ç¿¹PL " xfId="20903"/>
    <cellStyle name="AÞ¸¶_½C¿¹PL _1031상품손익(채)" xfId="20904"/>
    <cellStyle name="ÄÞ¸¶_¾÷Á¾º° " xfId="20905"/>
    <cellStyle name="AÞ¸¶_¾c½A " xfId="20906"/>
    <cellStyle name="ÄÞ¸¶_1.ÆÇ¸Å½ÇÀû " xfId="20907"/>
    <cellStyle name="AÞ¸¶_1.SUMMARY " xfId="20908"/>
    <cellStyle name="ÄÞ¸¶_1.SUMMARY " xfId="20909"/>
    <cellStyle name="AÞ¸¶_1.SUMMARY  2" xfId="20910"/>
    <cellStyle name="ÄÞ¸¶_1.SUMMARY  2" xfId="20911"/>
    <cellStyle name="AÞ¸¶_11¿a½A " xfId="20912"/>
    <cellStyle name="ÄÞ¸¶_2.CONCEPT " xfId="20913"/>
    <cellStyle name="AÞ¸¶_3.MSCHEDULE¿μ¹R " xfId="20914"/>
    <cellStyle name="ÄÞ¸¶_3PJTR°èÈ¹ " xfId="20915"/>
    <cellStyle name="AÞ¸¶_4 " xfId="20916"/>
    <cellStyle name="ÄÞ¸¶_4 " xfId="20917"/>
    <cellStyle name="AÞ¸¶_4  2" xfId="20918"/>
    <cellStyle name="ÄÞ¸¶_4  2" xfId="20919"/>
    <cellStyle name="AÞ¸¶_6-3°æAi·A " xfId="20920"/>
    <cellStyle name="ÄÞ¸¶_6-3°æÀï·Â " xfId="20921"/>
    <cellStyle name="AÞ¸¶_7.MASTER SCHEDULE " xfId="20922"/>
    <cellStyle name="ÄÞ¸¶_7.MASTER SCHEDULE " xfId="20923"/>
    <cellStyle name="AÞ¸¶_7.MASTER SCHEDULE  2" xfId="20924"/>
    <cellStyle name="ÄÞ¸¶_7.MASTER SCHEDULE  2" xfId="20925"/>
    <cellStyle name="AÞ¸¶_96¾Æ½OBD " xfId="20926"/>
    <cellStyle name="ÄÞ¸¶_Á¦Á¶1ºÎ1°ú ÇöÈ² " xfId="20927"/>
    <cellStyle name="AÞ¸¶_Ac°i°u¸R " xfId="20928"/>
    <cellStyle name="ÄÞ¸¶_ÀÎ¿ø°èÈ¹ " xfId="20929"/>
    <cellStyle name="AÞ¸¶_AN°yº¸°i-Aß°¡Ay°¨ " xfId="20930"/>
    <cellStyle name="ÄÞ¸¶_Áö]¿Ï¼ºÂ÷ " xfId="20931"/>
    <cellStyle name="AÞ¸¶_AoAUAy°eC￥ " xfId="20932"/>
    <cellStyle name="ÄÞ¸¶_ÅõÀÚÁý°èÇ¥ " xfId="20933"/>
    <cellStyle name="AÞ¸¶_AoAUAy°eC￥ _1031상품손익(채)" xfId="20934"/>
    <cellStyle name="ÄÞ¸¶_Ç¥Áö_ÅõÀÚÁý°èÇ¥ " xfId="20935"/>
    <cellStyle name="AÞ¸¶_C￥Ao_AoAUAy°eC￥ _경통외주가공비인상검토" xfId="20936"/>
    <cellStyle name="ÄÞ¸¶_lx-taxi " xfId="20937"/>
    <cellStyle name="AÞ¸¶_M105CDT " xfId="20938"/>
    <cellStyle name="ÄÞ¸¶_MKN-M1.1 " xfId="20939"/>
    <cellStyle name="AÞ¸¶_SAMPLE " xfId="20940"/>
    <cellStyle name="ÄÞ¸¶_SAMPLE " xfId="20941"/>
    <cellStyle name="AÞ¸¶_SAMPLE  2" xfId="20942"/>
    <cellStyle name="ÄÞ¸¶_SAMPLE  2" xfId="20943"/>
    <cellStyle name="AÞ¸¶_Sheet1 (2)_1.SUMMARY " xfId="20944"/>
    <cellStyle name="ÄÞ¸¶_Sheet1 (2)_1.SUMMARY " xfId="20945"/>
    <cellStyle name="AÞ¸¶_Sheet1 (2)_1.SUMMARY  2" xfId="20946"/>
    <cellStyle name="ÄÞ¸¶_Sheet1 (2)_1.SUMMARY  2" xfId="20947"/>
    <cellStyle name="AÞ¸¶_Sheet1_XD AOA¾AIA¤ " xfId="20948"/>
    <cellStyle name="ÄÞ¸¶_Sheet1_XD ÃÖÁ¾ÀÏÁ¤ " xfId="20949"/>
    <cellStyle name="AÞ¸¶_Sheet1_XD AOA¾AIA¤  2" xfId="20950"/>
    <cellStyle name="ÄÞ¸¶_Sheet1_XD ÃÖÁ¾ÀÏÁ¤  2" xfId="20951"/>
    <cellStyle name="AÞ¸¶_SMG-CKD-d1.1 " xfId="20952"/>
    <cellStyle name="ÄÞ¸¶_SMG-CKD-d1.1 " xfId="20953"/>
    <cellStyle name="AÞ¸¶_SMG-CKD-d1.1  2" xfId="20954"/>
    <cellStyle name="ÄÞ¸¶_SMG-CKD-d1.1  2" xfId="20955"/>
    <cellStyle name="AÞ¸¶_SP ¹°μ¿¹× ¿UAO " xfId="20956"/>
    <cellStyle name="AT좲? [0]_?c?A " xfId="20957"/>
    <cellStyle name="AT좲?_?c?A " xfId="20958"/>
    <cellStyle name="_x0001_b" xfId="20959"/>
    <cellStyle name="_x0001_b 2" xfId="20960"/>
    <cellStyle name="Bad 2" xfId="20961"/>
    <cellStyle name="Bad 2 2" xfId="20962"/>
    <cellStyle name="Bad 3" xfId="20963"/>
    <cellStyle name="Bad 3 2" xfId="20964"/>
    <cellStyle name="Bad 3 2 2" xfId="20965"/>
    <cellStyle name="Bad 4" xfId="20966"/>
    <cellStyle name="Bad 5" xfId="20967"/>
    <cellStyle name="Body" xfId="20968"/>
    <cellStyle name="Body 2" xfId="20969"/>
    <cellStyle name="C¡?A¨ª_?ø¡?AU¨??ø¨?n " xfId="20970"/>
    <cellStyle name="C¡ERERIA￠RER¡ER￠R￠?¡ER￠R¡¿¡ERI_¡ERER¡ER￠R¡¿￠RER¡ER￠R¡¿I¡ER￠R¡¿¡ERI¡ER￠R¡¿IoR5 " xfId="20971"/>
    <cellStyle name="C¡ERIA￠R¡×¡§¡I_¡ER¡§￠R¡§I¡ERAi¡ERicAc¡ER¡§￠Ri " xfId="20972"/>
    <cellStyle name="C¡ÍA¨ª_   " xfId="20973"/>
    <cellStyle name="C¡IA¨ª_¡¾ⓒo¨¡C_`96.9￠?u¨ªC " xfId="20974"/>
    <cellStyle name="C¡ÍA¨ª_©ø¡íAU¨ù©ø¨¬n " xfId="20975"/>
    <cellStyle name="C¡IA¨ª_M105CDT " xfId="20976"/>
    <cellStyle name="C¡ÍA¨ª_M105CDT " xfId="20977"/>
    <cellStyle name="C¡IA¨ª_M105CDT  2" xfId="20978"/>
    <cellStyle name="C¡ÍA¨ª_M105CDT  2" xfId="20979"/>
    <cellStyle name="C¡IA¨ª_M107CDT " xfId="20980"/>
    <cellStyle name="C¡ÍA¨ª_M107CDT " xfId="20981"/>
    <cellStyle name="C¡IA¨ª_M107CDT  2" xfId="20982"/>
    <cellStyle name="C¡ÍA¨ª_M107CDT  2" xfId="20983"/>
    <cellStyle name="C￠RERIA¡ER￠R¡¿￠R¡×￠RI_   " xfId="20984"/>
    <cellStyle name="C￠RIA¡§¨￡_￠R¨¡¨I￠RAi￠RicAc￠R¨¡i " xfId="20985"/>
    <cellStyle name="C￥AØ_  FAB AIA¤  " xfId="20986"/>
    <cellStyle name="Ç¥ÁØ_#5  3A2475 (v2500)" xfId="20987"/>
    <cellStyle name="C￥AØ_¸AAa.¼OAI " xfId="20988"/>
    <cellStyle name="Ç¥ÁØ_¿¬±¸°³¹ßºñ(°èÁ¤º°) " xfId="20989"/>
    <cellStyle name="C￥AØ_¿¹≫e¿aA≫ " xfId="20990"/>
    <cellStyle name="Ç¥ÁØ_¿ù»ý»ê(È®Á¤°è¾à)_1_ÁÖ°£ÀÏÁ¤ " xfId="20991"/>
    <cellStyle name="C￥AØ_¿μ¾÷CoE² " xfId="20992"/>
    <cellStyle name="Ç¥ÁØ_±¹ÆÇ_`96.9¿ùØÇ " xfId="20993"/>
    <cellStyle name="C￥AØ_≫c¾÷ºIº° AN°e " xfId="20994"/>
    <cellStyle name="Ç¥ÁØ_°¡¼Ö¸°ÀÏÁ¤_µðÁ©ÀÏÁ¤ " xfId="20995"/>
    <cellStyle name="C￥AØ_°¡¼O¸°AIA¤_μðAⓒAIA¤ " xfId="20996"/>
    <cellStyle name="Ç¥ÁØ_°³¹ßÀÏÁ¤ " xfId="20997"/>
    <cellStyle name="C￥AØ_°³¹ßAIA¤  (2)_°³¹ßAIA¤ " xfId="20998"/>
    <cellStyle name="Ç¥ÁØ_°³¹ßÀÏÁ¤  (2)_°³¹ßÀÏÁ¤ " xfId="20999"/>
    <cellStyle name="C￥AØ_°³¹ßAIA¤  (2)_°³¹ßAIA¤  2" xfId="21000"/>
    <cellStyle name="Ç¥ÁØ_°³¹ßÀÏÁ¤  (2)_°³¹ßÀÏÁ¤  2" xfId="21001"/>
    <cellStyle name="C￥AØ_°ø¹R5 " xfId="21002"/>
    <cellStyle name="Ç¥ÁØ_°ü¸®Ç¥ " xfId="21003"/>
    <cellStyle name="C￥AØ_°u¸RBS('98) " xfId="21004"/>
    <cellStyle name="Ç¥ÁØ_0N-HANDLING " xfId="21005"/>
    <cellStyle name="C￥AØ_¼±AoAc°i_1_³≫ºI°eE¹´e AßA¤A÷AI " xfId="21006"/>
    <cellStyle name="Ç¥ÁØ_¼ÕÀÍÂ÷ÀÌ ¿øÀÎ " xfId="21007"/>
    <cellStyle name="C￥AØ_½C¿¹PL " xfId="21008"/>
    <cellStyle name="Ç¥ÁØ_¾÷Á¾º° " xfId="21009"/>
    <cellStyle name="C￥AØ_1.ÆC¸A½CAu " xfId="21010"/>
    <cellStyle name="Ç¥ÁØ_1.ÆÇ¸Å½ÇÀû " xfId="21011"/>
    <cellStyle name="C￥AØ_1.SUMMARY " xfId="21012"/>
    <cellStyle name="Ç¥ÁØ_1.SUMMARY " xfId="21013"/>
    <cellStyle name="C￥AØ_1.SUMMARY  2" xfId="21014"/>
    <cellStyle name="Ç¥ÁØ_1.SUMMARY  2" xfId="21015"/>
    <cellStyle name="C￥AØ_1~7¿u ´e¸RA¡ ¸AAa ¼oAO ½CAu_1~8¿u ´e¸RA¡ ¸AAa " xfId="21016"/>
    <cellStyle name="Ç¥ÁØ_12¿ù " xfId="21017"/>
    <cellStyle name="C￥AØ_12AO " xfId="21018"/>
    <cellStyle name="Ç¥ÁØ_3PJTR°èÈ¹ " xfId="21019"/>
    <cellStyle name="C￥AØ_4 " xfId="21020"/>
    <cellStyle name="Ç¥ÁØ_4 " xfId="21021"/>
    <cellStyle name="C￥AØ_4  2" xfId="21022"/>
    <cellStyle name="Ç¥ÁØ_4  2" xfId="21023"/>
    <cellStyle name="C￥AØ_5-1±¤°i " xfId="21024"/>
    <cellStyle name="Ç¥ÁØ_5-1±¤°í " xfId="21025"/>
    <cellStyle name="C￥AØ_5-1±¤°i  2" xfId="21026"/>
    <cellStyle name="Ç¥ÁØ_5-1±¤°í  2" xfId="21027"/>
    <cellStyle name="C￥AØ_5-1±¤°i _6RCB1 " xfId="21028"/>
    <cellStyle name="Ç¥ÁØ_6-3°æÀï·Â " xfId="21029"/>
    <cellStyle name="C￥AØ_7.MASTER SCHEDULE " xfId="21030"/>
    <cellStyle name="Ç¥ÁØ_7.MASTER SCHEDULE " xfId="21031"/>
    <cellStyle name="C￥AØ_7.MASTER SCHEDULE  2" xfId="21032"/>
    <cellStyle name="Ç¥ÁØ_7.MASTER SCHEDULE  2" xfId="21033"/>
    <cellStyle name="C￥AØ_7¿u~12¿u Aa°i ¿¹≫o " xfId="21034"/>
    <cellStyle name="Ç¥ÁØ_96ÀÎ¿ø°è2 " xfId="21035"/>
    <cellStyle name="C￥AØ_A≪¸Þ¶o °iA¤AU≫e(°³¹ß½C) " xfId="21036"/>
    <cellStyle name="Ç¥ÁØ_Ã·ºÎ2 " xfId="21037"/>
    <cellStyle name="C￥AØ_A³ºÐ¾E " xfId="21038"/>
    <cellStyle name="Ç¥ÁØ_Àç°í°ü¸® " xfId="21039"/>
    <cellStyle name="C￥AØ_Ac°i°u¸R " xfId="21040"/>
    <cellStyle name="Ç¥ÁØ_ÀÏÁ¤°ËÅä¾È" xfId="21041"/>
    <cellStyle name="C￥AØ_ANCO°e " xfId="21042"/>
    <cellStyle name="Ç¥ÁØ_Áö]¿Ï¼ºÂ÷ " xfId="21043"/>
    <cellStyle name="C￥AØ_AoAUAy°eC￥ " xfId="21044"/>
    <cellStyle name="Ç¥ÁØ_ÅõÀÚÁý°èÇ¥ " xfId="21045"/>
    <cellStyle name="C￥AØ_AoAUºn(ºI¼­º°,°eA¤º°) " xfId="21046"/>
    <cellStyle name="Ç¥ÁØ_ÅõÀÚºñ(ºÎ¼­º°,°èÁ¤º°) " xfId="21047"/>
    <cellStyle name="C￥AØ_Aß±a≫y≫e°eE¹ " xfId="21048"/>
    <cellStyle name="Ç¥ÁØ_Áý°èÇ¥(2¿ù) " xfId="21049"/>
    <cellStyle name="C￥AØ_CoAo¹yAI °A¾×¿ⓒ½A " xfId="21050"/>
    <cellStyle name="Ç¥ÁØ_ÇùÁ¶Àü_ÅõÀÔ°èÈ¹ " xfId="21051"/>
    <cellStyle name="C￥AØ_lx-taxi " xfId="21052"/>
    <cellStyle name="Ç¥ÁØ_lx-taxi " xfId="21053"/>
    <cellStyle name="C￥AØ_lx-taxi  2" xfId="21054"/>
    <cellStyle name="Ç¥ÁØ_lx-taxi  2" xfId="21055"/>
    <cellStyle name="C￥AØ_MKN-M1.1 " xfId="21056"/>
    <cellStyle name="Ç¥ÁØ_MKN-M1.1 " xfId="21057"/>
    <cellStyle name="C￥AØ_MKN-M1.1  2" xfId="21058"/>
    <cellStyle name="Ç¥ÁØ_MKN-M1.1  2" xfId="21059"/>
    <cellStyle name="C￥AØ_RDTR99ML " xfId="21060"/>
    <cellStyle name="Ç¥ÁØ_RDTR99ML " xfId="21061"/>
    <cellStyle name="C￥AØ_RDTR99ML  2" xfId="21062"/>
    <cellStyle name="Ç¥ÁØ_RDTR99ML  2" xfId="21063"/>
    <cellStyle name="C￥AØ_Sheet1_4PART " xfId="21064"/>
    <cellStyle name="Ç¥ÁØ_SMG-CKD-d1.1 " xfId="21065"/>
    <cellStyle name="C￥AØ_trr-runsheet . full . final " xfId="21066"/>
    <cellStyle name="Ç¥ÁØ_trr-runsheet . full . final " xfId="21067"/>
    <cellStyle name="C￥AØ_WIPER " xfId="21068"/>
    <cellStyle name="Ç¥ÁØ_WIPER " xfId="21069"/>
    <cellStyle name="C￥AØ_WIPER  2" xfId="21070"/>
    <cellStyle name="Ç¥ÁØ_WIPER  2" xfId="21071"/>
    <cellStyle name="C￥AØ_XD AOA¾AIA¤ " xfId="21072"/>
    <cellStyle name="Ç¥ÁØ_XD ÃÖÁ¾ÀÏÁ¤ " xfId="21073"/>
    <cellStyle name="C￥AØ_XD AOA¾AIA¤  2" xfId="21074"/>
    <cellStyle name="Ç¥ÁØ_XD ÃÖÁ¾ÀÏÁ¤  2" xfId="21075"/>
    <cellStyle name="C￥AØ_μðAⓒAIA¤ " xfId="21076"/>
    <cellStyle name="Calc Currency (0)" xfId="21077"/>
    <cellStyle name="Calc Currency (2)" xfId="21078"/>
    <cellStyle name="Calc Percent (0)" xfId="21079"/>
    <cellStyle name="Calc Percent (1)" xfId="21080"/>
    <cellStyle name="Calc Percent (2)" xfId="21081"/>
    <cellStyle name="Calc Units (0)" xfId="21082"/>
    <cellStyle name="Calc Units (1)" xfId="21083"/>
    <cellStyle name="Calc Units (2)" xfId="21084"/>
    <cellStyle name="Calculation 10" xfId="21085"/>
    <cellStyle name="Calculation 10 2" xfId="21086"/>
    <cellStyle name="Calculation 10 2 2" xfId="21087"/>
    <cellStyle name="Calculation 10 2 3" xfId="21088"/>
    <cellStyle name="Calculation 10 2 4" xfId="21089"/>
    <cellStyle name="Calculation 10 3" xfId="21090"/>
    <cellStyle name="Calculation 10 3 2" xfId="21091"/>
    <cellStyle name="Calculation 10 3 3" xfId="21092"/>
    <cellStyle name="Calculation 10 4" xfId="21093"/>
    <cellStyle name="Calculation 10 5" xfId="21094"/>
    <cellStyle name="Calculation 11" xfId="21095"/>
    <cellStyle name="Calculation 11 2" xfId="21096"/>
    <cellStyle name="Calculation 11 2 2" xfId="21097"/>
    <cellStyle name="Calculation 11 2 3" xfId="21098"/>
    <cellStyle name="Calculation 11 2 4" xfId="21099"/>
    <cellStyle name="Calculation 11 3" xfId="21100"/>
    <cellStyle name="Calculation 11 3 2" xfId="21101"/>
    <cellStyle name="Calculation 11 3 3" xfId="21102"/>
    <cellStyle name="Calculation 11 4" xfId="21103"/>
    <cellStyle name="Calculation 11 5" xfId="21104"/>
    <cellStyle name="Calculation 12" xfId="21105"/>
    <cellStyle name="Calculation 12 2" xfId="21106"/>
    <cellStyle name="Calculation 12 2 2" xfId="21107"/>
    <cellStyle name="Calculation 12 2 3" xfId="21108"/>
    <cellStyle name="Calculation 12 3" xfId="21109"/>
    <cellStyle name="Calculation 12 3 2" xfId="21110"/>
    <cellStyle name="Calculation 12 4" xfId="21111"/>
    <cellStyle name="Calculation 12 5" xfId="21112"/>
    <cellStyle name="Calculation 13" xfId="21113"/>
    <cellStyle name="Calculation 13 2" xfId="21114"/>
    <cellStyle name="Calculation 13 2 2" xfId="21115"/>
    <cellStyle name="Calculation 13 2 3" xfId="21116"/>
    <cellStyle name="Calculation 13 3" xfId="21117"/>
    <cellStyle name="Calculation 13 3 2" xfId="21118"/>
    <cellStyle name="Calculation 13 4" xfId="21119"/>
    <cellStyle name="Calculation 13 5" xfId="21120"/>
    <cellStyle name="Calculation 14" xfId="21121"/>
    <cellStyle name="Calculation 14 2" xfId="21122"/>
    <cellStyle name="Calculation 14 3" xfId="21123"/>
    <cellStyle name="Calculation 15" xfId="21124"/>
    <cellStyle name="Calculation 16" xfId="21125"/>
    <cellStyle name="Calculation 17" xfId="21126"/>
    <cellStyle name="Calculation 2" xfId="21127"/>
    <cellStyle name="Calculation 2 10" xfId="21128"/>
    <cellStyle name="Calculation 2 10 2" xfId="21129"/>
    <cellStyle name="Calculation 2 10 2 2" xfId="21130"/>
    <cellStyle name="Calculation 2 10 2 3" xfId="21131"/>
    <cellStyle name="Calculation 2 10 3" xfId="21132"/>
    <cellStyle name="Calculation 2 10 3 2" xfId="21133"/>
    <cellStyle name="Calculation 2 10 4" xfId="21134"/>
    <cellStyle name="Calculation 2 11" xfId="21135"/>
    <cellStyle name="Calculation 2 11 2" xfId="21136"/>
    <cellStyle name="Calculation 2 11 2 2" xfId="21137"/>
    <cellStyle name="Calculation 2 11 2 3" xfId="21138"/>
    <cellStyle name="Calculation 2 11 3" xfId="21139"/>
    <cellStyle name="Calculation 2 11 3 2" xfId="21140"/>
    <cellStyle name="Calculation 2 11 4" xfId="21141"/>
    <cellStyle name="Calculation 2 12" xfId="21142"/>
    <cellStyle name="Calculation 2 12 2" xfId="21143"/>
    <cellStyle name="Calculation 2 12 3" xfId="21144"/>
    <cellStyle name="Calculation 2 13" xfId="21145"/>
    <cellStyle name="Calculation 2 14" xfId="21146"/>
    <cellStyle name="Calculation 2 15" xfId="21147"/>
    <cellStyle name="Calculation 2 2" xfId="21148"/>
    <cellStyle name="Calculation 2 2 10" xfId="21149"/>
    <cellStyle name="Calculation 2 2 10 2" xfId="21150"/>
    <cellStyle name="Calculation 2 2 10 2 2" xfId="21151"/>
    <cellStyle name="Calculation 2 2 10 2 3" xfId="21152"/>
    <cellStyle name="Calculation 2 2 10 3" xfId="21153"/>
    <cellStyle name="Calculation 2 2 10 3 2" xfId="21154"/>
    <cellStyle name="Calculation 2 2 10 4" xfId="21155"/>
    <cellStyle name="Calculation 2 2 11" xfId="21156"/>
    <cellStyle name="Calculation 2 2 11 2" xfId="21157"/>
    <cellStyle name="Calculation 2 2 11 3" xfId="21158"/>
    <cellStyle name="Calculation 2 2 12" xfId="21159"/>
    <cellStyle name="Calculation 2 2 13" xfId="21160"/>
    <cellStyle name="Calculation 2 2 14" xfId="21161"/>
    <cellStyle name="Calculation 2 2 2" xfId="21162"/>
    <cellStyle name="Calculation 2 2 2 2" xfId="21163"/>
    <cellStyle name="Calculation 2 2 2 2 2" xfId="21164"/>
    <cellStyle name="Calculation 2 2 2 2 3" xfId="21165"/>
    <cellStyle name="Calculation 2 2 2 3" xfId="21166"/>
    <cellStyle name="Calculation 2 2 2 3 2" xfId="21167"/>
    <cellStyle name="Calculation 2 2 2 4" xfId="21168"/>
    <cellStyle name="Calculation 2 2 3" xfId="21169"/>
    <cellStyle name="Calculation 2 2 3 2" xfId="21170"/>
    <cellStyle name="Calculation 2 2 3 2 2" xfId="21171"/>
    <cellStyle name="Calculation 2 2 3 2 3" xfId="21172"/>
    <cellStyle name="Calculation 2 2 3 3" xfId="21173"/>
    <cellStyle name="Calculation 2 2 3 3 2" xfId="21174"/>
    <cellStyle name="Calculation 2 2 3 4" xfId="21175"/>
    <cellStyle name="Calculation 2 2 4" xfId="21176"/>
    <cellStyle name="Calculation 2 2 4 2" xfId="21177"/>
    <cellStyle name="Calculation 2 2 4 2 2" xfId="21178"/>
    <cellStyle name="Calculation 2 2 4 2 3" xfId="21179"/>
    <cellStyle name="Calculation 2 2 4 3" xfId="21180"/>
    <cellStyle name="Calculation 2 2 4 3 2" xfId="21181"/>
    <cellStyle name="Calculation 2 2 4 4" xfId="21182"/>
    <cellStyle name="Calculation 2 2 5" xfId="21183"/>
    <cellStyle name="Calculation 2 2 5 2" xfId="21184"/>
    <cellStyle name="Calculation 2 2 5 2 2" xfId="21185"/>
    <cellStyle name="Calculation 2 2 5 2 3" xfId="21186"/>
    <cellStyle name="Calculation 2 2 5 3" xfId="21187"/>
    <cellStyle name="Calculation 2 2 5 3 2" xfId="21188"/>
    <cellStyle name="Calculation 2 2 5 4" xfId="21189"/>
    <cellStyle name="Calculation 2 2 6" xfId="21190"/>
    <cellStyle name="Calculation 2 2 6 2" xfId="21191"/>
    <cellStyle name="Calculation 2 2 6 2 2" xfId="21192"/>
    <cellStyle name="Calculation 2 2 6 2 3" xfId="21193"/>
    <cellStyle name="Calculation 2 2 6 3" xfId="21194"/>
    <cellStyle name="Calculation 2 2 6 3 2" xfId="21195"/>
    <cellStyle name="Calculation 2 2 6 4" xfId="21196"/>
    <cellStyle name="Calculation 2 2 7" xfId="21197"/>
    <cellStyle name="Calculation 2 2 7 2" xfId="21198"/>
    <cellStyle name="Calculation 2 2 7 2 2" xfId="21199"/>
    <cellStyle name="Calculation 2 2 7 2 3" xfId="21200"/>
    <cellStyle name="Calculation 2 2 7 3" xfId="21201"/>
    <cellStyle name="Calculation 2 2 7 3 2" xfId="21202"/>
    <cellStyle name="Calculation 2 2 7 4" xfId="21203"/>
    <cellStyle name="Calculation 2 2 8" xfId="21204"/>
    <cellStyle name="Calculation 2 2 8 2" xfId="21205"/>
    <cellStyle name="Calculation 2 2 8 2 2" xfId="21206"/>
    <cellStyle name="Calculation 2 2 8 2 3" xfId="21207"/>
    <cellStyle name="Calculation 2 2 8 3" xfId="21208"/>
    <cellStyle name="Calculation 2 2 8 3 2" xfId="21209"/>
    <cellStyle name="Calculation 2 2 8 4" xfId="21210"/>
    <cellStyle name="Calculation 2 2 9" xfId="21211"/>
    <cellStyle name="Calculation 2 2 9 2" xfId="21212"/>
    <cellStyle name="Calculation 2 2 9 2 2" xfId="21213"/>
    <cellStyle name="Calculation 2 2 9 2 3" xfId="21214"/>
    <cellStyle name="Calculation 2 2 9 3" xfId="21215"/>
    <cellStyle name="Calculation 2 2 9 3 2" xfId="21216"/>
    <cellStyle name="Calculation 2 2 9 4" xfId="21217"/>
    <cellStyle name="Calculation 2 3" xfId="21218"/>
    <cellStyle name="Calculation 2 3 2" xfId="21219"/>
    <cellStyle name="Calculation 2 3 2 2" xfId="21220"/>
    <cellStyle name="Calculation 2 3 2 3" xfId="21221"/>
    <cellStyle name="Calculation 2 3 3" xfId="21222"/>
    <cellStyle name="Calculation 2 3 3 2" xfId="21223"/>
    <cellStyle name="Calculation 2 3 4" xfId="21224"/>
    <cellStyle name="Calculation 2 4" xfId="21225"/>
    <cellStyle name="Calculation 2 4 2" xfId="21226"/>
    <cellStyle name="Calculation 2 4 2 2" xfId="21227"/>
    <cellStyle name="Calculation 2 4 2 3" xfId="21228"/>
    <cellStyle name="Calculation 2 4 3" xfId="21229"/>
    <cellStyle name="Calculation 2 4 3 2" xfId="21230"/>
    <cellStyle name="Calculation 2 4 4" xfId="21231"/>
    <cellStyle name="Calculation 2 5" xfId="21232"/>
    <cellStyle name="Calculation 2 5 2" xfId="21233"/>
    <cellStyle name="Calculation 2 5 2 2" xfId="21234"/>
    <cellStyle name="Calculation 2 5 2 3" xfId="21235"/>
    <cellStyle name="Calculation 2 5 3" xfId="21236"/>
    <cellStyle name="Calculation 2 5 3 2" xfId="21237"/>
    <cellStyle name="Calculation 2 5 4" xfId="21238"/>
    <cellStyle name="Calculation 2 6" xfId="21239"/>
    <cellStyle name="Calculation 2 6 2" xfId="21240"/>
    <cellStyle name="Calculation 2 6 2 2" xfId="21241"/>
    <cellStyle name="Calculation 2 6 2 3" xfId="21242"/>
    <cellStyle name="Calculation 2 6 3" xfId="21243"/>
    <cellStyle name="Calculation 2 6 3 2" xfId="21244"/>
    <cellStyle name="Calculation 2 6 4" xfId="21245"/>
    <cellStyle name="Calculation 2 7" xfId="21246"/>
    <cellStyle name="Calculation 2 7 2" xfId="21247"/>
    <cellStyle name="Calculation 2 7 2 2" xfId="21248"/>
    <cellStyle name="Calculation 2 7 2 3" xfId="21249"/>
    <cellStyle name="Calculation 2 7 3" xfId="21250"/>
    <cellStyle name="Calculation 2 7 3 2" xfId="21251"/>
    <cellStyle name="Calculation 2 7 4" xfId="21252"/>
    <cellStyle name="Calculation 2 8" xfId="21253"/>
    <cellStyle name="Calculation 2 8 2" xfId="21254"/>
    <cellStyle name="Calculation 2 8 2 2" xfId="21255"/>
    <cellStyle name="Calculation 2 8 2 3" xfId="21256"/>
    <cellStyle name="Calculation 2 8 3" xfId="21257"/>
    <cellStyle name="Calculation 2 8 3 2" xfId="21258"/>
    <cellStyle name="Calculation 2 8 4" xfId="21259"/>
    <cellStyle name="Calculation 2 9" xfId="21260"/>
    <cellStyle name="Calculation 2 9 2" xfId="21261"/>
    <cellStyle name="Calculation 2 9 2 2" xfId="21262"/>
    <cellStyle name="Calculation 2 9 2 3" xfId="21263"/>
    <cellStyle name="Calculation 2 9 3" xfId="21264"/>
    <cellStyle name="Calculation 2 9 3 2" xfId="21265"/>
    <cellStyle name="Calculation 2 9 4" xfId="21266"/>
    <cellStyle name="Calculation 3" xfId="21267"/>
    <cellStyle name="Calculation 3 10" xfId="21268"/>
    <cellStyle name="Calculation 3 10 2" xfId="21269"/>
    <cellStyle name="Calculation 3 10 2 2" xfId="21270"/>
    <cellStyle name="Calculation 3 10 2 3" xfId="21271"/>
    <cellStyle name="Calculation 3 10 3" xfId="21272"/>
    <cellStyle name="Calculation 3 10 3 2" xfId="21273"/>
    <cellStyle name="Calculation 3 10 4" xfId="21274"/>
    <cellStyle name="Calculation 3 10 5" xfId="21275"/>
    <cellStyle name="Calculation 3 10 6" xfId="21276"/>
    <cellStyle name="Calculation 3 11" xfId="21277"/>
    <cellStyle name="Calculation 3 11 2" xfId="21278"/>
    <cellStyle name="Calculation 3 11 2 2" xfId="21279"/>
    <cellStyle name="Calculation 3 11 2 3" xfId="21280"/>
    <cellStyle name="Calculation 3 11 3" xfId="21281"/>
    <cellStyle name="Calculation 3 11 3 2" xfId="21282"/>
    <cellStyle name="Calculation 3 11 4" xfId="21283"/>
    <cellStyle name="Calculation 3 11 5" xfId="21284"/>
    <cellStyle name="Calculation 3 11 6" xfId="21285"/>
    <cellStyle name="Calculation 3 12" xfId="21286"/>
    <cellStyle name="Calculation 3 12 2" xfId="21287"/>
    <cellStyle name="Calculation 3 12 2 2" xfId="21288"/>
    <cellStyle name="Calculation 3 12 3" xfId="21289"/>
    <cellStyle name="Calculation 3 12 4" xfId="21290"/>
    <cellStyle name="Calculation 3 13" xfId="21291"/>
    <cellStyle name="Calculation 3 13 2" xfId="21292"/>
    <cellStyle name="Calculation 3 14" xfId="21293"/>
    <cellStyle name="Calculation 3 15" xfId="21294"/>
    <cellStyle name="Calculation 3 16" xfId="21295"/>
    <cellStyle name="Calculation 3 2" xfId="21296"/>
    <cellStyle name="Calculation 3 2 10" xfId="21297"/>
    <cellStyle name="Calculation 3 2 10 2" xfId="21298"/>
    <cellStyle name="Calculation 3 2 10 2 2" xfId="21299"/>
    <cellStyle name="Calculation 3 2 10 2 3" xfId="21300"/>
    <cellStyle name="Calculation 3 2 10 3" xfId="21301"/>
    <cellStyle name="Calculation 3 2 10 3 2" xfId="21302"/>
    <cellStyle name="Calculation 3 2 10 4" xfId="21303"/>
    <cellStyle name="Calculation 3 2 10 5" xfId="21304"/>
    <cellStyle name="Calculation 3 2 10 6" xfId="21305"/>
    <cellStyle name="Calculation 3 2 11" xfId="21306"/>
    <cellStyle name="Calculation 3 2 11 2" xfId="21307"/>
    <cellStyle name="Calculation 3 2 11 2 2" xfId="21308"/>
    <cellStyle name="Calculation 3 2 11 3" xfId="21309"/>
    <cellStyle name="Calculation 3 2 11 4" xfId="21310"/>
    <cellStyle name="Calculation 3 2 12" xfId="21311"/>
    <cellStyle name="Calculation 3 2 12 2" xfId="21312"/>
    <cellStyle name="Calculation 3 2 13" xfId="21313"/>
    <cellStyle name="Calculation 3 2 14" xfId="21314"/>
    <cellStyle name="Calculation 3 2 15" xfId="21315"/>
    <cellStyle name="Calculation 3 2 2" xfId="21316"/>
    <cellStyle name="Calculation 3 2 2 2" xfId="21317"/>
    <cellStyle name="Calculation 3 2 2 2 2" xfId="21318"/>
    <cellStyle name="Calculation 3 2 2 2 3" xfId="21319"/>
    <cellStyle name="Calculation 3 2 2 3" xfId="21320"/>
    <cellStyle name="Calculation 3 2 2 3 2" xfId="21321"/>
    <cellStyle name="Calculation 3 2 2 4" xfId="21322"/>
    <cellStyle name="Calculation 3 2 2 5" xfId="21323"/>
    <cellStyle name="Calculation 3 2 2 6" xfId="21324"/>
    <cellStyle name="Calculation 3 2 3" xfId="21325"/>
    <cellStyle name="Calculation 3 2 3 2" xfId="21326"/>
    <cellStyle name="Calculation 3 2 3 2 2" xfId="21327"/>
    <cellStyle name="Calculation 3 2 3 2 3" xfId="21328"/>
    <cellStyle name="Calculation 3 2 3 3" xfId="21329"/>
    <cellStyle name="Calculation 3 2 3 3 2" xfId="21330"/>
    <cellStyle name="Calculation 3 2 3 4" xfId="21331"/>
    <cellStyle name="Calculation 3 2 3 5" xfId="21332"/>
    <cellStyle name="Calculation 3 2 3 6" xfId="21333"/>
    <cellStyle name="Calculation 3 2 4" xfId="21334"/>
    <cellStyle name="Calculation 3 2 4 2" xfId="21335"/>
    <cellStyle name="Calculation 3 2 4 2 2" xfId="21336"/>
    <cellStyle name="Calculation 3 2 4 2 3" xfId="21337"/>
    <cellStyle name="Calculation 3 2 4 3" xfId="21338"/>
    <cellStyle name="Calculation 3 2 4 3 2" xfId="21339"/>
    <cellStyle name="Calculation 3 2 4 4" xfId="21340"/>
    <cellStyle name="Calculation 3 2 4 5" xfId="21341"/>
    <cellStyle name="Calculation 3 2 4 6" xfId="21342"/>
    <cellStyle name="Calculation 3 2 5" xfId="21343"/>
    <cellStyle name="Calculation 3 2 5 2" xfId="21344"/>
    <cellStyle name="Calculation 3 2 5 2 2" xfId="21345"/>
    <cellStyle name="Calculation 3 2 5 2 3" xfId="21346"/>
    <cellStyle name="Calculation 3 2 5 3" xfId="21347"/>
    <cellStyle name="Calculation 3 2 5 3 2" xfId="21348"/>
    <cellStyle name="Calculation 3 2 5 4" xfId="21349"/>
    <cellStyle name="Calculation 3 2 5 5" xfId="21350"/>
    <cellStyle name="Calculation 3 2 5 6" xfId="21351"/>
    <cellStyle name="Calculation 3 2 6" xfId="21352"/>
    <cellStyle name="Calculation 3 2 6 2" xfId="21353"/>
    <cellStyle name="Calculation 3 2 6 2 2" xfId="21354"/>
    <cellStyle name="Calculation 3 2 6 2 3" xfId="21355"/>
    <cellStyle name="Calculation 3 2 6 3" xfId="21356"/>
    <cellStyle name="Calculation 3 2 6 3 2" xfId="21357"/>
    <cellStyle name="Calculation 3 2 6 4" xfId="21358"/>
    <cellStyle name="Calculation 3 2 6 5" xfId="21359"/>
    <cellStyle name="Calculation 3 2 6 6" xfId="21360"/>
    <cellStyle name="Calculation 3 2 7" xfId="21361"/>
    <cellStyle name="Calculation 3 2 7 2" xfId="21362"/>
    <cellStyle name="Calculation 3 2 7 2 2" xfId="21363"/>
    <cellStyle name="Calculation 3 2 7 2 3" xfId="21364"/>
    <cellStyle name="Calculation 3 2 7 3" xfId="21365"/>
    <cellStyle name="Calculation 3 2 7 3 2" xfId="21366"/>
    <cellStyle name="Calculation 3 2 7 4" xfId="21367"/>
    <cellStyle name="Calculation 3 2 7 5" xfId="21368"/>
    <cellStyle name="Calculation 3 2 7 6" xfId="21369"/>
    <cellStyle name="Calculation 3 2 8" xfId="21370"/>
    <cellStyle name="Calculation 3 2 8 2" xfId="21371"/>
    <cellStyle name="Calculation 3 2 8 2 2" xfId="21372"/>
    <cellStyle name="Calculation 3 2 8 2 3" xfId="21373"/>
    <cellStyle name="Calculation 3 2 8 3" xfId="21374"/>
    <cellStyle name="Calculation 3 2 8 3 2" xfId="21375"/>
    <cellStyle name="Calculation 3 2 8 4" xfId="21376"/>
    <cellStyle name="Calculation 3 2 8 5" xfId="21377"/>
    <cellStyle name="Calculation 3 2 8 6" xfId="21378"/>
    <cellStyle name="Calculation 3 2 9" xfId="21379"/>
    <cellStyle name="Calculation 3 2 9 2" xfId="21380"/>
    <cellStyle name="Calculation 3 2 9 2 2" xfId="21381"/>
    <cellStyle name="Calculation 3 2 9 2 3" xfId="21382"/>
    <cellStyle name="Calculation 3 2 9 3" xfId="21383"/>
    <cellStyle name="Calculation 3 2 9 3 2" xfId="21384"/>
    <cellStyle name="Calculation 3 2 9 4" xfId="21385"/>
    <cellStyle name="Calculation 3 2 9 5" xfId="21386"/>
    <cellStyle name="Calculation 3 2 9 6" xfId="21387"/>
    <cellStyle name="Calculation 3 3" xfId="21388"/>
    <cellStyle name="Calculation 3 3 2" xfId="21389"/>
    <cellStyle name="Calculation 3 3 2 2" xfId="21390"/>
    <cellStyle name="Calculation 3 3 2 3" xfId="21391"/>
    <cellStyle name="Calculation 3 3 3" xfId="21392"/>
    <cellStyle name="Calculation 3 3 3 2" xfId="21393"/>
    <cellStyle name="Calculation 3 3 4" xfId="21394"/>
    <cellStyle name="Calculation 3 3 5" xfId="21395"/>
    <cellStyle name="Calculation 3 3 6" xfId="21396"/>
    <cellStyle name="Calculation 3 4" xfId="21397"/>
    <cellStyle name="Calculation 3 4 2" xfId="21398"/>
    <cellStyle name="Calculation 3 4 2 2" xfId="21399"/>
    <cellStyle name="Calculation 3 4 2 3" xfId="21400"/>
    <cellStyle name="Calculation 3 4 3" xfId="21401"/>
    <cellStyle name="Calculation 3 4 3 2" xfId="21402"/>
    <cellStyle name="Calculation 3 4 4" xfId="21403"/>
    <cellStyle name="Calculation 3 4 5" xfId="21404"/>
    <cellStyle name="Calculation 3 4 6" xfId="21405"/>
    <cellStyle name="Calculation 3 5" xfId="21406"/>
    <cellStyle name="Calculation 3 5 2" xfId="21407"/>
    <cellStyle name="Calculation 3 5 2 2" xfId="21408"/>
    <cellStyle name="Calculation 3 5 2 3" xfId="21409"/>
    <cellStyle name="Calculation 3 5 3" xfId="21410"/>
    <cellStyle name="Calculation 3 5 3 2" xfId="21411"/>
    <cellStyle name="Calculation 3 5 4" xfId="21412"/>
    <cellStyle name="Calculation 3 5 5" xfId="21413"/>
    <cellStyle name="Calculation 3 5 6" xfId="21414"/>
    <cellStyle name="Calculation 3 6" xfId="21415"/>
    <cellStyle name="Calculation 3 6 2" xfId="21416"/>
    <cellStyle name="Calculation 3 6 2 2" xfId="21417"/>
    <cellStyle name="Calculation 3 6 2 3" xfId="21418"/>
    <cellStyle name="Calculation 3 6 3" xfId="21419"/>
    <cellStyle name="Calculation 3 6 3 2" xfId="21420"/>
    <cellStyle name="Calculation 3 6 4" xfId="21421"/>
    <cellStyle name="Calculation 3 6 5" xfId="21422"/>
    <cellStyle name="Calculation 3 6 6" xfId="21423"/>
    <cellStyle name="Calculation 3 7" xfId="21424"/>
    <cellStyle name="Calculation 3 7 2" xfId="21425"/>
    <cellStyle name="Calculation 3 7 2 2" xfId="21426"/>
    <cellStyle name="Calculation 3 7 2 3" xfId="21427"/>
    <cellStyle name="Calculation 3 7 3" xfId="21428"/>
    <cellStyle name="Calculation 3 7 3 2" xfId="21429"/>
    <cellStyle name="Calculation 3 7 4" xfId="21430"/>
    <cellStyle name="Calculation 3 7 5" xfId="21431"/>
    <cellStyle name="Calculation 3 7 6" xfId="21432"/>
    <cellStyle name="Calculation 3 8" xfId="21433"/>
    <cellStyle name="Calculation 3 8 2" xfId="21434"/>
    <cellStyle name="Calculation 3 8 2 2" xfId="21435"/>
    <cellStyle name="Calculation 3 8 2 3" xfId="21436"/>
    <cellStyle name="Calculation 3 8 3" xfId="21437"/>
    <cellStyle name="Calculation 3 8 3 2" xfId="21438"/>
    <cellStyle name="Calculation 3 8 4" xfId="21439"/>
    <cellStyle name="Calculation 3 8 5" xfId="21440"/>
    <cellStyle name="Calculation 3 8 6" xfId="21441"/>
    <cellStyle name="Calculation 3 9" xfId="21442"/>
    <cellStyle name="Calculation 3 9 2" xfId="21443"/>
    <cellStyle name="Calculation 3 9 2 2" xfId="21444"/>
    <cellStyle name="Calculation 3 9 2 3" xfId="21445"/>
    <cellStyle name="Calculation 3 9 3" xfId="21446"/>
    <cellStyle name="Calculation 3 9 3 2" xfId="21447"/>
    <cellStyle name="Calculation 3 9 4" xfId="21448"/>
    <cellStyle name="Calculation 3 9 5" xfId="21449"/>
    <cellStyle name="Calculation 3 9 6" xfId="21450"/>
    <cellStyle name="Calculation 4" xfId="21451"/>
    <cellStyle name="Calculation 4 10" xfId="21452"/>
    <cellStyle name="Calculation 4 10 2" xfId="21453"/>
    <cellStyle name="Calculation 4 10 2 2" xfId="21454"/>
    <cellStyle name="Calculation 4 10 2 3" xfId="21455"/>
    <cellStyle name="Calculation 4 10 3" xfId="21456"/>
    <cellStyle name="Calculation 4 10 3 2" xfId="21457"/>
    <cellStyle name="Calculation 4 10 4" xfId="21458"/>
    <cellStyle name="Calculation 4 11" xfId="21459"/>
    <cellStyle name="Calculation 4 11 2" xfId="21460"/>
    <cellStyle name="Calculation 4 11 3" xfId="21461"/>
    <cellStyle name="Calculation 4 12" xfId="21462"/>
    <cellStyle name="Calculation 4 13" xfId="21463"/>
    <cellStyle name="Calculation 4 14" xfId="21464"/>
    <cellStyle name="Calculation 4 2" xfId="21465"/>
    <cellStyle name="Calculation 4 2 2" xfId="21466"/>
    <cellStyle name="Calculation 4 2 2 2" xfId="21467"/>
    <cellStyle name="Calculation 4 2 2 3" xfId="21468"/>
    <cellStyle name="Calculation 4 2 3" xfId="21469"/>
    <cellStyle name="Calculation 4 2 3 2" xfId="21470"/>
    <cellStyle name="Calculation 4 2 4" xfId="21471"/>
    <cellStyle name="Calculation 4 2 5" xfId="21472"/>
    <cellStyle name="Calculation 4 3" xfId="21473"/>
    <cellStyle name="Calculation 4 3 2" xfId="21474"/>
    <cellStyle name="Calculation 4 3 2 2" xfId="21475"/>
    <cellStyle name="Calculation 4 3 2 3" xfId="21476"/>
    <cellStyle name="Calculation 4 3 3" xfId="21477"/>
    <cellStyle name="Calculation 4 3 3 2" xfId="21478"/>
    <cellStyle name="Calculation 4 3 4" xfId="21479"/>
    <cellStyle name="Calculation 4 4" xfId="21480"/>
    <cellStyle name="Calculation 4 4 2" xfId="21481"/>
    <cellStyle name="Calculation 4 4 2 2" xfId="21482"/>
    <cellStyle name="Calculation 4 4 2 3" xfId="21483"/>
    <cellStyle name="Calculation 4 4 3" xfId="21484"/>
    <cellStyle name="Calculation 4 4 3 2" xfId="21485"/>
    <cellStyle name="Calculation 4 4 4" xfId="21486"/>
    <cellStyle name="Calculation 4 5" xfId="21487"/>
    <cellStyle name="Calculation 4 5 2" xfId="21488"/>
    <cellStyle name="Calculation 4 5 2 2" xfId="21489"/>
    <cellStyle name="Calculation 4 5 2 3" xfId="21490"/>
    <cellStyle name="Calculation 4 5 3" xfId="21491"/>
    <cellStyle name="Calculation 4 5 3 2" xfId="21492"/>
    <cellStyle name="Calculation 4 5 4" xfId="21493"/>
    <cellStyle name="Calculation 4 6" xfId="21494"/>
    <cellStyle name="Calculation 4 6 2" xfId="21495"/>
    <cellStyle name="Calculation 4 6 2 2" xfId="21496"/>
    <cellStyle name="Calculation 4 6 2 3" xfId="21497"/>
    <cellStyle name="Calculation 4 6 3" xfId="21498"/>
    <cellStyle name="Calculation 4 6 3 2" xfId="21499"/>
    <cellStyle name="Calculation 4 6 4" xfId="21500"/>
    <cellStyle name="Calculation 4 7" xfId="21501"/>
    <cellStyle name="Calculation 4 7 2" xfId="21502"/>
    <cellStyle name="Calculation 4 7 2 2" xfId="21503"/>
    <cellStyle name="Calculation 4 7 2 3" xfId="21504"/>
    <cellStyle name="Calculation 4 7 3" xfId="21505"/>
    <cellStyle name="Calculation 4 7 3 2" xfId="21506"/>
    <cellStyle name="Calculation 4 7 4" xfId="21507"/>
    <cellStyle name="Calculation 4 8" xfId="21508"/>
    <cellStyle name="Calculation 4 8 2" xfId="21509"/>
    <cellStyle name="Calculation 4 8 2 2" xfId="21510"/>
    <cellStyle name="Calculation 4 8 2 3" xfId="21511"/>
    <cellStyle name="Calculation 4 8 3" xfId="21512"/>
    <cellStyle name="Calculation 4 8 3 2" xfId="21513"/>
    <cellStyle name="Calculation 4 8 4" xfId="21514"/>
    <cellStyle name="Calculation 4 9" xfId="21515"/>
    <cellStyle name="Calculation 4 9 2" xfId="21516"/>
    <cellStyle name="Calculation 4 9 2 2" xfId="21517"/>
    <cellStyle name="Calculation 4 9 2 3" xfId="21518"/>
    <cellStyle name="Calculation 4 9 3" xfId="21519"/>
    <cellStyle name="Calculation 4 9 3 2" xfId="21520"/>
    <cellStyle name="Calculation 4 9 4" xfId="21521"/>
    <cellStyle name="Calculation 5" xfId="21522"/>
    <cellStyle name="Calculation 5 2" xfId="21523"/>
    <cellStyle name="Calculation 5 2 2" xfId="21524"/>
    <cellStyle name="Calculation 5 2 3" xfId="21525"/>
    <cellStyle name="Calculation 5 2 4" xfId="21526"/>
    <cellStyle name="Calculation 5 3" xfId="21527"/>
    <cellStyle name="Calculation 5 3 2" xfId="21528"/>
    <cellStyle name="Calculation 5 4" xfId="21529"/>
    <cellStyle name="Calculation 5 5" xfId="21530"/>
    <cellStyle name="Calculation 6" xfId="21531"/>
    <cellStyle name="Calculation 6 2" xfId="21532"/>
    <cellStyle name="Calculation 6 2 2" xfId="21533"/>
    <cellStyle name="Calculation 6 2 3" xfId="21534"/>
    <cellStyle name="Calculation 6 2 4" xfId="21535"/>
    <cellStyle name="Calculation 6 3" xfId="21536"/>
    <cellStyle name="Calculation 6 3 2" xfId="21537"/>
    <cellStyle name="Calculation 6 3 3" xfId="21538"/>
    <cellStyle name="Calculation 6 4" xfId="21539"/>
    <cellStyle name="Calculation 6 5" xfId="21540"/>
    <cellStyle name="Calculation 7" xfId="21541"/>
    <cellStyle name="Calculation 7 2" xfId="21542"/>
    <cellStyle name="Calculation 7 2 2" xfId="21543"/>
    <cellStyle name="Calculation 7 2 3" xfId="21544"/>
    <cellStyle name="Calculation 7 2 4" xfId="21545"/>
    <cellStyle name="Calculation 7 3" xfId="21546"/>
    <cellStyle name="Calculation 7 3 2" xfId="21547"/>
    <cellStyle name="Calculation 7 3 3" xfId="21548"/>
    <cellStyle name="Calculation 7 4" xfId="21549"/>
    <cellStyle name="Calculation 7 5" xfId="21550"/>
    <cellStyle name="Calculation 8" xfId="21551"/>
    <cellStyle name="Calculation 8 2" xfId="21552"/>
    <cellStyle name="Calculation 8 2 2" xfId="21553"/>
    <cellStyle name="Calculation 8 2 3" xfId="21554"/>
    <cellStyle name="Calculation 8 2 4" xfId="21555"/>
    <cellStyle name="Calculation 8 3" xfId="21556"/>
    <cellStyle name="Calculation 8 3 2" xfId="21557"/>
    <cellStyle name="Calculation 8 3 3" xfId="21558"/>
    <cellStyle name="Calculation 8 4" xfId="21559"/>
    <cellStyle name="Calculation 8 5" xfId="21560"/>
    <cellStyle name="Calculation 9" xfId="21561"/>
    <cellStyle name="Calculation 9 2" xfId="21562"/>
    <cellStyle name="Calculation 9 2 2" xfId="21563"/>
    <cellStyle name="Calculation 9 2 3" xfId="21564"/>
    <cellStyle name="Calculation 9 2 4" xfId="21565"/>
    <cellStyle name="Calculation 9 3" xfId="21566"/>
    <cellStyle name="Calculation 9 3 2" xfId="21567"/>
    <cellStyle name="Calculation 9 3 3" xfId="21568"/>
    <cellStyle name="Calculation 9 4" xfId="21569"/>
    <cellStyle name="Calculation 9 5" xfId="21570"/>
    <cellStyle name="category" xfId="21571"/>
    <cellStyle name="category 2" xfId="21572"/>
    <cellStyle name="Check Cell 2" xfId="21573"/>
    <cellStyle name="Check Cell 2 2" xfId="21574"/>
    <cellStyle name="Check Cell 2 3" xfId="21575"/>
    <cellStyle name="Check Cell 3" xfId="21576"/>
    <cellStyle name="Check Cell 3 2" xfId="21577"/>
    <cellStyle name="Check Cell 3 2 2" xfId="21578"/>
    <cellStyle name="Check Cell 4" xfId="21579"/>
    <cellStyle name="Check Cell 5" xfId="21580"/>
    <cellStyle name="CIAI¡ER￠R¡¿￠RERU¡ERE¡ER¨I¡ⓒ¡ERIiA¡ER￠R¡¿I" xfId="21581"/>
    <cellStyle name="ⓒoe¨￢¨￠Aⓒ÷_AIAIC¡ÆAuCoEⓒ÷ " xfId="21582"/>
    <cellStyle name="Comma  - Style1" xfId="21583"/>
    <cellStyle name="Comma  - Style2" xfId="21584"/>
    <cellStyle name="Comma  - Style3" xfId="21585"/>
    <cellStyle name="Comma  - Style4" xfId="21586"/>
    <cellStyle name="Comma  - Style5" xfId="21587"/>
    <cellStyle name="Comma  - Style6" xfId="21588"/>
    <cellStyle name="Comma  - Style7" xfId="21589"/>
    <cellStyle name="Comma  - Style8" xfId="21590"/>
    <cellStyle name="Comma [00]" xfId="21591"/>
    <cellStyle name="comma zerodec" xfId="21592"/>
    <cellStyle name="Comme [0]_laroux_3_수주계획(SMD) " xfId="21593"/>
    <cellStyle name="Currency [0] 2" xfId="21594"/>
    <cellStyle name="Currency [00]" xfId="21595"/>
    <cellStyle name="Currency1" xfId="21596"/>
    <cellStyle name="Currency1 2" xfId="21597"/>
    <cellStyle name="custom" xfId="21598"/>
    <cellStyle name="C줔AO_  FAB AIA?  " xfId="21599"/>
    <cellStyle name="Date" xfId="21600"/>
    <cellStyle name="Date 2" xfId="21601"/>
    <cellStyle name="Date Short" xfId="21602"/>
    <cellStyle name="Date:dd.mm.yyyy" xfId="21603"/>
    <cellStyle name="Date_PJT원가정리 " xfId="21604"/>
    <cellStyle name="days" xfId="21605"/>
    <cellStyle name="DELTA" xfId="21606"/>
    <cellStyle name="Dollar (zero dec)" xfId="21607"/>
    <cellStyle name="dz_lbsouy`TA622KA" xfId="21608"/>
    <cellStyle name="Emphasis 1" xfId="21609"/>
    <cellStyle name="Emphasis 2" xfId="21610"/>
    <cellStyle name="Emphasis 3" xfId="21611"/>
    <cellStyle name="endz_lbsouy`6_622k" xfId="21612"/>
    <cellStyle name="Enter Currency (0)" xfId="21613"/>
    <cellStyle name="Enter Currency (2)" xfId="21614"/>
    <cellStyle name="Enter Units (0)" xfId="21615"/>
    <cellStyle name="Enter Units (1)" xfId="21616"/>
    <cellStyle name="Enter Units (2)" xfId="21617"/>
    <cellStyle name="entry" xfId="21618"/>
    <cellStyle name="Euro" xfId="21619"/>
    <cellStyle name="Excel Built-in Normal" xfId="21620"/>
    <cellStyle name="Excel Built-in Normal 1" xfId="21621"/>
    <cellStyle name="Excel Built-in Normal 1 2" xfId="21622"/>
    <cellStyle name="Excel Built-in Normal 2" xfId="21623"/>
    <cellStyle name="Excel Built-in Normal 2 2" xfId="21624"/>
    <cellStyle name="Excel Built-in Normal 3" xfId="21625"/>
    <cellStyle name="Excel Built-in Normal 3 2" xfId="21626"/>
    <cellStyle name="Excel Built-in Normal 4" xfId="21627"/>
    <cellStyle name="Explanatory Text 2" xfId="21628"/>
    <cellStyle name="Explanatory Text 2 2" xfId="21629"/>
    <cellStyle name="Explanatory Text 3" xfId="21630"/>
    <cellStyle name="Explanatory Text 3 2" xfId="21631"/>
    <cellStyle name="Explanatory Text 3 2 2" xfId="21632"/>
    <cellStyle name="Explanatory Text 4" xfId="21633"/>
    <cellStyle name="F2" xfId="21634"/>
    <cellStyle name="F3" xfId="21635"/>
    <cellStyle name="F4" xfId="21636"/>
    <cellStyle name="F5" xfId="21637"/>
    <cellStyle name="F6" xfId="21638"/>
    <cellStyle name="F7" xfId="21639"/>
    <cellStyle name="F8" xfId="21640"/>
    <cellStyle name="Fixed" xfId="21641"/>
    <cellStyle name="Fixed 2" xfId="21642"/>
    <cellStyle name="G95-181" xfId="21643"/>
    <cellStyle name="Good 2" xfId="21644"/>
    <cellStyle name="Good 2 2" xfId="21645"/>
    <cellStyle name="Good 3" xfId="21646"/>
    <cellStyle name="Good 3 2" xfId="21647"/>
    <cellStyle name="Good 3 2 2" xfId="21648"/>
    <cellStyle name="Good 4" xfId="21649"/>
    <cellStyle name="Good 5" xfId="21650"/>
    <cellStyle name="Grey" xfId="21651"/>
    <cellStyle name="HEADER" xfId="21652"/>
    <cellStyle name="HEADER 2" xfId="21653"/>
    <cellStyle name="Header1" xfId="21654"/>
    <cellStyle name="Header1 2" xfId="21655"/>
    <cellStyle name="Header2" xfId="21656"/>
    <cellStyle name="Header2 2" xfId="21657"/>
    <cellStyle name="Header2 2 2" xfId="21658"/>
    <cellStyle name="Header2 2 2 2" xfId="21659"/>
    <cellStyle name="Header2 2 3" xfId="21660"/>
    <cellStyle name="Header2 2 3 2" xfId="21661"/>
    <cellStyle name="Header2 2 3 3" xfId="21662"/>
    <cellStyle name="Header2 2 4" xfId="21663"/>
    <cellStyle name="Header2 2 4 2" xfId="21664"/>
    <cellStyle name="Header2 2 4 3" xfId="21665"/>
    <cellStyle name="Header2 2 5" xfId="21666"/>
    <cellStyle name="Header2 2 5 2" xfId="21667"/>
    <cellStyle name="Header2 2 6" xfId="21668"/>
    <cellStyle name="Header2 2 6 2" xfId="21669"/>
    <cellStyle name="Header2 2 6 3" xfId="21670"/>
    <cellStyle name="Header2 2 7" xfId="21671"/>
    <cellStyle name="Header2 2 8" xfId="21672"/>
    <cellStyle name="Header2 3" xfId="21673"/>
    <cellStyle name="Header2 3 2" xfId="21674"/>
    <cellStyle name="Header2 4" xfId="21675"/>
    <cellStyle name="Header2 4 2" xfId="21676"/>
    <cellStyle name="Header2 4 3" xfId="21677"/>
    <cellStyle name="Header2 5" xfId="21678"/>
    <cellStyle name="Header2 5 2" xfId="21679"/>
    <cellStyle name="Header2 5 3" xfId="21680"/>
    <cellStyle name="Header2 6" xfId="21681"/>
    <cellStyle name="Header2 6 2" xfId="21682"/>
    <cellStyle name="Header2 7" xfId="21683"/>
    <cellStyle name="Header2 7 2" xfId="21684"/>
    <cellStyle name="Header2 7 3" xfId="21685"/>
    <cellStyle name="Header2 8" xfId="21686"/>
    <cellStyle name="Header2 9" xfId="21687"/>
    <cellStyle name="Heading 1 2" xfId="21688"/>
    <cellStyle name="Heading 1 2 2" xfId="21689"/>
    <cellStyle name="Heading 1 3" xfId="21690"/>
    <cellStyle name="Heading 1 3 2" xfId="21691"/>
    <cellStyle name="Heading 1 3 2 2" xfId="21692"/>
    <cellStyle name="Heading 1 4" xfId="21693"/>
    <cellStyle name="Heading 1 5" xfId="21694"/>
    <cellStyle name="Heading 2 2" xfId="21695"/>
    <cellStyle name="Heading 2 2 2" xfId="21696"/>
    <cellStyle name="Heading 2 3" xfId="21697"/>
    <cellStyle name="Heading 2 3 2" xfId="21698"/>
    <cellStyle name="Heading 2 3 2 2" xfId="21699"/>
    <cellStyle name="Heading 2 4" xfId="21700"/>
    <cellStyle name="Heading 2 5" xfId="21701"/>
    <cellStyle name="Heading 3 10" xfId="21702"/>
    <cellStyle name="Heading 3 2" xfId="21703"/>
    <cellStyle name="Heading 3 2 2" xfId="21704"/>
    <cellStyle name="Heading 3 2 2 2" xfId="21705"/>
    <cellStyle name="Heading 3 2 3" xfId="21706"/>
    <cellStyle name="Heading 3 3" xfId="21707"/>
    <cellStyle name="Heading 3 3 2" xfId="21708"/>
    <cellStyle name="Heading 3 3 2 2" xfId="21709"/>
    <cellStyle name="Heading 3 3 2 3" xfId="21710"/>
    <cellStyle name="Heading 3 3 3" xfId="21711"/>
    <cellStyle name="Heading 3 4" xfId="21712"/>
    <cellStyle name="Heading 3 4 2" xfId="21713"/>
    <cellStyle name="Heading 3 4 3" xfId="21714"/>
    <cellStyle name="Heading 3 5" xfId="21715"/>
    <cellStyle name="Heading 3 5 2" xfId="21716"/>
    <cellStyle name="Heading 3 6" xfId="21717"/>
    <cellStyle name="Heading 3 6 2" xfId="21718"/>
    <cellStyle name="Heading 3 7" xfId="21719"/>
    <cellStyle name="Heading 3 7 2" xfId="21720"/>
    <cellStyle name="Heading 3 8" xfId="21721"/>
    <cellStyle name="Heading 3 8 2" xfId="21722"/>
    <cellStyle name="Heading 3 9" xfId="21723"/>
    <cellStyle name="Heading 3 9 2" xfId="21724"/>
    <cellStyle name="Heading 4 2" xfId="21725"/>
    <cellStyle name="Heading 4 2 2" xfId="21726"/>
    <cellStyle name="Heading 4 3" xfId="21727"/>
    <cellStyle name="Heading 4 3 2" xfId="21728"/>
    <cellStyle name="Heading 4 3 2 2" xfId="21729"/>
    <cellStyle name="Heading 4 4" xfId="21730"/>
    <cellStyle name="Heading 4 5" xfId="21731"/>
    <cellStyle name="Heading1" xfId="21732"/>
    <cellStyle name="Heading1 2" xfId="21733"/>
    <cellStyle name="Heading2" xfId="21734"/>
    <cellStyle name="Heading2 2" xfId="21735"/>
    <cellStyle name="_x0001_H_x0001_H_x0001_H_x0001_H_x0001_" xfId="21736"/>
    <cellStyle name="_x0001_H_x0001_H_x0001_H_x0001_H_x0001_H_x0001_H_x0001_H_x0001_H_x0001_H_x0001_" xfId="21737"/>
    <cellStyle name="_x0001_H_x0001_H_x0001_H_x0001_H_x0001_H_x0001_H_x0001_H_x0001_H_x0001_H_x0001_H_x0001_H_x0001_H_x0001_H_x0001_H_x0001_" xfId="21738"/>
    <cellStyle name="_x0001_H_x0001_H_x0001_H_x0001_H_x0001_H_x0001_H_x0001_H_x0001_H_x0001_H_x0001_H_x0001_H_x0001_H_x0001_H_x0001_H_x0001_H_x0001_H_x0001_H_x0001_H_x0001_H_x0001_" xfId="21739"/>
    <cellStyle name="_x0001_H_x0001_H_x0001_H_x0001_H_x0001_H_x0001_H_x0001_H_x0001_H_x0001_H_x0001_H_x0001_H_x0001_H_x0001_H_x0001_H_x0001_H_x0001_H_x0001_H_x0001_H_x0001_H_x0001_H_x0001_H_x0001_H_x0001_H_x0001_H_x0001_H_x0001_H_x0001_" xfId="21740"/>
    <cellStyle name="_x0001_H_x0001_H_x0001_H_x0001_H_x0001_H_x0001_H_x0001_H_x0001_H_x0001_H_x0001_H_x0001_H_x0001_H_x0001_H_x0001_H_x0001_H_x0001_H_x0001_H_x0001_H_x0001_H_x0001_H_x0001_H_x0001_H_x0001_H_x0001_H_x0001_H_x0001_H_x0001_H_x0001_H_x0001_H_x0001_H_x0001_H_x0001_" xfId="21741"/>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42"/>
    <cellStyle name="Hide Errors" xfId="21743"/>
    <cellStyle name="HIGHLIGHT" xfId="21744"/>
    <cellStyle name="holiday" xfId="21745"/>
    <cellStyle name="I±?_TO_x000c_?" xfId="21746"/>
    <cellStyle name="iles|_x0005_h" xfId="21747"/>
    <cellStyle name="iles|_x0005_h 2" xfId="21748"/>
    <cellStyle name="Input [yellow]" xfId="21749"/>
    <cellStyle name="Input [yellow] 2" xfId="21750"/>
    <cellStyle name="Input [yellow] 2 2" xfId="21751"/>
    <cellStyle name="Input [yellow] 2 2 2" xfId="21752"/>
    <cellStyle name="Input [yellow] 2 3" xfId="21753"/>
    <cellStyle name="Input [yellow] 2 3 2" xfId="21754"/>
    <cellStyle name="Input [yellow] 2 4" xfId="21755"/>
    <cellStyle name="Input [yellow] 2 4 2" xfId="21756"/>
    <cellStyle name="Input [yellow] 2 5" xfId="21757"/>
    <cellStyle name="Input [yellow] 2 5 2" xfId="21758"/>
    <cellStyle name="Input [yellow] 2 5 3" xfId="21759"/>
    <cellStyle name="Input [yellow] 2 6" xfId="21760"/>
    <cellStyle name="Input [yellow] 2 7" xfId="21761"/>
    <cellStyle name="Input [yellow] 3" xfId="21762"/>
    <cellStyle name="Input [yellow] 3 2" xfId="21763"/>
    <cellStyle name="Input [yellow] 4" xfId="21764"/>
    <cellStyle name="Input [yellow] 4 2" xfId="21765"/>
    <cellStyle name="Input [yellow] 5" xfId="21766"/>
    <cellStyle name="Input [yellow] 5 2" xfId="21767"/>
    <cellStyle name="Input [yellow] 6" xfId="21768"/>
    <cellStyle name="Input [yellow] 6 2" xfId="21769"/>
    <cellStyle name="Input [yellow] 6 3" xfId="21770"/>
    <cellStyle name="Input [yellow] 7" xfId="21771"/>
    <cellStyle name="Input [yellow] 8" xfId="21772"/>
    <cellStyle name="Input 10" xfId="21773"/>
    <cellStyle name="Input 10 2" xfId="21774"/>
    <cellStyle name="Input 10 2 2" xfId="21775"/>
    <cellStyle name="Input 10 2 3" xfId="21776"/>
    <cellStyle name="Input 10 2 4" xfId="21777"/>
    <cellStyle name="Input 10 3" xfId="21778"/>
    <cellStyle name="Input 10 3 2" xfId="21779"/>
    <cellStyle name="Input 10 3 3" xfId="21780"/>
    <cellStyle name="Input 10 4" xfId="21781"/>
    <cellStyle name="Input 10 5" xfId="21782"/>
    <cellStyle name="Input 11" xfId="21783"/>
    <cellStyle name="Input 11 2" xfId="21784"/>
    <cellStyle name="Input 11 2 2" xfId="21785"/>
    <cellStyle name="Input 11 2 3" xfId="21786"/>
    <cellStyle name="Input 11 2 4" xfId="21787"/>
    <cellStyle name="Input 11 3" xfId="21788"/>
    <cellStyle name="Input 11 3 2" xfId="21789"/>
    <cellStyle name="Input 11 3 3" xfId="21790"/>
    <cellStyle name="Input 11 4" xfId="21791"/>
    <cellStyle name="Input 11 5" xfId="21792"/>
    <cellStyle name="Input 12" xfId="21793"/>
    <cellStyle name="Input 12 2" xfId="21794"/>
    <cellStyle name="Input 12 2 2" xfId="21795"/>
    <cellStyle name="Input 12 2 3" xfId="21796"/>
    <cellStyle name="Input 12 3" xfId="21797"/>
    <cellStyle name="Input 12 3 2" xfId="21798"/>
    <cellStyle name="Input 12 4" xfId="21799"/>
    <cellStyle name="Input 12 5" xfId="21800"/>
    <cellStyle name="Input 13" xfId="21801"/>
    <cellStyle name="Input 13 2" xfId="21802"/>
    <cellStyle name="Input 13 2 2" xfId="21803"/>
    <cellStyle name="Input 13 2 3" xfId="21804"/>
    <cellStyle name="Input 13 3" xfId="21805"/>
    <cellStyle name="Input 13 3 2" xfId="21806"/>
    <cellStyle name="Input 13 4" xfId="21807"/>
    <cellStyle name="Input 13 5" xfId="21808"/>
    <cellStyle name="Input 14" xfId="21809"/>
    <cellStyle name="Input 14 2" xfId="21810"/>
    <cellStyle name="Input 14 3" xfId="21811"/>
    <cellStyle name="Input 14 4" xfId="21812"/>
    <cellStyle name="Input 15" xfId="21813"/>
    <cellStyle name="Input 16" xfId="21814"/>
    <cellStyle name="Input 17" xfId="21815"/>
    <cellStyle name="Input 18" xfId="21816"/>
    <cellStyle name="Input 19" xfId="21817"/>
    <cellStyle name="Input 2" xfId="21818"/>
    <cellStyle name="Input 2 10" xfId="21819"/>
    <cellStyle name="Input 2 10 2" xfId="21820"/>
    <cellStyle name="Input 2 10 2 2" xfId="21821"/>
    <cellStyle name="Input 2 10 2 3" xfId="21822"/>
    <cellStyle name="Input 2 10 3" xfId="21823"/>
    <cellStyle name="Input 2 10 3 2" xfId="21824"/>
    <cellStyle name="Input 2 10 4" xfId="21825"/>
    <cellStyle name="Input 2 11" xfId="21826"/>
    <cellStyle name="Input 2 11 2" xfId="21827"/>
    <cellStyle name="Input 2 11 2 2" xfId="21828"/>
    <cellStyle name="Input 2 11 2 3" xfId="21829"/>
    <cellStyle name="Input 2 11 3" xfId="21830"/>
    <cellStyle name="Input 2 11 3 2" xfId="21831"/>
    <cellStyle name="Input 2 11 4" xfId="21832"/>
    <cellStyle name="Input 2 12" xfId="21833"/>
    <cellStyle name="Input 2 12 2" xfId="21834"/>
    <cellStyle name="Input 2 12 3" xfId="21835"/>
    <cellStyle name="Input 2 13" xfId="21836"/>
    <cellStyle name="Input 2 14" xfId="21837"/>
    <cellStyle name="Input 2 15" xfId="21838"/>
    <cellStyle name="Input 2 2" xfId="21839"/>
    <cellStyle name="Input 2 2 10" xfId="21840"/>
    <cellStyle name="Input 2 2 10 2" xfId="21841"/>
    <cellStyle name="Input 2 2 10 2 2" xfId="21842"/>
    <cellStyle name="Input 2 2 10 2 3" xfId="21843"/>
    <cellStyle name="Input 2 2 10 3" xfId="21844"/>
    <cellStyle name="Input 2 2 10 3 2" xfId="21845"/>
    <cellStyle name="Input 2 2 10 4" xfId="21846"/>
    <cellStyle name="Input 2 2 11" xfId="21847"/>
    <cellStyle name="Input 2 2 11 2" xfId="21848"/>
    <cellStyle name="Input 2 2 11 3" xfId="21849"/>
    <cellStyle name="Input 2 2 12" xfId="21850"/>
    <cellStyle name="Input 2 2 13" xfId="21851"/>
    <cellStyle name="Input 2 2 14" xfId="21852"/>
    <cellStyle name="Input 2 2 2" xfId="21853"/>
    <cellStyle name="Input 2 2 2 2" xfId="21854"/>
    <cellStyle name="Input 2 2 2 2 2" xfId="21855"/>
    <cellStyle name="Input 2 2 2 2 3" xfId="21856"/>
    <cellStyle name="Input 2 2 2 3" xfId="21857"/>
    <cellStyle name="Input 2 2 2 3 2" xfId="21858"/>
    <cellStyle name="Input 2 2 2 4" xfId="21859"/>
    <cellStyle name="Input 2 2 3" xfId="21860"/>
    <cellStyle name="Input 2 2 3 2" xfId="21861"/>
    <cellStyle name="Input 2 2 3 2 2" xfId="21862"/>
    <cellStyle name="Input 2 2 3 2 3" xfId="21863"/>
    <cellStyle name="Input 2 2 3 3" xfId="21864"/>
    <cellStyle name="Input 2 2 3 3 2" xfId="21865"/>
    <cellStyle name="Input 2 2 3 4" xfId="21866"/>
    <cellStyle name="Input 2 2 4" xfId="21867"/>
    <cellStyle name="Input 2 2 4 2" xfId="21868"/>
    <cellStyle name="Input 2 2 4 2 2" xfId="21869"/>
    <cellStyle name="Input 2 2 4 2 3" xfId="21870"/>
    <cellStyle name="Input 2 2 4 3" xfId="21871"/>
    <cellStyle name="Input 2 2 4 3 2" xfId="21872"/>
    <cellStyle name="Input 2 2 4 4" xfId="21873"/>
    <cellStyle name="Input 2 2 5" xfId="21874"/>
    <cellStyle name="Input 2 2 5 2" xfId="21875"/>
    <cellStyle name="Input 2 2 5 2 2" xfId="21876"/>
    <cellStyle name="Input 2 2 5 2 3" xfId="21877"/>
    <cellStyle name="Input 2 2 5 3" xfId="21878"/>
    <cellStyle name="Input 2 2 5 3 2" xfId="21879"/>
    <cellStyle name="Input 2 2 5 4" xfId="21880"/>
    <cellStyle name="Input 2 2 6" xfId="21881"/>
    <cellStyle name="Input 2 2 6 2" xfId="21882"/>
    <cellStyle name="Input 2 2 6 2 2" xfId="21883"/>
    <cellStyle name="Input 2 2 6 2 3" xfId="21884"/>
    <cellStyle name="Input 2 2 6 3" xfId="21885"/>
    <cellStyle name="Input 2 2 6 3 2" xfId="21886"/>
    <cellStyle name="Input 2 2 6 4" xfId="21887"/>
    <cellStyle name="Input 2 2 7" xfId="21888"/>
    <cellStyle name="Input 2 2 7 2" xfId="21889"/>
    <cellStyle name="Input 2 2 7 2 2" xfId="21890"/>
    <cellStyle name="Input 2 2 7 2 3" xfId="21891"/>
    <cellStyle name="Input 2 2 7 3" xfId="21892"/>
    <cellStyle name="Input 2 2 7 3 2" xfId="21893"/>
    <cellStyle name="Input 2 2 7 4" xfId="21894"/>
    <cellStyle name="Input 2 2 8" xfId="21895"/>
    <cellStyle name="Input 2 2 8 2" xfId="21896"/>
    <cellStyle name="Input 2 2 8 2 2" xfId="21897"/>
    <cellStyle name="Input 2 2 8 2 3" xfId="21898"/>
    <cellStyle name="Input 2 2 8 3" xfId="21899"/>
    <cellStyle name="Input 2 2 8 3 2" xfId="21900"/>
    <cellStyle name="Input 2 2 8 4" xfId="21901"/>
    <cellStyle name="Input 2 2 9" xfId="21902"/>
    <cellStyle name="Input 2 2 9 2" xfId="21903"/>
    <cellStyle name="Input 2 2 9 2 2" xfId="21904"/>
    <cellStyle name="Input 2 2 9 2 3" xfId="21905"/>
    <cellStyle name="Input 2 2 9 3" xfId="21906"/>
    <cellStyle name="Input 2 2 9 3 2" xfId="21907"/>
    <cellStyle name="Input 2 2 9 4" xfId="21908"/>
    <cellStyle name="Input 2 3" xfId="21909"/>
    <cellStyle name="Input 2 3 2" xfId="21910"/>
    <cellStyle name="Input 2 3 2 2" xfId="21911"/>
    <cellStyle name="Input 2 3 2 3" xfId="21912"/>
    <cellStyle name="Input 2 3 3" xfId="21913"/>
    <cellStyle name="Input 2 3 3 2" xfId="21914"/>
    <cellStyle name="Input 2 3 4" xfId="21915"/>
    <cellStyle name="Input 2 4" xfId="21916"/>
    <cellStyle name="Input 2 4 2" xfId="21917"/>
    <cellStyle name="Input 2 4 2 2" xfId="21918"/>
    <cellStyle name="Input 2 4 2 3" xfId="21919"/>
    <cellStyle name="Input 2 4 3" xfId="21920"/>
    <cellStyle name="Input 2 4 3 2" xfId="21921"/>
    <cellStyle name="Input 2 4 4" xfId="21922"/>
    <cellStyle name="Input 2 5" xfId="21923"/>
    <cellStyle name="Input 2 5 2" xfId="21924"/>
    <cellStyle name="Input 2 5 2 2" xfId="21925"/>
    <cellStyle name="Input 2 5 2 3" xfId="21926"/>
    <cellStyle name="Input 2 5 3" xfId="21927"/>
    <cellStyle name="Input 2 5 3 2" xfId="21928"/>
    <cellStyle name="Input 2 5 4" xfId="21929"/>
    <cellStyle name="Input 2 6" xfId="21930"/>
    <cellStyle name="Input 2 6 2" xfId="21931"/>
    <cellStyle name="Input 2 6 2 2" xfId="21932"/>
    <cellStyle name="Input 2 6 2 3" xfId="21933"/>
    <cellStyle name="Input 2 6 3" xfId="21934"/>
    <cellStyle name="Input 2 6 3 2" xfId="21935"/>
    <cellStyle name="Input 2 6 4" xfId="21936"/>
    <cellStyle name="Input 2 7" xfId="21937"/>
    <cellStyle name="Input 2 7 2" xfId="21938"/>
    <cellStyle name="Input 2 7 2 2" xfId="21939"/>
    <cellStyle name="Input 2 7 2 3" xfId="21940"/>
    <cellStyle name="Input 2 7 3" xfId="21941"/>
    <cellStyle name="Input 2 7 3 2" xfId="21942"/>
    <cellStyle name="Input 2 7 4" xfId="21943"/>
    <cellStyle name="Input 2 8" xfId="21944"/>
    <cellStyle name="Input 2 8 2" xfId="21945"/>
    <cellStyle name="Input 2 8 2 2" xfId="21946"/>
    <cellStyle name="Input 2 8 2 3" xfId="21947"/>
    <cellStyle name="Input 2 8 3" xfId="21948"/>
    <cellStyle name="Input 2 8 3 2" xfId="21949"/>
    <cellStyle name="Input 2 8 4" xfId="21950"/>
    <cellStyle name="Input 2 9" xfId="21951"/>
    <cellStyle name="Input 2 9 2" xfId="21952"/>
    <cellStyle name="Input 2 9 2 2" xfId="21953"/>
    <cellStyle name="Input 2 9 2 3" xfId="21954"/>
    <cellStyle name="Input 2 9 3" xfId="21955"/>
    <cellStyle name="Input 2 9 3 2" xfId="21956"/>
    <cellStyle name="Input 2 9 4" xfId="21957"/>
    <cellStyle name="Input 20" xfId="21958"/>
    <cellStyle name="Input 21" xfId="21959"/>
    <cellStyle name="Input 22" xfId="21960"/>
    <cellStyle name="Input 23" xfId="21961"/>
    <cellStyle name="Input 24" xfId="21962"/>
    <cellStyle name="Input 25" xfId="21963"/>
    <cellStyle name="Input 26" xfId="21964"/>
    <cellStyle name="Input 27" xfId="21965"/>
    <cellStyle name="Input 28" xfId="21966"/>
    <cellStyle name="Input 29" xfId="21967"/>
    <cellStyle name="Input 3" xfId="21968"/>
    <cellStyle name="Input 3 10" xfId="21969"/>
    <cellStyle name="Input 3 10 2" xfId="21970"/>
    <cellStyle name="Input 3 10 2 2" xfId="21971"/>
    <cellStyle name="Input 3 10 2 3" xfId="21972"/>
    <cellStyle name="Input 3 10 3" xfId="21973"/>
    <cellStyle name="Input 3 10 3 2" xfId="21974"/>
    <cellStyle name="Input 3 10 4" xfId="21975"/>
    <cellStyle name="Input 3 10 5" xfId="21976"/>
    <cellStyle name="Input 3 10 6" xfId="21977"/>
    <cellStyle name="Input 3 11" xfId="21978"/>
    <cellStyle name="Input 3 11 2" xfId="21979"/>
    <cellStyle name="Input 3 11 2 2" xfId="21980"/>
    <cellStyle name="Input 3 11 2 3" xfId="21981"/>
    <cellStyle name="Input 3 11 3" xfId="21982"/>
    <cellStyle name="Input 3 11 3 2" xfId="21983"/>
    <cellStyle name="Input 3 11 4" xfId="21984"/>
    <cellStyle name="Input 3 11 5" xfId="21985"/>
    <cellStyle name="Input 3 11 6" xfId="21986"/>
    <cellStyle name="Input 3 12" xfId="21987"/>
    <cellStyle name="Input 3 12 2" xfId="21988"/>
    <cellStyle name="Input 3 12 2 2" xfId="21989"/>
    <cellStyle name="Input 3 12 3" xfId="21990"/>
    <cellStyle name="Input 3 12 4" xfId="21991"/>
    <cellStyle name="Input 3 13" xfId="21992"/>
    <cellStyle name="Input 3 13 2" xfId="21993"/>
    <cellStyle name="Input 3 14" xfId="21994"/>
    <cellStyle name="Input 3 15" xfId="21995"/>
    <cellStyle name="Input 3 16" xfId="21996"/>
    <cellStyle name="Input 3 2" xfId="21997"/>
    <cellStyle name="Input 3 2 10" xfId="21998"/>
    <cellStyle name="Input 3 2 10 2" xfId="21999"/>
    <cellStyle name="Input 3 2 10 2 2" xfId="22000"/>
    <cellStyle name="Input 3 2 10 2 3" xfId="22001"/>
    <cellStyle name="Input 3 2 10 3" xfId="22002"/>
    <cellStyle name="Input 3 2 10 3 2" xfId="22003"/>
    <cellStyle name="Input 3 2 10 4" xfId="22004"/>
    <cellStyle name="Input 3 2 10 5" xfId="22005"/>
    <cellStyle name="Input 3 2 10 6" xfId="22006"/>
    <cellStyle name="Input 3 2 11" xfId="22007"/>
    <cellStyle name="Input 3 2 11 2" xfId="22008"/>
    <cellStyle name="Input 3 2 11 2 2" xfId="22009"/>
    <cellStyle name="Input 3 2 11 3" xfId="22010"/>
    <cellStyle name="Input 3 2 11 4" xfId="22011"/>
    <cellStyle name="Input 3 2 12" xfId="22012"/>
    <cellStyle name="Input 3 2 12 2" xfId="22013"/>
    <cellStyle name="Input 3 2 13" xfId="22014"/>
    <cellStyle name="Input 3 2 14" xfId="22015"/>
    <cellStyle name="Input 3 2 15" xfId="22016"/>
    <cellStyle name="Input 3 2 2" xfId="22017"/>
    <cellStyle name="Input 3 2 2 2" xfId="22018"/>
    <cellStyle name="Input 3 2 2 2 2" xfId="22019"/>
    <cellStyle name="Input 3 2 2 2 3" xfId="22020"/>
    <cellStyle name="Input 3 2 2 3" xfId="22021"/>
    <cellStyle name="Input 3 2 2 3 2" xfId="22022"/>
    <cellStyle name="Input 3 2 2 4" xfId="22023"/>
    <cellStyle name="Input 3 2 2 5" xfId="22024"/>
    <cellStyle name="Input 3 2 2 6" xfId="22025"/>
    <cellStyle name="Input 3 2 3" xfId="22026"/>
    <cellStyle name="Input 3 2 3 2" xfId="22027"/>
    <cellStyle name="Input 3 2 3 2 2" xfId="22028"/>
    <cellStyle name="Input 3 2 3 2 3" xfId="22029"/>
    <cellStyle name="Input 3 2 3 3" xfId="22030"/>
    <cellStyle name="Input 3 2 3 3 2" xfId="22031"/>
    <cellStyle name="Input 3 2 3 4" xfId="22032"/>
    <cellStyle name="Input 3 2 3 5" xfId="22033"/>
    <cellStyle name="Input 3 2 3 6" xfId="22034"/>
    <cellStyle name="Input 3 2 4" xfId="22035"/>
    <cellStyle name="Input 3 2 4 2" xfId="22036"/>
    <cellStyle name="Input 3 2 4 2 2" xfId="22037"/>
    <cellStyle name="Input 3 2 4 2 3" xfId="22038"/>
    <cellStyle name="Input 3 2 4 3" xfId="22039"/>
    <cellStyle name="Input 3 2 4 3 2" xfId="22040"/>
    <cellStyle name="Input 3 2 4 4" xfId="22041"/>
    <cellStyle name="Input 3 2 4 5" xfId="22042"/>
    <cellStyle name="Input 3 2 4 6" xfId="22043"/>
    <cellStyle name="Input 3 2 5" xfId="22044"/>
    <cellStyle name="Input 3 2 5 2" xfId="22045"/>
    <cellStyle name="Input 3 2 5 2 2" xfId="22046"/>
    <cellStyle name="Input 3 2 5 2 3" xfId="22047"/>
    <cellStyle name="Input 3 2 5 3" xfId="22048"/>
    <cellStyle name="Input 3 2 5 3 2" xfId="22049"/>
    <cellStyle name="Input 3 2 5 4" xfId="22050"/>
    <cellStyle name="Input 3 2 5 5" xfId="22051"/>
    <cellStyle name="Input 3 2 5 6" xfId="22052"/>
    <cellStyle name="Input 3 2 6" xfId="22053"/>
    <cellStyle name="Input 3 2 6 2" xfId="22054"/>
    <cellStyle name="Input 3 2 6 2 2" xfId="22055"/>
    <cellStyle name="Input 3 2 6 2 3" xfId="22056"/>
    <cellStyle name="Input 3 2 6 3" xfId="22057"/>
    <cellStyle name="Input 3 2 6 3 2" xfId="22058"/>
    <cellStyle name="Input 3 2 6 4" xfId="22059"/>
    <cellStyle name="Input 3 2 6 5" xfId="22060"/>
    <cellStyle name="Input 3 2 6 6" xfId="22061"/>
    <cellStyle name="Input 3 2 7" xfId="22062"/>
    <cellStyle name="Input 3 2 7 2" xfId="22063"/>
    <cellStyle name="Input 3 2 7 2 2" xfId="22064"/>
    <cellStyle name="Input 3 2 7 2 3" xfId="22065"/>
    <cellStyle name="Input 3 2 7 3" xfId="22066"/>
    <cellStyle name="Input 3 2 7 3 2" xfId="22067"/>
    <cellStyle name="Input 3 2 7 4" xfId="22068"/>
    <cellStyle name="Input 3 2 7 5" xfId="22069"/>
    <cellStyle name="Input 3 2 7 6" xfId="22070"/>
    <cellStyle name="Input 3 2 8" xfId="22071"/>
    <cellStyle name="Input 3 2 8 2" xfId="22072"/>
    <cellStyle name="Input 3 2 8 2 2" xfId="22073"/>
    <cellStyle name="Input 3 2 8 2 3" xfId="22074"/>
    <cellStyle name="Input 3 2 8 3" xfId="22075"/>
    <cellStyle name="Input 3 2 8 3 2" xfId="22076"/>
    <cellStyle name="Input 3 2 8 4" xfId="22077"/>
    <cellStyle name="Input 3 2 8 5" xfId="22078"/>
    <cellStyle name="Input 3 2 8 6" xfId="22079"/>
    <cellStyle name="Input 3 2 9" xfId="22080"/>
    <cellStyle name="Input 3 2 9 2" xfId="22081"/>
    <cellStyle name="Input 3 2 9 2 2" xfId="22082"/>
    <cellStyle name="Input 3 2 9 2 3" xfId="22083"/>
    <cellStyle name="Input 3 2 9 3" xfId="22084"/>
    <cellStyle name="Input 3 2 9 3 2" xfId="22085"/>
    <cellStyle name="Input 3 2 9 4" xfId="22086"/>
    <cellStyle name="Input 3 2 9 5" xfId="22087"/>
    <cellStyle name="Input 3 2 9 6" xfId="22088"/>
    <cellStyle name="Input 3 3" xfId="22089"/>
    <cellStyle name="Input 3 3 2" xfId="22090"/>
    <cellStyle name="Input 3 3 2 2" xfId="22091"/>
    <cellStyle name="Input 3 3 2 3" xfId="22092"/>
    <cellStyle name="Input 3 3 3" xfId="22093"/>
    <cellStyle name="Input 3 3 3 2" xfId="22094"/>
    <cellStyle name="Input 3 3 4" xfId="22095"/>
    <cellStyle name="Input 3 3 5" xfId="22096"/>
    <cellStyle name="Input 3 3 6" xfId="22097"/>
    <cellStyle name="Input 3 4" xfId="22098"/>
    <cellStyle name="Input 3 4 2" xfId="22099"/>
    <cellStyle name="Input 3 4 2 2" xfId="22100"/>
    <cellStyle name="Input 3 4 2 3" xfId="22101"/>
    <cellStyle name="Input 3 4 3" xfId="22102"/>
    <cellStyle name="Input 3 4 3 2" xfId="22103"/>
    <cellStyle name="Input 3 4 4" xfId="22104"/>
    <cellStyle name="Input 3 4 5" xfId="22105"/>
    <cellStyle name="Input 3 4 6" xfId="22106"/>
    <cellStyle name="Input 3 5" xfId="22107"/>
    <cellStyle name="Input 3 5 2" xfId="22108"/>
    <cellStyle name="Input 3 5 2 2" xfId="22109"/>
    <cellStyle name="Input 3 5 2 3" xfId="22110"/>
    <cellStyle name="Input 3 5 3" xfId="22111"/>
    <cellStyle name="Input 3 5 3 2" xfId="22112"/>
    <cellStyle name="Input 3 5 4" xfId="22113"/>
    <cellStyle name="Input 3 5 5" xfId="22114"/>
    <cellStyle name="Input 3 5 6" xfId="22115"/>
    <cellStyle name="Input 3 6" xfId="22116"/>
    <cellStyle name="Input 3 6 2" xfId="22117"/>
    <cellStyle name="Input 3 6 2 2" xfId="22118"/>
    <cellStyle name="Input 3 6 2 3" xfId="22119"/>
    <cellStyle name="Input 3 6 3" xfId="22120"/>
    <cellStyle name="Input 3 6 3 2" xfId="22121"/>
    <cellStyle name="Input 3 6 4" xfId="22122"/>
    <cellStyle name="Input 3 6 5" xfId="22123"/>
    <cellStyle name="Input 3 6 6" xfId="22124"/>
    <cellStyle name="Input 3 7" xfId="22125"/>
    <cellStyle name="Input 3 7 2" xfId="22126"/>
    <cellStyle name="Input 3 7 2 2" xfId="22127"/>
    <cellStyle name="Input 3 7 2 3" xfId="22128"/>
    <cellStyle name="Input 3 7 3" xfId="22129"/>
    <cellStyle name="Input 3 7 3 2" xfId="22130"/>
    <cellStyle name="Input 3 7 4" xfId="22131"/>
    <cellStyle name="Input 3 7 5" xfId="22132"/>
    <cellStyle name="Input 3 7 6" xfId="22133"/>
    <cellStyle name="Input 3 8" xfId="22134"/>
    <cellStyle name="Input 3 8 2" xfId="22135"/>
    <cellStyle name="Input 3 8 2 2" xfId="22136"/>
    <cellStyle name="Input 3 8 2 3" xfId="22137"/>
    <cellStyle name="Input 3 8 3" xfId="22138"/>
    <cellStyle name="Input 3 8 3 2" xfId="22139"/>
    <cellStyle name="Input 3 8 4" xfId="22140"/>
    <cellStyle name="Input 3 8 5" xfId="22141"/>
    <cellStyle name="Input 3 8 6" xfId="22142"/>
    <cellStyle name="Input 3 9" xfId="22143"/>
    <cellStyle name="Input 3 9 2" xfId="22144"/>
    <cellStyle name="Input 3 9 2 2" xfId="22145"/>
    <cellStyle name="Input 3 9 2 3" xfId="22146"/>
    <cellStyle name="Input 3 9 3" xfId="22147"/>
    <cellStyle name="Input 3 9 3 2" xfId="22148"/>
    <cellStyle name="Input 3 9 4" xfId="22149"/>
    <cellStyle name="Input 3 9 5" xfId="22150"/>
    <cellStyle name="Input 3 9 6" xfId="22151"/>
    <cellStyle name="Input 30" xfId="22152"/>
    <cellStyle name="Input 31" xfId="22153"/>
    <cellStyle name="Input 32" xfId="22154"/>
    <cellStyle name="Input 33" xfId="22155"/>
    <cellStyle name="Input 34" xfId="22156"/>
    <cellStyle name="Input 35" xfId="22157"/>
    <cellStyle name="Input 36" xfId="22158"/>
    <cellStyle name="Input 37" xfId="22159"/>
    <cellStyle name="Input 38" xfId="22160"/>
    <cellStyle name="Input 39" xfId="22161"/>
    <cellStyle name="Input 4" xfId="22162"/>
    <cellStyle name="Input 4 10" xfId="22163"/>
    <cellStyle name="Input 4 10 2" xfId="22164"/>
    <cellStyle name="Input 4 10 2 2" xfId="22165"/>
    <cellStyle name="Input 4 10 2 3" xfId="22166"/>
    <cellStyle name="Input 4 10 3" xfId="22167"/>
    <cellStyle name="Input 4 10 3 2" xfId="22168"/>
    <cellStyle name="Input 4 10 4" xfId="22169"/>
    <cellStyle name="Input 4 11" xfId="22170"/>
    <cellStyle name="Input 4 11 2" xfId="22171"/>
    <cellStyle name="Input 4 11 3" xfId="22172"/>
    <cellStyle name="Input 4 12" xfId="22173"/>
    <cellStyle name="Input 4 13" xfId="22174"/>
    <cellStyle name="Input 4 14" xfId="22175"/>
    <cellStyle name="Input 4 2" xfId="22176"/>
    <cellStyle name="Input 4 2 2" xfId="22177"/>
    <cellStyle name="Input 4 2 2 2" xfId="22178"/>
    <cellStyle name="Input 4 2 2 3" xfId="22179"/>
    <cellStyle name="Input 4 2 3" xfId="22180"/>
    <cellStyle name="Input 4 2 3 2" xfId="22181"/>
    <cellStyle name="Input 4 2 4" xfId="22182"/>
    <cellStyle name="Input 4 2 5" xfId="22183"/>
    <cellStyle name="Input 4 3" xfId="22184"/>
    <cellStyle name="Input 4 3 2" xfId="22185"/>
    <cellStyle name="Input 4 3 2 2" xfId="22186"/>
    <cellStyle name="Input 4 3 2 3" xfId="22187"/>
    <cellStyle name="Input 4 3 3" xfId="22188"/>
    <cellStyle name="Input 4 3 3 2" xfId="22189"/>
    <cellStyle name="Input 4 3 4" xfId="22190"/>
    <cellStyle name="Input 4 4" xfId="22191"/>
    <cellStyle name="Input 4 4 2" xfId="22192"/>
    <cellStyle name="Input 4 4 2 2" xfId="22193"/>
    <cellStyle name="Input 4 4 2 3" xfId="22194"/>
    <cellStyle name="Input 4 4 3" xfId="22195"/>
    <cellStyle name="Input 4 4 3 2" xfId="22196"/>
    <cellStyle name="Input 4 4 4" xfId="22197"/>
    <cellStyle name="Input 4 5" xfId="22198"/>
    <cellStyle name="Input 4 5 2" xfId="22199"/>
    <cellStyle name="Input 4 5 2 2" xfId="22200"/>
    <cellStyle name="Input 4 5 2 3" xfId="22201"/>
    <cellStyle name="Input 4 5 3" xfId="22202"/>
    <cellStyle name="Input 4 5 3 2" xfId="22203"/>
    <cellStyle name="Input 4 5 4" xfId="22204"/>
    <cellStyle name="Input 4 6" xfId="22205"/>
    <cellStyle name="Input 4 6 2" xfId="22206"/>
    <cellStyle name="Input 4 6 2 2" xfId="22207"/>
    <cellStyle name="Input 4 6 2 3" xfId="22208"/>
    <cellStyle name="Input 4 6 3" xfId="22209"/>
    <cellStyle name="Input 4 6 3 2" xfId="22210"/>
    <cellStyle name="Input 4 6 4" xfId="22211"/>
    <cellStyle name="Input 4 7" xfId="22212"/>
    <cellStyle name="Input 4 7 2" xfId="22213"/>
    <cellStyle name="Input 4 7 2 2" xfId="22214"/>
    <cellStyle name="Input 4 7 2 3" xfId="22215"/>
    <cellStyle name="Input 4 7 3" xfId="22216"/>
    <cellStyle name="Input 4 7 3 2" xfId="22217"/>
    <cellStyle name="Input 4 7 4" xfId="22218"/>
    <cellStyle name="Input 4 8" xfId="22219"/>
    <cellStyle name="Input 4 8 2" xfId="22220"/>
    <cellStyle name="Input 4 8 2 2" xfId="22221"/>
    <cellStyle name="Input 4 8 2 3" xfId="22222"/>
    <cellStyle name="Input 4 8 3" xfId="22223"/>
    <cellStyle name="Input 4 8 3 2" xfId="22224"/>
    <cellStyle name="Input 4 8 4" xfId="22225"/>
    <cellStyle name="Input 4 9" xfId="22226"/>
    <cellStyle name="Input 4 9 2" xfId="22227"/>
    <cellStyle name="Input 4 9 2 2" xfId="22228"/>
    <cellStyle name="Input 4 9 2 3" xfId="22229"/>
    <cellStyle name="Input 4 9 3" xfId="22230"/>
    <cellStyle name="Input 4 9 3 2" xfId="22231"/>
    <cellStyle name="Input 4 9 4" xfId="22232"/>
    <cellStyle name="Input 5" xfId="22233"/>
    <cellStyle name="Input 5 2" xfId="22234"/>
    <cellStyle name="Input 5 2 2" xfId="22235"/>
    <cellStyle name="Input 5 2 3" xfId="22236"/>
    <cellStyle name="Input 5 2 4" xfId="22237"/>
    <cellStyle name="Input 5 3" xfId="22238"/>
    <cellStyle name="Input 5 3 2" xfId="22239"/>
    <cellStyle name="Input 5 4" xfId="22240"/>
    <cellStyle name="Input 5 5" xfId="22241"/>
    <cellStyle name="Input 6" xfId="22242"/>
    <cellStyle name="Input 6 2" xfId="22243"/>
    <cellStyle name="Input 6 2 2" xfId="22244"/>
    <cellStyle name="Input 6 2 3" xfId="22245"/>
    <cellStyle name="Input 6 2 4" xfId="22246"/>
    <cellStyle name="Input 6 3" xfId="22247"/>
    <cellStyle name="Input 6 3 2" xfId="22248"/>
    <cellStyle name="Input 6 3 3" xfId="22249"/>
    <cellStyle name="Input 6 4" xfId="22250"/>
    <cellStyle name="Input 6 5" xfId="22251"/>
    <cellStyle name="Input 7" xfId="22252"/>
    <cellStyle name="Input 7 2" xfId="22253"/>
    <cellStyle name="Input 7 2 2" xfId="22254"/>
    <cellStyle name="Input 7 2 3" xfId="22255"/>
    <cellStyle name="Input 7 2 4" xfId="22256"/>
    <cellStyle name="Input 7 3" xfId="22257"/>
    <cellStyle name="Input 7 3 2" xfId="22258"/>
    <cellStyle name="Input 7 3 3" xfId="22259"/>
    <cellStyle name="Input 7 4" xfId="22260"/>
    <cellStyle name="Input 7 5" xfId="22261"/>
    <cellStyle name="Input 8" xfId="22262"/>
    <cellStyle name="Input 8 2" xfId="22263"/>
    <cellStyle name="Input 8 2 2" xfId="22264"/>
    <cellStyle name="Input 8 2 3" xfId="22265"/>
    <cellStyle name="Input 8 2 4" xfId="22266"/>
    <cellStyle name="Input 8 3" xfId="22267"/>
    <cellStyle name="Input 8 3 2" xfId="22268"/>
    <cellStyle name="Input 8 3 3" xfId="22269"/>
    <cellStyle name="Input 8 4" xfId="22270"/>
    <cellStyle name="Input 8 5" xfId="22271"/>
    <cellStyle name="Input 9" xfId="22272"/>
    <cellStyle name="Input 9 2" xfId="22273"/>
    <cellStyle name="Input 9 2 2" xfId="22274"/>
    <cellStyle name="Input 9 2 3" xfId="22275"/>
    <cellStyle name="Input 9 2 4" xfId="22276"/>
    <cellStyle name="Input 9 3" xfId="22277"/>
    <cellStyle name="Input 9 3 2" xfId="22278"/>
    <cellStyle name="Input 9 3 3" xfId="22279"/>
    <cellStyle name="Input 9 4" xfId="22280"/>
    <cellStyle name="Input 9 5" xfId="22281"/>
    <cellStyle name="KAGE" xfId="22282"/>
    <cellStyle name="KAGE 2" xfId="22283"/>
    <cellStyle name="Leading Zero" xfId="22284"/>
    <cellStyle name="les" xfId="22285"/>
    <cellStyle name="les 2" xfId="22286"/>
    <cellStyle name="Link Currency (0)" xfId="22287"/>
    <cellStyle name="Link Currency (2)" xfId="22288"/>
    <cellStyle name="Link Units (0)" xfId="22289"/>
    <cellStyle name="Link Units (1)" xfId="22290"/>
    <cellStyle name="Link Units (2)" xfId="22291"/>
    <cellStyle name="Linked Cell 2" xfId="22292"/>
    <cellStyle name="Linked Cell 2 2" xfId="22293"/>
    <cellStyle name="Linked Cell 3" xfId="22294"/>
    <cellStyle name="Linked Cell 3 2" xfId="22295"/>
    <cellStyle name="Linked Cell 3 2 2" xfId="22296"/>
    <cellStyle name="Linked Cell 4" xfId="22297"/>
    <cellStyle name="Linked Cell 5" xfId="22298"/>
    <cellStyle name="m9" xfId="22299"/>
    <cellStyle name="MFAAS_FOOTER" xfId="22300"/>
    <cellStyle name="Millares [0]_PERSONAL" xfId="22301"/>
    <cellStyle name="Millares_PERSONAL" xfId="22302"/>
    <cellStyle name="Milliers [0]_AR1194" xfId="22303"/>
    <cellStyle name="Milliers_CASH1194" xfId="22304"/>
    <cellStyle name="Minus (0)" xfId="22305"/>
    <cellStyle name="Minus (0.0)" xfId="22306"/>
    <cellStyle name="Minus (0.00)" xfId="22307"/>
    <cellStyle name="Model" xfId="22308"/>
    <cellStyle name="Model 10" xfId="22309"/>
    <cellStyle name="Model 2" xfId="22310"/>
    <cellStyle name="Model 2 2" xfId="22311"/>
    <cellStyle name="Model 3" xfId="22312"/>
    <cellStyle name="Model 3 2" xfId="22313"/>
    <cellStyle name="Model 4" xfId="22314"/>
    <cellStyle name="Model 4 2" xfId="22315"/>
    <cellStyle name="Model 5" xfId="22316"/>
    <cellStyle name="Model 5 2" xfId="22317"/>
    <cellStyle name="Model 6" xfId="22318"/>
    <cellStyle name="Model 6 2" xfId="22319"/>
    <cellStyle name="Model 7" xfId="22320"/>
    <cellStyle name="Model 7 2" xfId="22321"/>
    <cellStyle name="Model 8" xfId="22322"/>
    <cellStyle name="Model 8 2" xfId="22323"/>
    <cellStyle name="Model 9" xfId="22324"/>
    <cellStyle name="Model 9 2" xfId="22325"/>
    <cellStyle name="Moneda [0]_CONTENCION CONDELL 25.051" xfId="22326"/>
    <cellStyle name="Moneda_CONTENCION CONDELL 25.051" xfId="22327"/>
    <cellStyle name="Monétaire [0]_AR1194" xfId="22328"/>
    <cellStyle name="Monétaire_CASH1194" xfId="22329"/>
    <cellStyle name="month" xfId="22330"/>
    <cellStyle name="n" xfId="22331"/>
    <cellStyle name="Neutral 2" xfId="22332"/>
    <cellStyle name="Neutral 2 2" xfId="22333"/>
    <cellStyle name="Neutral 3" xfId="22334"/>
    <cellStyle name="Neutral 3 2" xfId="22335"/>
    <cellStyle name="Neutral 3 2 2" xfId="22336"/>
    <cellStyle name="Neutral 4" xfId="22337"/>
    <cellStyle name="Neutral 5" xfId="22338"/>
    <cellStyle name="no dec" xfId="22339"/>
    <cellStyle name="no dec 2" xfId="22340"/>
    <cellStyle name="Non défini" xfId="22341"/>
    <cellStyle name="Non défini 2" xfId="22342"/>
    <cellStyle name="Normal - Style1" xfId="22343"/>
    <cellStyle name="Normal - Style1 2" xfId="22344"/>
    <cellStyle name="Normal - Style1 2 2" xfId="22345"/>
    <cellStyle name="Normal - Style1 3" xfId="22346"/>
    <cellStyle name="Normal - Style1 4" xfId="22347"/>
    <cellStyle name="Normal忈OTD thru NOR " xfId="22348"/>
    <cellStyle name="Normal忈OTD thru NOR  2" xfId="22349"/>
    <cellStyle name="Note 10" xfId="22350"/>
    <cellStyle name="Note 10 2" xfId="22351"/>
    <cellStyle name="Note 10 2 2" xfId="22352"/>
    <cellStyle name="Note 10 2 3" xfId="22353"/>
    <cellStyle name="Note 10 2 4" xfId="22354"/>
    <cellStyle name="Note 10 3" xfId="22355"/>
    <cellStyle name="Note 10 3 2" xfId="22356"/>
    <cellStyle name="Note 10 3 3" xfId="22357"/>
    <cellStyle name="Note 10 4" xfId="22358"/>
    <cellStyle name="Note 10 5" xfId="22359"/>
    <cellStyle name="Note 11" xfId="22360"/>
    <cellStyle name="Note 11 2" xfId="22361"/>
    <cellStyle name="Note 11 2 2" xfId="22362"/>
    <cellStyle name="Note 11 2 3" xfId="22363"/>
    <cellStyle name="Note 11 2 4" xfId="22364"/>
    <cellStyle name="Note 11 3" xfId="22365"/>
    <cellStyle name="Note 11 3 2" xfId="22366"/>
    <cellStyle name="Note 11 3 3" xfId="22367"/>
    <cellStyle name="Note 11 4" xfId="22368"/>
    <cellStyle name="Note 11 5" xfId="22369"/>
    <cellStyle name="Note 12" xfId="22370"/>
    <cellStyle name="Note 12 2" xfId="22371"/>
    <cellStyle name="Note 12 2 2" xfId="22372"/>
    <cellStyle name="Note 12 2 3" xfId="22373"/>
    <cellStyle name="Note 12 3" xfId="22374"/>
    <cellStyle name="Note 12 3 2" xfId="22375"/>
    <cellStyle name="Note 12 4" xfId="22376"/>
    <cellStyle name="Note 12 5" xfId="22377"/>
    <cellStyle name="Note 13" xfId="22378"/>
    <cellStyle name="Note 13 2" xfId="22379"/>
    <cellStyle name="Note 13 3" xfId="22380"/>
    <cellStyle name="Note 13 4" xfId="22381"/>
    <cellStyle name="Note 14" xfId="22382"/>
    <cellStyle name="Note 15" xfId="22383"/>
    <cellStyle name="Note 16" xfId="22384"/>
    <cellStyle name="Note 2" xfId="22385"/>
    <cellStyle name="Note 2 10" xfId="22386"/>
    <cellStyle name="Note 2 10 2" xfId="22387"/>
    <cellStyle name="Note 2 10 2 2" xfId="22388"/>
    <cellStyle name="Note 2 10 2 3" xfId="22389"/>
    <cellStyle name="Note 2 10 3" xfId="22390"/>
    <cellStyle name="Note 2 10 3 2" xfId="22391"/>
    <cellStyle name="Note 2 10 4" xfId="22392"/>
    <cellStyle name="Note 2 11" xfId="22393"/>
    <cellStyle name="Note 2 11 2" xfId="22394"/>
    <cellStyle name="Note 2 11 2 2" xfId="22395"/>
    <cellStyle name="Note 2 11 2 3" xfId="22396"/>
    <cellStyle name="Note 2 11 3" xfId="22397"/>
    <cellStyle name="Note 2 11 3 2" xfId="22398"/>
    <cellStyle name="Note 2 11 4" xfId="22399"/>
    <cellStyle name="Note 2 12" xfId="22400"/>
    <cellStyle name="Note 2 12 2" xfId="22401"/>
    <cellStyle name="Note 2 12 3" xfId="22402"/>
    <cellStyle name="Note 2 13" xfId="22403"/>
    <cellStyle name="Note 2 14" xfId="22404"/>
    <cellStyle name="Note 2 15" xfId="22405"/>
    <cellStyle name="Note 2 2" xfId="22406"/>
    <cellStyle name="Note 2 2 10" xfId="22407"/>
    <cellStyle name="Note 2 2 10 2" xfId="22408"/>
    <cellStyle name="Note 2 2 10 2 2" xfId="22409"/>
    <cellStyle name="Note 2 2 10 2 3" xfId="22410"/>
    <cellStyle name="Note 2 2 10 3" xfId="22411"/>
    <cellStyle name="Note 2 2 10 3 2" xfId="22412"/>
    <cellStyle name="Note 2 2 10 4" xfId="22413"/>
    <cellStyle name="Note 2 2 11" xfId="22414"/>
    <cellStyle name="Note 2 2 11 2" xfId="22415"/>
    <cellStyle name="Note 2 2 11 3" xfId="22416"/>
    <cellStyle name="Note 2 2 12" xfId="22417"/>
    <cellStyle name="Note 2 2 13" xfId="22418"/>
    <cellStyle name="Note 2 2 14" xfId="22419"/>
    <cellStyle name="Note 2 2 2" xfId="22420"/>
    <cellStyle name="Note 2 2 2 2" xfId="22421"/>
    <cellStyle name="Note 2 2 2 2 2" xfId="22422"/>
    <cellStyle name="Note 2 2 2 2 3" xfId="22423"/>
    <cellStyle name="Note 2 2 2 3" xfId="22424"/>
    <cellStyle name="Note 2 2 2 3 2" xfId="22425"/>
    <cellStyle name="Note 2 2 2 4" xfId="22426"/>
    <cellStyle name="Note 2 2 3" xfId="22427"/>
    <cellStyle name="Note 2 2 3 2" xfId="22428"/>
    <cellStyle name="Note 2 2 3 2 2" xfId="22429"/>
    <cellStyle name="Note 2 2 3 2 3" xfId="22430"/>
    <cellStyle name="Note 2 2 3 3" xfId="22431"/>
    <cellStyle name="Note 2 2 3 3 2" xfId="22432"/>
    <cellStyle name="Note 2 2 3 4" xfId="22433"/>
    <cellStyle name="Note 2 2 4" xfId="22434"/>
    <cellStyle name="Note 2 2 4 2" xfId="22435"/>
    <cellStyle name="Note 2 2 4 2 2" xfId="22436"/>
    <cellStyle name="Note 2 2 4 2 3" xfId="22437"/>
    <cellStyle name="Note 2 2 4 3" xfId="22438"/>
    <cellStyle name="Note 2 2 4 3 2" xfId="22439"/>
    <cellStyle name="Note 2 2 4 4" xfId="22440"/>
    <cellStyle name="Note 2 2 5" xfId="22441"/>
    <cellStyle name="Note 2 2 5 2" xfId="22442"/>
    <cellStyle name="Note 2 2 5 2 2" xfId="22443"/>
    <cellStyle name="Note 2 2 5 2 3" xfId="22444"/>
    <cellStyle name="Note 2 2 5 3" xfId="22445"/>
    <cellStyle name="Note 2 2 5 3 2" xfId="22446"/>
    <cellStyle name="Note 2 2 5 4" xfId="22447"/>
    <cellStyle name="Note 2 2 6" xfId="22448"/>
    <cellStyle name="Note 2 2 6 2" xfId="22449"/>
    <cellStyle name="Note 2 2 6 2 2" xfId="22450"/>
    <cellStyle name="Note 2 2 6 2 3" xfId="22451"/>
    <cellStyle name="Note 2 2 6 3" xfId="22452"/>
    <cellStyle name="Note 2 2 6 3 2" xfId="22453"/>
    <cellStyle name="Note 2 2 6 4" xfId="22454"/>
    <cellStyle name="Note 2 2 7" xfId="22455"/>
    <cellStyle name="Note 2 2 7 2" xfId="22456"/>
    <cellStyle name="Note 2 2 7 2 2" xfId="22457"/>
    <cellStyle name="Note 2 2 7 2 3" xfId="22458"/>
    <cellStyle name="Note 2 2 7 3" xfId="22459"/>
    <cellStyle name="Note 2 2 7 3 2" xfId="22460"/>
    <cellStyle name="Note 2 2 7 4" xfId="22461"/>
    <cellStyle name="Note 2 2 8" xfId="22462"/>
    <cellStyle name="Note 2 2 8 2" xfId="22463"/>
    <cellStyle name="Note 2 2 8 2 2" xfId="22464"/>
    <cellStyle name="Note 2 2 8 2 3" xfId="22465"/>
    <cellStyle name="Note 2 2 8 3" xfId="22466"/>
    <cellStyle name="Note 2 2 8 3 2" xfId="22467"/>
    <cellStyle name="Note 2 2 8 4" xfId="22468"/>
    <cellStyle name="Note 2 2 9" xfId="22469"/>
    <cellStyle name="Note 2 2 9 2" xfId="22470"/>
    <cellStyle name="Note 2 2 9 2 2" xfId="22471"/>
    <cellStyle name="Note 2 2 9 2 3" xfId="22472"/>
    <cellStyle name="Note 2 2 9 3" xfId="22473"/>
    <cellStyle name="Note 2 2 9 3 2" xfId="22474"/>
    <cellStyle name="Note 2 2 9 4" xfId="22475"/>
    <cellStyle name="Note 2 3" xfId="22476"/>
    <cellStyle name="Note 2 3 2" xfId="22477"/>
    <cellStyle name="Note 2 3 2 2" xfId="22478"/>
    <cellStyle name="Note 2 3 2 3" xfId="22479"/>
    <cellStyle name="Note 2 3 3" xfId="22480"/>
    <cellStyle name="Note 2 3 3 2" xfId="22481"/>
    <cellStyle name="Note 2 3 4" xfId="22482"/>
    <cellStyle name="Note 2 4" xfId="22483"/>
    <cellStyle name="Note 2 4 2" xfId="22484"/>
    <cellStyle name="Note 2 4 2 2" xfId="22485"/>
    <cellStyle name="Note 2 4 2 3" xfId="22486"/>
    <cellStyle name="Note 2 4 3" xfId="22487"/>
    <cellStyle name="Note 2 4 3 2" xfId="22488"/>
    <cellStyle name="Note 2 4 4" xfId="22489"/>
    <cellStyle name="Note 2 5" xfId="22490"/>
    <cellStyle name="Note 2 5 2" xfId="22491"/>
    <cellStyle name="Note 2 5 2 2" xfId="22492"/>
    <cellStyle name="Note 2 5 2 3" xfId="22493"/>
    <cellStyle name="Note 2 5 3" xfId="22494"/>
    <cellStyle name="Note 2 5 3 2" xfId="22495"/>
    <cellStyle name="Note 2 5 4" xfId="22496"/>
    <cellStyle name="Note 2 6" xfId="22497"/>
    <cellStyle name="Note 2 6 2" xfId="22498"/>
    <cellStyle name="Note 2 6 2 2" xfId="22499"/>
    <cellStyle name="Note 2 6 2 3" xfId="22500"/>
    <cellStyle name="Note 2 6 3" xfId="22501"/>
    <cellStyle name="Note 2 6 3 2" xfId="22502"/>
    <cellStyle name="Note 2 6 4" xfId="22503"/>
    <cellStyle name="Note 2 7" xfId="22504"/>
    <cellStyle name="Note 2 7 2" xfId="22505"/>
    <cellStyle name="Note 2 7 2 2" xfId="22506"/>
    <cellStyle name="Note 2 7 2 3" xfId="22507"/>
    <cellStyle name="Note 2 7 3" xfId="22508"/>
    <cellStyle name="Note 2 7 3 2" xfId="22509"/>
    <cellStyle name="Note 2 7 4" xfId="22510"/>
    <cellStyle name="Note 2 8" xfId="22511"/>
    <cellStyle name="Note 2 8 2" xfId="22512"/>
    <cellStyle name="Note 2 8 2 2" xfId="22513"/>
    <cellStyle name="Note 2 8 2 3" xfId="22514"/>
    <cellStyle name="Note 2 8 3" xfId="22515"/>
    <cellStyle name="Note 2 8 3 2" xfId="22516"/>
    <cellStyle name="Note 2 8 4" xfId="22517"/>
    <cellStyle name="Note 2 9" xfId="22518"/>
    <cellStyle name="Note 2 9 2" xfId="22519"/>
    <cellStyle name="Note 2 9 2 2" xfId="22520"/>
    <cellStyle name="Note 2 9 2 3" xfId="22521"/>
    <cellStyle name="Note 2 9 3" xfId="22522"/>
    <cellStyle name="Note 2 9 3 2" xfId="22523"/>
    <cellStyle name="Note 2 9 4" xfId="22524"/>
    <cellStyle name="Note 3" xfId="22525"/>
    <cellStyle name="Note 3 10" xfId="22526"/>
    <cellStyle name="Note 3 10 2" xfId="22527"/>
    <cellStyle name="Note 3 10 2 2" xfId="22528"/>
    <cellStyle name="Note 3 10 2 3" xfId="22529"/>
    <cellStyle name="Note 3 10 3" xfId="22530"/>
    <cellStyle name="Note 3 10 3 2" xfId="22531"/>
    <cellStyle name="Note 3 10 4" xfId="22532"/>
    <cellStyle name="Note 3 11" xfId="22533"/>
    <cellStyle name="Note 3 11 2" xfId="22534"/>
    <cellStyle name="Note 3 11 3" xfId="22535"/>
    <cellStyle name="Note 3 12" xfId="22536"/>
    <cellStyle name="Note 3 13" xfId="22537"/>
    <cellStyle name="Note 3 14" xfId="22538"/>
    <cellStyle name="Note 3 2" xfId="22539"/>
    <cellStyle name="Note 3 2 2" xfId="22540"/>
    <cellStyle name="Note 3 2 2 2" xfId="22541"/>
    <cellStyle name="Note 3 2 2 3" xfId="22542"/>
    <cellStyle name="Note 3 2 3" xfId="22543"/>
    <cellStyle name="Note 3 2 3 2" xfId="22544"/>
    <cellStyle name="Note 3 2 4" xfId="22545"/>
    <cellStyle name="Note 3 2 5" xfId="22546"/>
    <cellStyle name="Note 3 3" xfId="22547"/>
    <cellStyle name="Note 3 3 2" xfId="22548"/>
    <cellStyle name="Note 3 3 2 2" xfId="22549"/>
    <cellStyle name="Note 3 3 2 3" xfId="22550"/>
    <cellStyle name="Note 3 3 3" xfId="22551"/>
    <cellStyle name="Note 3 3 3 2" xfId="22552"/>
    <cellStyle name="Note 3 3 4" xfId="22553"/>
    <cellStyle name="Note 3 4" xfId="22554"/>
    <cellStyle name="Note 3 4 2" xfId="22555"/>
    <cellStyle name="Note 3 4 2 2" xfId="22556"/>
    <cellStyle name="Note 3 4 2 3" xfId="22557"/>
    <cellStyle name="Note 3 4 3" xfId="22558"/>
    <cellStyle name="Note 3 4 3 2" xfId="22559"/>
    <cellStyle name="Note 3 4 4" xfId="22560"/>
    <cellStyle name="Note 3 5" xfId="22561"/>
    <cellStyle name="Note 3 5 2" xfId="22562"/>
    <cellStyle name="Note 3 5 2 2" xfId="22563"/>
    <cellStyle name="Note 3 5 2 3" xfId="22564"/>
    <cellStyle name="Note 3 5 3" xfId="22565"/>
    <cellStyle name="Note 3 5 3 2" xfId="22566"/>
    <cellStyle name="Note 3 5 4" xfId="22567"/>
    <cellStyle name="Note 3 6" xfId="22568"/>
    <cellStyle name="Note 3 6 2" xfId="22569"/>
    <cellStyle name="Note 3 6 2 2" xfId="22570"/>
    <cellStyle name="Note 3 6 2 3" xfId="22571"/>
    <cellStyle name="Note 3 6 3" xfId="22572"/>
    <cellStyle name="Note 3 6 3 2" xfId="22573"/>
    <cellStyle name="Note 3 6 4" xfId="22574"/>
    <cellStyle name="Note 3 7" xfId="22575"/>
    <cellStyle name="Note 3 7 2" xfId="22576"/>
    <cellStyle name="Note 3 7 2 2" xfId="22577"/>
    <cellStyle name="Note 3 7 2 3" xfId="22578"/>
    <cellStyle name="Note 3 7 3" xfId="22579"/>
    <cellStyle name="Note 3 7 3 2" xfId="22580"/>
    <cellStyle name="Note 3 7 4" xfId="22581"/>
    <cellStyle name="Note 3 8" xfId="22582"/>
    <cellStyle name="Note 3 8 2" xfId="22583"/>
    <cellStyle name="Note 3 8 2 2" xfId="22584"/>
    <cellStyle name="Note 3 8 2 3" xfId="22585"/>
    <cellStyle name="Note 3 8 3" xfId="22586"/>
    <cellStyle name="Note 3 8 3 2" xfId="22587"/>
    <cellStyle name="Note 3 8 4" xfId="22588"/>
    <cellStyle name="Note 3 9" xfId="22589"/>
    <cellStyle name="Note 3 9 2" xfId="22590"/>
    <cellStyle name="Note 3 9 2 2" xfId="22591"/>
    <cellStyle name="Note 3 9 2 3" xfId="22592"/>
    <cellStyle name="Note 3 9 3" xfId="22593"/>
    <cellStyle name="Note 3 9 3 2" xfId="22594"/>
    <cellStyle name="Note 3 9 4" xfId="22595"/>
    <cellStyle name="Note 4" xfId="22596"/>
    <cellStyle name="Note 4 2" xfId="22597"/>
    <cellStyle name="Note 4 2 2" xfId="22598"/>
    <cellStyle name="Note 4 2 3" xfId="22599"/>
    <cellStyle name="Note 4 2 4" xfId="22600"/>
    <cellStyle name="Note 4 3" xfId="22601"/>
    <cellStyle name="Note 4 3 2" xfId="22602"/>
    <cellStyle name="Note 4 4" xfId="22603"/>
    <cellStyle name="Note 4 5" xfId="22604"/>
    <cellStyle name="Note 5" xfId="22605"/>
    <cellStyle name="Note 5 2" xfId="22606"/>
    <cellStyle name="Note 5 2 2" xfId="22607"/>
    <cellStyle name="Note 5 2 3" xfId="22608"/>
    <cellStyle name="Note 5 2 4" xfId="22609"/>
    <cellStyle name="Note 5 3" xfId="22610"/>
    <cellStyle name="Note 5 3 2" xfId="22611"/>
    <cellStyle name="Note 5 4" xfId="22612"/>
    <cellStyle name="Note 5 5" xfId="22613"/>
    <cellStyle name="Note 6" xfId="22614"/>
    <cellStyle name="Note 6 2" xfId="22615"/>
    <cellStyle name="Note 6 2 2" xfId="22616"/>
    <cellStyle name="Note 6 2 3" xfId="22617"/>
    <cellStyle name="Note 6 2 4" xfId="22618"/>
    <cellStyle name="Note 6 3" xfId="22619"/>
    <cellStyle name="Note 6 3 2" xfId="22620"/>
    <cellStyle name="Note 6 3 3" xfId="22621"/>
    <cellStyle name="Note 6 4" xfId="22622"/>
    <cellStyle name="Note 6 5" xfId="22623"/>
    <cellStyle name="Note 7" xfId="22624"/>
    <cellStyle name="Note 7 2" xfId="22625"/>
    <cellStyle name="Note 7 2 2" xfId="22626"/>
    <cellStyle name="Note 7 2 3" xfId="22627"/>
    <cellStyle name="Note 7 2 4" xfId="22628"/>
    <cellStyle name="Note 7 3" xfId="22629"/>
    <cellStyle name="Note 7 3 2" xfId="22630"/>
    <cellStyle name="Note 7 3 3" xfId="22631"/>
    <cellStyle name="Note 7 4" xfId="22632"/>
    <cellStyle name="Note 7 5" xfId="22633"/>
    <cellStyle name="Note 8" xfId="22634"/>
    <cellStyle name="Note 8 2" xfId="22635"/>
    <cellStyle name="Note 8 2 2" xfId="22636"/>
    <cellStyle name="Note 8 2 3" xfId="22637"/>
    <cellStyle name="Note 8 2 4" xfId="22638"/>
    <cellStyle name="Note 8 3" xfId="22639"/>
    <cellStyle name="Note 8 3 2" xfId="22640"/>
    <cellStyle name="Note 8 3 3" xfId="22641"/>
    <cellStyle name="Note 8 4" xfId="22642"/>
    <cellStyle name="Note 8 5" xfId="22643"/>
    <cellStyle name="Note 9" xfId="22644"/>
    <cellStyle name="Note 9 2" xfId="22645"/>
    <cellStyle name="Note 9 2 2" xfId="22646"/>
    <cellStyle name="Note 9 2 3" xfId="22647"/>
    <cellStyle name="Note 9 2 4" xfId="22648"/>
    <cellStyle name="Note 9 3" xfId="22649"/>
    <cellStyle name="Note 9 3 2" xfId="22650"/>
    <cellStyle name="Note 9 3 3" xfId="22651"/>
    <cellStyle name="Note 9 4" xfId="22652"/>
    <cellStyle name="Note 9 5" xfId="22653"/>
    <cellStyle name="Œ…?æ맖?e [0.00]_laroux" xfId="22654"/>
    <cellStyle name="Œ…?æ맖?e_laroux" xfId="22655"/>
    <cellStyle name="Output 10" xfId="22656"/>
    <cellStyle name="Output 10 2" xfId="22657"/>
    <cellStyle name="Output 10 3" xfId="22658"/>
    <cellStyle name="Output 11" xfId="22659"/>
    <cellStyle name="Output 11 2" xfId="22660"/>
    <cellStyle name="Output 11 3" xfId="22661"/>
    <cellStyle name="Output 12" xfId="22662"/>
    <cellStyle name="Output 13" xfId="22663"/>
    <cellStyle name="Output 14" xfId="22664"/>
    <cellStyle name="Output 2" xfId="22665"/>
    <cellStyle name="Output 2 2" xfId="22666"/>
    <cellStyle name="Output 2 2 10" xfId="22667"/>
    <cellStyle name="Output 2 2 10 2" xfId="22668"/>
    <cellStyle name="Output 2 2 10 2 2" xfId="22669"/>
    <cellStyle name="Output 2 2 10 2 3" xfId="22670"/>
    <cellStyle name="Output 2 2 10 3" xfId="22671"/>
    <cellStyle name="Output 2 2 10 3 2" xfId="22672"/>
    <cellStyle name="Output 2 2 10 4" xfId="22673"/>
    <cellStyle name="Output 2 2 11" xfId="22674"/>
    <cellStyle name="Output 2 2 11 2" xfId="22675"/>
    <cellStyle name="Output 2 2 11 2 2" xfId="22676"/>
    <cellStyle name="Output 2 2 11 2 3" xfId="22677"/>
    <cellStyle name="Output 2 2 11 3" xfId="22678"/>
    <cellStyle name="Output 2 2 11 3 2" xfId="22679"/>
    <cellStyle name="Output 2 2 11 4" xfId="22680"/>
    <cellStyle name="Output 2 2 12" xfId="22681"/>
    <cellStyle name="Output 2 2 12 2" xfId="22682"/>
    <cellStyle name="Output 2 2 12 3" xfId="22683"/>
    <cellStyle name="Output 2 2 13" xfId="22684"/>
    <cellStyle name="Output 2 2 14" xfId="22685"/>
    <cellStyle name="Output 2 2 15" xfId="22686"/>
    <cellStyle name="Output 2 2 2" xfId="22687"/>
    <cellStyle name="Output 2 2 2 2" xfId="22688"/>
    <cellStyle name="Output 2 2 2 2 2" xfId="22689"/>
    <cellStyle name="Output 2 2 2 2 3" xfId="22690"/>
    <cellStyle name="Output 2 2 2 3" xfId="22691"/>
    <cellStyle name="Output 2 2 2 3 2" xfId="22692"/>
    <cellStyle name="Output 2 2 2 4" xfId="22693"/>
    <cellStyle name="Output 2 2 3" xfId="22694"/>
    <cellStyle name="Output 2 2 3 2" xfId="22695"/>
    <cellStyle name="Output 2 2 3 2 2" xfId="22696"/>
    <cellStyle name="Output 2 2 3 2 3" xfId="22697"/>
    <cellStyle name="Output 2 2 3 3" xfId="22698"/>
    <cellStyle name="Output 2 2 3 3 2" xfId="22699"/>
    <cellStyle name="Output 2 2 3 4" xfId="22700"/>
    <cellStyle name="Output 2 2 4" xfId="22701"/>
    <cellStyle name="Output 2 2 4 2" xfId="22702"/>
    <cellStyle name="Output 2 2 4 2 2" xfId="22703"/>
    <cellStyle name="Output 2 2 4 2 3" xfId="22704"/>
    <cellStyle name="Output 2 2 4 3" xfId="22705"/>
    <cellStyle name="Output 2 2 4 3 2" xfId="22706"/>
    <cellStyle name="Output 2 2 4 4" xfId="22707"/>
    <cellStyle name="Output 2 2 5" xfId="22708"/>
    <cellStyle name="Output 2 2 5 2" xfId="22709"/>
    <cellStyle name="Output 2 2 5 2 2" xfId="22710"/>
    <cellStyle name="Output 2 2 5 2 3" xfId="22711"/>
    <cellStyle name="Output 2 2 5 3" xfId="22712"/>
    <cellStyle name="Output 2 2 5 3 2" xfId="22713"/>
    <cellStyle name="Output 2 2 5 4" xfId="22714"/>
    <cellStyle name="Output 2 2 6" xfId="22715"/>
    <cellStyle name="Output 2 2 6 2" xfId="22716"/>
    <cellStyle name="Output 2 2 6 2 2" xfId="22717"/>
    <cellStyle name="Output 2 2 6 2 3" xfId="22718"/>
    <cellStyle name="Output 2 2 6 3" xfId="22719"/>
    <cellStyle name="Output 2 2 6 3 2" xfId="22720"/>
    <cellStyle name="Output 2 2 6 4" xfId="22721"/>
    <cellStyle name="Output 2 2 7" xfId="22722"/>
    <cellStyle name="Output 2 2 7 2" xfId="22723"/>
    <cellStyle name="Output 2 2 7 2 2" xfId="22724"/>
    <cellStyle name="Output 2 2 7 2 3" xfId="22725"/>
    <cellStyle name="Output 2 2 7 3" xfId="22726"/>
    <cellStyle name="Output 2 2 7 3 2" xfId="22727"/>
    <cellStyle name="Output 2 2 7 4" xfId="22728"/>
    <cellStyle name="Output 2 2 8" xfId="22729"/>
    <cellStyle name="Output 2 2 8 2" xfId="22730"/>
    <cellStyle name="Output 2 2 8 2 2" xfId="22731"/>
    <cellStyle name="Output 2 2 8 2 3" xfId="22732"/>
    <cellStyle name="Output 2 2 8 3" xfId="22733"/>
    <cellStyle name="Output 2 2 8 3 2" xfId="22734"/>
    <cellStyle name="Output 2 2 8 4" xfId="22735"/>
    <cellStyle name="Output 2 2 9" xfId="22736"/>
    <cellStyle name="Output 2 2 9 2" xfId="22737"/>
    <cellStyle name="Output 2 2 9 2 2" xfId="22738"/>
    <cellStyle name="Output 2 2 9 2 3" xfId="22739"/>
    <cellStyle name="Output 2 2 9 3" xfId="22740"/>
    <cellStyle name="Output 2 2 9 3 2" xfId="22741"/>
    <cellStyle name="Output 2 2 9 4" xfId="22742"/>
    <cellStyle name="Output 2 3" xfId="22743"/>
    <cellStyle name="Output 2 4" xfId="22744"/>
    <cellStyle name="Output 2 5" xfId="22745"/>
    <cellStyle name="Output 3" xfId="22746"/>
    <cellStyle name="Output 3 2" xfId="22747"/>
    <cellStyle name="Output 3 2 10" xfId="22748"/>
    <cellStyle name="Output 3 2 10 2" xfId="22749"/>
    <cellStyle name="Output 3 2 10 2 2" xfId="22750"/>
    <cellStyle name="Output 3 2 10 2 3" xfId="22751"/>
    <cellStyle name="Output 3 2 10 3" xfId="22752"/>
    <cellStyle name="Output 3 2 10 3 2" xfId="22753"/>
    <cellStyle name="Output 3 2 10 4" xfId="22754"/>
    <cellStyle name="Output 3 2 10 5" xfId="22755"/>
    <cellStyle name="Output 3 2 10 6" xfId="22756"/>
    <cellStyle name="Output 3 2 11" xfId="22757"/>
    <cellStyle name="Output 3 2 11 2" xfId="22758"/>
    <cellStyle name="Output 3 2 11 2 2" xfId="22759"/>
    <cellStyle name="Output 3 2 11 2 3" xfId="22760"/>
    <cellStyle name="Output 3 2 11 3" xfId="22761"/>
    <cellStyle name="Output 3 2 11 3 2" xfId="22762"/>
    <cellStyle name="Output 3 2 11 4" xfId="22763"/>
    <cellStyle name="Output 3 2 11 5" xfId="22764"/>
    <cellStyle name="Output 3 2 11 6" xfId="22765"/>
    <cellStyle name="Output 3 2 12" xfId="22766"/>
    <cellStyle name="Output 3 2 12 2" xfId="22767"/>
    <cellStyle name="Output 3 2 12 2 2" xfId="22768"/>
    <cellStyle name="Output 3 2 12 3" xfId="22769"/>
    <cellStyle name="Output 3 2 12 4" xfId="22770"/>
    <cellStyle name="Output 3 2 13" xfId="22771"/>
    <cellStyle name="Output 3 2 13 2" xfId="22772"/>
    <cellStyle name="Output 3 2 14" xfId="22773"/>
    <cellStyle name="Output 3 2 15" xfId="22774"/>
    <cellStyle name="Output 3 2 16" xfId="22775"/>
    <cellStyle name="Output 3 2 2" xfId="22776"/>
    <cellStyle name="Output 3 2 2 2" xfId="22777"/>
    <cellStyle name="Output 3 2 2 2 2" xfId="22778"/>
    <cellStyle name="Output 3 2 2 2 3" xfId="22779"/>
    <cellStyle name="Output 3 2 2 3" xfId="22780"/>
    <cellStyle name="Output 3 2 2 3 2" xfId="22781"/>
    <cellStyle name="Output 3 2 2 4" xfId="22782"/>
    <cellStyle name="Output 3 2 2 5" xfId="22783"/>
    <cellStyle name="Output 3 2 2 6" xfId="22784"/>
    <cellStyle name="Output 3 2 3" xfId="22785"/>
    <cellStyle name="Output 3 2 3 2" xfId="22786"/>
    <cellStyle name="Output 3 2 3 2 2" xfId="22787"/>
    <cellStyle name="Output 3 2 3 2 3" xfId="22788"/>
    <cellStyle name="Output 3 2 3 3" xfId="22789"/>
    <cellStyle name="Output 3 2 3 3 2" xfId="22790"/>
    <cellStyle name="Output 3 2 3 4" xfId="22791"/>
    <cellStyle name="Output 3 2 3 5" xfId="22792"/>
    <cellStyle name="Output 3 2 3 6" xfId="22793"/>
    <cellStyle name="Output 3 2 4" xfId="22794"/>
    <cellStyle name="Output 3 2 4 2" xfId="22795"/>
    <cellStyle name="Output 3 2 4 2 2" xfId="22796"/>
    <cellStyle name="Output 3 2 4 2 3" xfId="22797"/>
    <cellStyle name="Output 3 2 4 3" xfId="22798"/>
    <cellStyle name="Output 3 2 4 3 2" xfId="22799"/>
    <cellStyle name="Output 3 2 4 4" xfId="22800"/>
    <cellStyle name="Output 3 2 4 5" xfId="22801"/>
    <cellStyle name="Output 3 2 4 6" xfId="22802"/>
    <cellStyle name="Output 3 2 5" xfId="22803"/>
    <cellStyle name="Output 3 2 5 2" xfId="22804"/>
    <cellStyle name="Output 3 2 5 2 2" xfId="22805"/>
    <cellStyle name="Output 3 2 5 2 3" xfId="22806"/>
    <cellStyle name="Output 3 2 5 3" xfId="22807"/>
    <cellStyle name="Output 3 2 5 3 2" xfId="22808"/>
    <cellStyle name="Output 3 2 5 4" xfId="22809"/>
    <cellStyle name="Output 3 2 5 5" xfId="22810"/>
    <cellStyle name="Output 3 2 5 6" xfId="22811"/>
    <cellStyle name="Output 3 2 6" xfId="22812"/>
    <cellStyle name="Output 3 2 6 2" xfId="22813"/>
    <cellStyle name="Output 3 2 6 2 2" xfId="22814"/>
    <cellStyle name="Output 3 2 6 2 3" xfId="22815"/>
    <cellStyle name="Output 3 2 6 3" xfId="22816"/>
    <cellStyle name="Output 3 2 6 3 2" xfId="22817"/>
    <cellStyle name="Output 3 2 6 4" xfId="22818"/>
    <cellStyle name="Output 3 2 6 5" xfId="22819"/>
    <cellStyle name="Output 3 2 6 6" xfId="22820"/>
    <cellStyle name="Output 3 2 7" xfId="22821"/>
    <cellStyle name="Output 3 2 7 2" xfId="22822"/>
    <cellStyle name="Output 3 2 7 2 2" xfId="22823"/>
    <cellStyle name="Output 3 2 7 2 3" xfId="22824"/>
    <cellStyle name="Output 3 2 7 3" xfId="22825"/>
    <cellStyle name="Output 3 2 7 3 2" xfId="22826"/>
    <cellStyle name="Output 3 2 7 4" xfId="22827"/>
    <cellStyle name="Output 3 2 7 5" xfId="22828"/>
    <cellStyle name="Output 3 2 7 6" xfId="22829"/>
    <cellStyle name="Output 3 2 8" xfId="22830"/>
    <cellStyle name="Output 3 2 8 2" xfId="22831"/>
    <cellStyle name="Output 3 2 8 2 2" xfId="22832"/>
    <cellStyle name="Output 3 2 8 2 3" xfId="22833"/>
    <cellStyle name="Output 3 2 8 3" xfId="22834"/>
    <cellStyle name="Output 3 2 8 3 2" xfId="22835"/>
    <cellStyle name="Output 3 2 8 4" xfId="22836"/>
    <cellStyle name="Output 3 2 8 5" xfId="22837"/>
    <cellStyle name="Output 3 2 8 6" xfId="22838"/>
    <cellStyle name="Output 3 2 9" xfId="22839"/>
    <cellStyle name="Output 3 2 9 2" xfId="22840"/>
    <cellStyle name="Output 3 2 9 2 2" xfId="22841"/>
    <cellStyle name="Output 3 2 9 2 3" xfId="22842"/>
    <cellStyle name="Output 3 2 9 3" xfId="22843"/>
    <cellStyle name="Output 3 2 9 3 2" xfId="22844"/>
    <cellStyle name="Output 3 2 9 4" xfId="22845"/>
    <cellStyle name="Output 3 2 9 5" xfId="22846"/>
    <cellStyle name="Output 3 2 9 6" xfId="22847"/>
    <cellStyle name="Output 3 3" xfId="22848"/>
    <cellStyle name="Output 3 3 2" xfId="22849"/>
    <cellStyle name="Output 3 4" xfId="22850"/>
    <cellStyle name="Output 3 5" xfId="22851"/>
    <cellStyle name="Output 3 6" xfId="22852"/>
    <cellStyle name="Output 4" xfId="22853"/>
    <cellStyle name="Output 4 10" xfId="22854"/>
    <cellStyle name="Output 4 10 2" xfId="22855"/>
    <cellStyle name="Output 4 10 2 2" xfId="22856"/>
    <cellStyle name="Output 4 10 2 3" xfId="22857"/>
    <cellStyle name="Output 4 10 3" xfId="22858"/>
    <cellStyle name="Output 4 10 3 2" xfId="22859"/>
    <cellStyle name="Output 4 10 4" xfId="22860"/>
    <cellStyle name="Output 4 11" xfId="22861"/>
    <cellStyle name="Output 4 11 2" xfId="22862"/>
    <cellStyle name="Output 4 11 2 2" xfId="22863"/>
    <cellStyle name="Output 4 11 2 3" xfId="22864"/>
    <cellStyle name="Output 4 11 3" xfId="22865"/>
    <cellStyle name="Output 4 11 3 2" xfId="22866"/>
    <cellStyle name="Output 4 11 4" xfId="22867"/>
    <cellStyle name="Output 4 12" xfId="22868"/>
    <cellStyle name="Output 4 12 2" xfId="22869"/>
    <cellStyle name="Output 4 12 3" xfId="22870"/>
    <cellStyle name="Output 4 13" xfId="22871"/>
    <cellStyle name="Output 4 14" xfId="22872"/>
    <cellStyle name="Output 4 15" xfId="22873"/>
    <cellStyle name="Output 4 2" xfId="22874"/>
    <cellStyle name="Output 4 2 2" xfId="22875"/>
    <cellStyle name="Output 4 2 2 2" xfId="22876"/>
    <cellStyle name="Output 4 2 2 3" xfId="22877"/>
    <cellStyle name="Output 4 2 3" xfId="22878"/>
    <cellStyle name="Output 4 2 3 2" xfId="22879"/>
    <cellStyle name="Output 4 2 4" xfId="22880"/>
    <cellStyle name="Output 4 2 5" xfId="22881"/>
    <cellStyle name="Output 4 3" xfId="22882"/>
    <cellStyle name="Output 4 3 2" xfId="22883"/>
    <cellStyle name="Output 4 3 2 2" xfId="22884"/>
    <cellStyle name="Output 4 3 2 3" xfId="22885"/>
    <cellStyle name="Output 4 3 3" xfId="22886"/>
    <cellStyle name="Output 4 3 3 2" xfId="22887"/>
    <cellStyle name="Output 4 3 4" xfId="22888"/>
    <cellStyle name="Output 4 4" xfId="22889"/>
    <cellStyle name="Output 4 4 2" xfId="22890"/>
    <cellStyle name="Output 4 4 2 2" xfId="22891"/>
    <cellStyle name="Output 4 4 2 3" xfId="22892"/>
    <cellStyle name="Output 4 4 3" xfId="22893"/>
    <cellStyle name="Output 4 4 3 2" xfId="22894"/>
    <cellStyle name="Output 4 4 4" xfId="22895"/>
    <cellStyle name="Output 4 5" xfId="22896"/>
    <cellStyle name="Output 4 5 2" xfId="22897"/>
    <cellStyle name="Output 4 5 2 2" xfId="22898"/>
    <cellStyle name="Output 4 5 2 3" xfId="22899"/>
    <cellStyle name="Output 4 5 3" xfId="22900"/>
    <cellStyle name="Output 4 5 3 2" xfId="22901"/>
    <cellStyle name="Output 4 5 4" xfId="22902"/>
    <cellStyle name="Output 4 6" xfId="22903"/>
    <cellStyle name="Output 4 6 2" xfId="22904"/>
    <cellStyle name="Output 4 6 2 2" xfId="22905"/>
    <cellStyle name="Output 4 6 2 3" xfId="22906"/>
    <cellStyle name="Output 4 6 3" xfId="22907"/>
    <cellStyle name="Output 4 6 3 2" xfId="22908"/>
    <cellStyle name="Output 4 6 4" xfId="22909"/>
    <cellStyle name="Output 4 7" xfId="22910"/>
    <cellStyle name="Output 4 7 2" xfId="22911"/>
    <cellStyle name="Output 4 7 2 2" xfId="22912"/>
    <cellStyle name="Output 4 7 2 3" xfId="22913"/>
    <cellStyle name="Output 4 7 3" xfId="22914"/>
    <cellStyle name="Output 4 7 3 2" xfId="22915"/>
    <cellStyle name="Output 4 7 4" xfId="22916"/>
    <cellStyle name="Output 4 8" xfId="22917"/>
    <cellStyle name="Output 4 8 2" xfId="22918"/>
    <cellStyle name="Output 4 8 2 2" xfId="22919"/>
    <cellStyle name="Output 4 8 2 3" xfId="22920"/>
    <cellStyle name="Output 4 8 3" xfId="22921"/>
    <cellStyle name="Output 4 8 3 2" xfId="22922"/>
    <cellStyle name="Output 4 8 4" xfId="22923"/>
    <cellStyle name="Output 4 9" xfId="22924"/>
    <cellStyle name="Output 4 9 2" xfId="22925"/>
    <cellStyle name="Output 4 9 2 2" xfId="22926"/>
    <cellStyle name="Output 4 9 2 3" xfId="22927"/>
    <cellStyle name="Output 4 9 3" xfId="22928"/>
    <cellStyle name="Output 4 9 3 2" xfId="22929"/>
    <cellStyle name="Output 4 9 4" xfId="22930"/>
    <cellStyle name="Output 5" xfId="22931"/>
    <cellStyle name="Output 5 2" xfId="22932"/>
    <cellStyle name="Output 5 3" xfId="22933"/>
    <cellStyle name="Output 6" xfId="22934"/>
    <cellStyle name="Output 6 2" xfId="22935"/>
    <cellStyle name="Output 6 3" xfId="22936"/>
    <cellStyle name="Output 6 4" xfId="22937"/>
    <cellStyle name="Output 7" xfId="22938"/>
    <cellStyle name="Output 7 2" xfId="22939"/>
    <cellStyle name="Output 7 3" xfId="22940"/>
    <cellStyle name="Output 8" xfId="22941"/>
    <cellStyle name="Output 8 2" xfId="22942"/>
    <cellStyle name="Output 8 3" xfId="22943"/>
    <cellStyle name="Output 9" xfId="22944"/>
    <cellStyle name="Output 9 2" xfId="22945"/>
    <cellStyle name="Output 9 3" xfId="22946"/>
    <cellStyle name="Percent [0]" xfId="22947"/>
    <cellStyle name="Percent [00]" xfId="22948"/>
    <cellStyle name="Percent [2]" xfId="22949"/>
    <cellStyle name="PERCENTAGE" xfId="22950"/>
    <cellStyle name="PrePop Currency (0)" xfId="22951"/>
    <cellStyle name="PrePop Currency (2)" xfId="22952"/>
    <cellStyle name="PrePop Units (0)" xfId="22953"/>
    <cellStyle name="PrePop Units (1)" xfId="22954"/>
    <cellStyle name="PrePop Units (2)" xfId="22955"/>
    <cellStyle name="r_x0010_" xfId="22956"/>
    <cellStyle name="r_x0010_ 2" xfId="22957"/>
    <cellStyle name="R?" xfId="22958"/>
    <cellStyle name="R? 2" xfId="22959"/>
    <cellStyle name="rrfocy`marpvx_622k" xfId="22960"/>
    <cellStyle name="rrfocy`MCvt/ASP" xfId="22961"/>
    <cellStyle name="SAP" xfId="22962"/>
    <cellStyle name="SAP 2" xfId="22963"/>
    <cellStyle name="SAPBEXchaText" xfId="22964"/>
    <cellStyle name="SAPBEXstdData" xfId="22965"/>
    <cellStyle name="SAPBEXstdData 2" xfId="22966"/>
    <cellStyle name="SAPBEXstdItem" xfId="22967"/>
    <cellStyle name="SAPBEXstdItem 2" xfId="22968"/>
    <cellStyle name="SAPBEXstdItemX" xfId="22969"/>
    <cellStyle name="SAPBEXstdItemX 2" xfId="22970"/>
    <cellStyle name="sche|_x0005_" xfId="22971"/>
    <cellStyle name="sche|_x0005_ 2" xfId="22972"/>
    <cellStyle name="Sheet Title" xfId="22973"/>
    <cellStyle name="ssendz_lbsouy`5ussendz_lbsouy`5_622k" xfId="22974"/>
    <cellStyle name="subhead" xfId="22975"/>
    <cellStyle name="subhead 2" xfId="22976"/>
    <cellStyle name="Text Indent A" xfId="22977"/>
    <cellStyle name="Text Indent B" xfId="22978"/>
    <cellStyle name="Text Indent C" xfId="22979"/>
    <cellStyle name="þ_x001d_ð'&amp;Oy?Hy9_x0008__x000f__x0007_æ_x0007__x0007__x0001__x0001_" xfId="22980"/>
    <cellStyle name="þ_x001d_ð'&amp;Oy?Hy9_x0008__x000f__x0007_æ_x0007__x0007__x0001__x0001_ 2" xfId="22981"/>
    <cellStyle name="Title 2" xfId="22982"/>
    <cellStyle name="Title 2 2" xfId="22983"/>
    <cellStyle name="Title 3" xfId="22984"/>
    <cellStyle name="Title 3 2" xfId="22985"/>
    <cellStyle name="Title 3 2 2" xfId="22986"/>
    <cellStyle name="Title 4" xfId="22987"/>
    <cellStyle name="Total 10" xfId="22988"/>
    <cellStyle name="Total 10 2" xfId="22989"/>
    <cellStyle name="Total 10 2 2" xfId="22990"/>
    <cellStyle name="Total 10 2 3" xfId="22991"/>
    <cellStyle name="Total 10 3" xfId="22992"/>
    <cellStyle name="Total 10 3 2" xfId="22993"/>
    <cellStyle name="Total 10 4" xfId="22994"/>
    <cellStyle name="Total 11" xfId="22995"/>
    <cellStyle name="Total 11 2" xfId="22996"/>
    <cellStyle name="Total 11 2 2" xfId="22997"/>
    <cellStyle name="Total 11 2 3" xfId="22998"/>
    <cellStyle name="Total 11 3" xfId="22999"/>
    <cellStyle name="Total 11 3 2" xfId="23000"/>
    <cellStyle name="Total 11 4" xfId="23001"/>
    <cellStyle name="Total 12" xfId="23002"/>
    <cellStyle name="Total 12 2" xfId="23003"/>
    <cellStyle name="Total 12 2 2" xfId="23004"/>
    <cellStyle name="Total 12 2 3" xfId="23005"/>
    <cellStyle name="Total 12 3" xfId="23006"/>
    <cellStyle name="Total 12 3 2" xfId="23007"/>
    <cellStyle name="Total 12 4" xfId="23008"/>
    <cellStyle name="Total 13" xfId="23009"/>
    <cellStyle name="Total 13 2" xfId="23010"/>
    <cellStyle name="Total 13 2 2" xfId="23011"/>
    <cellStyle name="Total 13 2 3" xfId="23012"/>
    <cellStyle name="Total 13 3" xfId="23013"/>
    <cellStyle name="Total 13 3 2" xfId="23014"/>
    <cellStyle name="Total 13 4" xfId="23015"/>
    <cellStyle name="Total 14" xfId="23016"/>
    <cellStyle name="Total 14 2" xfId="23017"/>
    <cellStyle name="Total 14 3" xfId="23018"/>
    <cellStyle name="Total 15" xfId="23019"/>
    <cellStyle name="Total 16" xfId="23020"/>
    <cellStyle name="Total 17" xfId="23021"/>
    <cellStyle name="Total 2" xfId="23022"/>
    <cellStyle name="Total 2 10" xfId="23023"/>
    <cellStyle name="Total 2 10 2" xfId="23024"/>
    <cellStyle name="Total 2 10 2 2" xfId="23025"/>
    <cellStyle name="Total 2 10 2 3" xfId="23026"/>
    <cellStyle name="Total 2 10 2 4" xfId="23027"/>
    <cellStyle name="Total 2 10 3" xfId="23028"/>
    <cellStyle name="Total 2 10 3 2" xfId="23029"/>
    <cellStyle name="Total 2 10 3 3" xfId="23030"/>
    <cellStyle name="Total 2 10 4" xfId="23031"/>
    <cellStyle name="Total 2 10 5" xfId="23032"/>
    <cellStyle name="Total 2 11" xfId="23033"/>
    <cellStyle name="Total 2 11 2" xfId="23034"/>
    <cellStyle name="Total 2 11 2 2" xfId="23035"/>
    <cellStyle name="Total 2 11 2 3" xfId="23036"/>
    <cellStyle name="Total 2 11 2 4" xfId="23037"/>
    <cellStyle name="Total 2 11 3" xfId="23038"/>
    <cellStyle name="Total 2 11 3 2" xfId="23039"/>
    <cellStyle name="Total 2 11 3 3" xfId="23040"/>
    <cellStyle name="Total 2 11 4" xfId="23041"/>
    <cellStyle name="Total 2 11 5" xfId="23042"/>
    <cellStyle name="Total 2 12" xfId="23043"/>
    <cellStyle name="Total 2 12 2" xfId="23044"/>
    <cellStyle name="Total 2 12 3" xfId="23045"/>
    <cellStyle name="Total 2 12 4" xfId="23046"/>
    <cellStyle name="Total 2 13" xfId="23047"/>
    <cellStyle name="Total 2 13 2" xfId="23048"/>
    <cellStyle name="Total 2 14" xfId="23049"/>
    <cellStyle name="Total 2 15" xfId="23050"/>
    <cellStyle name="Total 2 2" xfId="23051"/>
    <cellStyle name="Total 2 2 10" xfId="23052"/>
    <cellStyle name="Total 2 2 10 2" xfId="23053"/>
    <cellStyle name="Total 2 2 10 2 2" xfId="23054"/>
    <cellStyle name="Total 2 2 10 2 3" xfId="23055"/>
    <cellStyle name="Total 2 2 10 3" xfId="23056"/>
    <cellStyle name="Total 2 2 10 3 2" xfId="23057"/>
    <cellStyle name="Total 2 2 10 4" xfId="23058"/>
    <cellStyle name="Total 2 2 11" xfId="23059"/>
    <cellStyle name="Total 2 2 11 2" xfId="23060"/>
    <cellStyle name="Total 2 2 11 3" xfId="23061"/>
    <cellStyle name="Total 2 2 12" xfId="23062"/>
    <cellStyle name="Total 2 2 13" xfId="23063"/>
    <cellStyle name="Total 2 2 14" xfId="23064"/>
    <cellStyle name="Total 2 2 2" xfId="23065"/>
    <cellStyle name="Total 2 2 2 2" xfId="23066"/>
    <cellStyle name="Total 2 2 2 2 2" xfId="23067"/>
    <cellStyle name="Total 2 2 2 2 3" xfId="23068"/>
    <cellStyle name="Total 2 2 2 3" xfId="23069"/>
    <cellStyle name="Total 2 2 2 3 2" xfId="23070"/>
    <cellStyle name="Total 2 2 2 4" xfId="23071"/>
    <cellStyle name="Total 2 2 2 5" xfId="23072"/>
    <cellStyle name="Total 2 2 3" xfId="23073"/>
    <cellStyle name="Total 2 2 3 2" xfId="23074"/>
    <cellStyle name="Total 2 2 3 2 2" xfId="23075"/>
    <cellStyle name="Total 2 2 3 2 3" xfId="23076"/>
    <cellStyle name="Total 2 2 3 3" xfId="23077"/>
    <cellStyle name="Total 2 2 3 3 2" xfId="23078"/>
    <cellStyle name="Total 2 2 3 4" xfId="23079"/>
    <cellStyle name="Total 2 2 4" xfId="23080"/>
    <cellStyle name="Total 2 2 4 2" xfId="23081"/>
    <cellStyle name="Total 2 2 4 2 2" xfId="23082"/>
    <cellStyle name="Total 2 2 4 2 3" xfId="23083"/>
    <cellStyle name="Total 2 2 4 3" xfId="23084"/>
    <cellStyle name="Total 2 2 4 3 2" xfId="23085"/>
    <cellStyle name="Total 2 2 4 4" xfId="23086"/>
    <cellStyle name="Total 2 2 5" xfId="23087"/>
    <cellStyle name="Total 2 2 5 2" xfId="23088"/>
    <cellStyle name="Total 2 2 5 2 2" xfId="23089"/>
    <cellStyle name="Total 2 2 5 2 3" xfId="23090"/>
    <cellStyle name="Total 2 2 5 3" xfId="23091"/>
    <cellStyle name="Total 2 2 5 3 2" xfId="23092"/>
    <cellStyle name="Total 2 2 5 4" xfId="23093"/>
    <cellStyle name="Total 2 2 6" xfId="23094"/>
    <cellStyle name="Total 2 2 6 2" xfId="23095"/>
    <cellStyle name="Total 2 2 6 2 2" xfId="23096"/>
    <cellStyle name="Total 2 2 6 2 3" xfId="23097"/>
    <cellStyle name="Total 2 2 6 3" xfId="23098"/>
    <cellStyle name="Total 2 2 6 3 2" xfId="23099"/>
    <cellStyle name="Total 2 2 6 4" xfId="23100"/>
    <cellStyle name="Total 2 2 7" xfId="23101"/>
    <cellStyle name="Total 2 2 7 2" xfId="23102"/>
    <cellStyle name="Total 2 2 7 2 2" xfId="23103"/>
    <cellStyle name="Total 2 2 7 2 3" xfId="23104"/>
    <cellStyle name="Total 2 2 7 3" xfId="23105"/>
    <cellStyle name="Total 2 2 7 3 2" xfId="23106"/>
    <cellStyle name="Total 2 2 7 4" xfId="23107"/>
    <cellStyle name="Total 2 2 8" xfId="23108"/>
    <cellStyle name="Total 2 2 8 2" xfId="23109"/>
    <cellStyle name="Total 2 2 8 2 2" xfId="23110"/>
    <cellStyle name="Total 2 2 8 2 3" xfId="23111"/>
    <cellStyle name="Total 2 2 8 3" xfId="23112"/>
    <cellStyle name="Total 2 2 8 3 2" xfId="23113"/>
    <cellStyle name="Total 2 2 8 4" xfId="23114"/>
    <cellStyle name="Total 2 2 9" xfId="23115"/>
    <cellStyle name="Total 2 2 9 2" xfId="23116"/>
    <cellStyle name="Total 2 2 9 2 2" xfId="23117"/>
    <cellStyle name="Total 2 2 9 2 3" xfId="23118"/>
    <cellStyle name="Total 2 2 9 3" xfId="23119"/>
    <cellStyle name="Total 2 2 9 3 2" xfId="23120"/>
    <cellStyle name="Total 2 2 9 4" xfId="23121"/>
    <cellStyle name="Total 2 3" xfId="23122"/>
    <cellStyle name="Total 2 3 2" xfId="23123"/>
    <cellStyle name="Total 2 3 2 2" xfId="23124"/>
    <cellStyle name="Total 2 3 2 3" xfId="23125"/>
    <cellStyle name="Total 2 3 2 4" xfId="23126"/>
    <cellStyle name="Total 2 3 3" xfId="23127"/>
    <cellStyle name="Total 2 3 3 2" xfId="23128"/>
    <cellStyle name="Total 2 3 4" xfId="23129"/>
    <cellStyle name="Total 2 3 5" xfId="23130"/>
    <cellStyle name="Total 2 4" xfId="23131"/>
    <cellStyle name="Total 2 4 2" xfId="23132"/>
    <cellStyle name="Total 2 4 2 2" xfId="23133"/>
    <cellStyle name="Total 2 4 2 3" xfId="23134"/>
    <cellStyle name="Total 2 4 2 4" xfId="23135"/>
    <cellStyle name="Total 2 4 3" xfId="23136"/>
    <cellStyle name="Total 2 4 3 2" xfId="23137"/>
    <cellStyle name="Total 2 4 4" xfId="23138"/>
    <cellStyle name="Total 2 4 5" xfId="23139"/>
    <cellStyle name="Total 2 5" xfId="23140"/>
    <cellStyle name="Total 2 5 2" xfId="23141"/>
    <cellStyle name="Total 2 5 2 2" xfId="23142"/>
    <cellStyle name="Total 2 5 2 3" xfId="23143"/>
    <cellStyle name="Total 2 5 2 4" xfId="23144"/>
    <cellStyle name="Total 2 5 3" xfId="23145"/>
    <cellStyle name="Total 2 5 3 2" xfId="23146"/>
    <cellStyle name="Total 2 5 4" xfId="23147"/>
    <cellStyle name="Total 2 5 5" xfId="23148"/>
    <cellStyle name="Total 2 6" xfId="23149"/>
    <cellStyle name="Total 2 6 2" xfId="23150"/>
    <cellStyle name="Total 2 6 2 2" xfId="23151"/>
    <cellStyle name="Total 2 6 2 3" xfId="23152"/>
    <cellStyle name="Total 2 6 2 4" xfId="23153"/>
    <cellStyle name="Total 2 6 3" xfId="23154"/>
    <cellStyle name="Total 2 6 3 2" xfId="23155"/>
    <cellStyle name="Total 2 6 4" xfId="23156"/>
    <cellStyle name="Total 2 6 5" xfId="23157"/>
    <cellStyle name="Total 2 7" xfId="23158"/>
    <cellStyle name="Total 2 7 2" xfId="23159"/>
    <cellStyle name="Total 2 7 2 2" xfId="23160"/>
    <cellStyle name="Total 2 7 2 3" xfId="23161"/>
    <cellStyle name="Total 2 7 2 4" xfId="23162"/>
    <cellStyle name="Total 2 7 3" xfId="23163"/>
    <cellStyle name="Total 2 7 3 2" xfId="23164"/>
    <cellStyle name="Total 2 7 4" xfId="23165"/>
    <cellStyle name="Total 2 7 5" xfId="23166"/>
    <cellStyle name="Total 2 8" xfId="23167"/>
    <cellStyle name="Total 2 8 2" xfId="23168"/>
    <cellStyle name="Total 2 8 2 2" xfId="23169"/>
    <cellStyle name="Total 2 8 2 3" xfId="23170"/>
    <cellStyle name="Total 2 8 2 4" xfId="23171"/>
    <cellStyle name="Total 2 8 3" xfId="23172"/>
    <cellStyle name="Total 2 8 3 2" xfId="23173"/>
    <cellStyle name="Total 2 8 3 3" xfId="23174"/>
    <cellStyle name="Total 2 8 4" xfId="23175"/>
    <cellStyle name="Total 2 8 5" xfId="23176"/>
    <cellStyle name="Total 2 9" xfId="23177"/>
    <cellStyle name="Total 2 9 2" xfId="23178"/>
    <cellStyle name="Total 2 9 2 2" xfId="23179"/>
    <cellStyle name="Total 2 9 2 3" xfId="23180"/>
    <cellStyle name="Total 2 9 2 4" xfId="23181"/>
    <cellStyle name="Total 2 9 3" xfId="23182"/>
    <cellStyle name="Total 2 9 3 2" xfId="23183"/>
    <cellStyle name="Total 2 9 3 3" xfId="23184"/>
    <cellStyle name="Total 2 9 4" xfId="23185"/>
    <cellStyle name="Total 2 9 5" xfId="23186"/>
    <cellStyle name="Total 3" xfId="23187"/>
    <cellStyle name="Total 3 10" xfId="23188"/>
    <cellStyle name="Total 3 10 2" xfId="23189"/>
    <cellStyle name="Total 3 10 2 2" xfId="23190"/>
    <cellStyle name="Total 3 10 2 3" xfId="23191"/>
    <cellStyle name="Total 3 10 3" xfId="23192"/>
    <cellStyle name="Total 3 10 3 2" xfId="23193"/>
    <cellStyle name="Total 3 10 4" xfId="23194"/>
    <cellStyle name="Total 3 10 5" xfId="23195"/>
    <cellStyle name="Total 3 10 6" xfId="23196"/>
    <cellStyle name="Total 3 11" xfId="23197"/>
    <cellStyle name="Total 3 11 2" xfId="23198"/>
    <cellStyle name="Total 3 11 2 2" xfId="23199"/>
    <cellStyle name="Total 3 11 2 3" xfId="23200"/>
    <cellStyle name="Total 3 11 3" xfId="23201"/>
    <cellStyle name="Total 3 11 3 2" xfId="23202"/>
    <cellStyle name="Total 3 11 4" xfId="23203"/>
    <cellStyle name="Total 3 11 5" xfId="23204"/>
    <cellStyle name="Total 3 11 6" xfId="23205"/>
    <cellStyle name="Total 3 12" xfId="23206"/>
    <cellStyle name="Total 3 12 2" xfId="23207"/>
    <cellStyle name="Total 3 12 2 2" xfId="23208"/>
    <cellStyle name="Total 3 12 3" xfId="23209"/>
    <cellStyle name="Total 3 12 4" xfId="23210"/>
    <cellStyle name="Total 3 13" xfId="23211"/>
    <cellStyle name="Total 3 13 2" xfId="23212"/>
    <cellStyle name="Total 3 14" xfId="23213"/>
    <cellStyle name="Total 3 15" xfId="23214"/>
    <cellStyle name="Total 3 2" xfId="23215"/>
    <cellStyle name="Total 3 2 10" xfId="23216"/>
    <cellStyle name="Total 3 2 10 2" xfId="23217"/>
    <cellStyle name="Total 3 2 10 2 2" xfId="23218"/>
    <cellStyle name="Total 3 2 10 2 3" xfId="23219"/>
    <cellStyle name="Total 3 2 10 3" xfId="23220"/>
    <cellStyle name="Total 3 2 10 3 2" xfId="23221"/>
    <cellStyle name="Total 3 2 10 4" xfId="23222"/>
    <cellStyle name="Total 3 2 10 5" xfId="23223"/>
    <cellStyle name="Total 3 2 10 6" xfId="23224"/>
    <cellStyle name="Total 3 2 11" xfId="23225"/>
    <cellStyle name="Total 3 2 11 2" xfId="23226"/>
    <cellStyle name="Total 3 2 11 2 2" xfId="23227"/>
    <cellStyle name="Total 3 2 11 3" xfId="23228"/>
    <cellStyle name="Total 3 2 11 4" xfId="23229"/>
    <cellStyle name="Total 3 2 12" xfId="23230"/>
    <cellStyle name="Total 3 2 12 2" xfId="23231"/>
    <cellStyle name="Total 3 2 13" xfId="23232"/>
    <cellStyle name="Total 3 2 14" xfId="23233"/>
    <cellStyle name="Total 3 2 2" xfId="23234"/>
    <cellStyle name="Total 3 2 2 2" xfId="23235"/>
    <cellStyle name="Total 3 2 2 2 2" xfId="23236"/>
    <cellStyle name="Total 3 2 2 2 3" xfId="23237"/>
    <cellStyle name="Total 3 2 2 3" xfId="23238"/>
    <cellStyle name="Total 3 2 2 3 2" xfId="23239"/>
    <cellStyle name="Total 3 2 2 4" xfId="23240"/>
    <cellStyle name="Total 3 2 2 5" xfId="23241"/>
    <cellStyle name="Total 3 2 2 6" xfId="23242"/>
    <cellStyle name="Total 3 2 3" xfId="23243"/>
    <cellStyle name="Total 3 2 3 2" xfId="23244"/>
    <cellStyle name="Total 3 2 3 2 2" xfId="23245"/>
    <cellStyle name="Total 3 2 3 2 3" xfId="23246"/>
    <cellStyle name="Total 3 2 3 3" xfId="23247"/>
    <cellStyle name="Total 3 2 3 3 2" xfId="23248"/>
    <cellStyle name="Total 3 2 3 4" xfId="23249"/>
    <cellStyle name="Total 3 2 3 5" xfId="23250"/>
    <cellStyle name="Total 3 2 3 6" xfId="23251"/>
    <cellStyle name="Total 3 2 4" xfId="23252"/>
    <cellStyle name="Total 3 2 4 2" xfId="23253"/>
    <cellStyle name="Total 3 2 4 2 2" xfId="23254"/>
    <cellStyle name="Total 3 2 4 2 3" xfId="23255"/>
    <cellStyle name="Total 3 2 4 3" xfId="23256"/>
    <cellStyle name="Total 3 2 4 3 2" xfId="23257"/>
    <cellStyle name="Total 3 2 4 4" xfId="23258"/>
    <cellStyle name="Total 3 2 4 5" xfId="23259"/>
    <cellStyle name="Total 3 2 4 6" xfId="23260"/>
    <cellStyle name="Total 3 2 5" xfId="23261"/>
    <cellStyle name="Total 3 2 5 2" xfId="23262"/>
    <cellStyle name="Total 3 2 5 2 2" xfId="23263"/>
    <cellStyle name="Total 3 2 5 2 3" xfId="23264"/>
    <cellStyle name="Total 3 2 5 3" xfId="23265"/>
    <cellStyle name="Total 3 2 5 3 2" xfId="23266"/>
    <cellStyle name="Total 3 2 5 4" xfId="23267"/>
    <cellStyle name="Total 3 2 5 5" xfId="23268"/>
    <cellStyle name="Total 3 2 5 6" xfId="23269"/>
    <cellStyle name="Total 3 2 6" xfId="23270"/>
    <cellStyle name="Total 3 2 6 2" xfId="23271"/>
    <cellStyle name="Total 3 2 6 2 2" xfId="23272"/>
    <cellStyle name="Total 3 2 6 2 3" xfId="23273"/>
    <cellStyle name="Total 3 2 6 3" xfId="23274"/>
    <cellStyle name="Total 3 2 6 3 2" xfId="23275"/>
    <cellStyle name="Total 3 2 6 4" xfId="23276"/>
    <cellStyle name="Total 3 2 6 5" xfId="23277"/>
    <cellStyle name="Total 3 2 6 6" xfId="23278"/>
    <cellStyle name="Total 3 2 7" xfId="23279"/>
    <cellStyle name="Total 3 2 7 2" xfId="23280"/>
    <cellStyle name="Total 3 2 7 2 2" xfId="23281"/>
    <cellStyle name="Total 3 2 7 2 3" xfId="23282"/>
    <cellStyle name="Total 3 2 7 3" xfId="23283"/>
    <cellStyle name="Total 3 2 7 3 2" xfId="23284"/>
    <cellStyle name="Total 3 2 7 4" xfId="23285"/>
    <cellStyle name="Total 3 2 7 5" xfId="23286"/>
    <cellStyle name="Total 3 2 7 6" xfId="23287"/>
    <cellStyle name="Total 3 2 8" xfId="23288"/>
    <cellStyle name="Total 3 2 8 2" xfId="23289"/>
    <cellStyle name="Total 3 2 8 2 2" xfId="23290"/>
    <cellStyle name="Total 3 2 8 2 3" xfId="23291"/>
    <cellStyle name="Total 3 2 8 3" xfId="23292"/>
    <cellStyle name="Total 3 2 8 3 2" xfId="23293"/>
    <cellStyle name="Total 3 2 8 4" xfId="23294"/>
    <cellStyle name="Total 3 2 8 5" xfId="23295"/>
    <cellStyle name="Total 3 2 8 6" xfId="23296"/>
    <cellStyle name="Total 3 2 9" xfId="23297"/>
    <cellStyle name="Total 3 2 9 2" xfId="23298"/>
    <cellStyle name="Total 3 2 9 2 2" xfId="23299"/>
    <cellStyle name="Total 3 2 9 2 3" xfId="23300"/>
    <cellStyle name="Total 3 2 9 3" xfId="23301"/>
    <cellStyle name="Total 3 2 9 3 2" xfId="23302"/>
    <cellStyle name="Total 3 2 9 4" xfId="23303"/>
    <cellStyle name="Total 3 2 9 5" xfId="23304"/>
    <cellStyle name="Total 3 2 9 6" xfId="23305"/>
    <cellStyle name="Total 3 3" xfId="23306"/>
    <cellStyle name="Total 3 3 2" xfId="23307"/>
    <cellStyle name="Total 3 3 2 2" xfId="23308"/>
    <cellStyle name="Total 3 3 2 3" xfId="23309"/>
    <cellStyle name="Total 3 3 3" xfId="23310"/>
    <cellStyle name="Total 3 3 3 2" xfId="23311"/>
    <cellStyle name="Total 3 3 4" xfId="23312"/>
    <cellStyle name="Total 3 3 5" xfId="23313"/>
    <cellStyle name="Total 3 3 6" xfId="23314"/>
    <cellStyle name="Total 3 4" xfId="23315"/>
    <cellStyle name="Total 3 4 2" xfId="23316"/>
    <cellStyle name="Total 3 4 2 2" xfId="23317"/>
    <cellStyle name="Total 3 4 2 3" xfId="23318"/>
    <cellStyle name="Total 3 4 3" xfId="23319"/>
    <cellStyle name="Total 3 4 3 2" xfId="23320"/>
    <cellStyle name="Total 3 4 4" xfId="23321"/>
    <cellStyle name="Total 3 4 5" xfId="23322"/>
    <cellStyle name="Total 3 4 6" xfId="23323"/>
    <cellStyle name="Total 3 5" xfId="23324"/>
    <cellStyle name="Total 3 5 2" xfId="23325"/>
    <cellStyle name="Total 3 5 2 2" xfId="23326"/>
    <cellStyle name="Total 3 5 2 3" xfId="23327"/>
    <cellStyle name="Total 3 5 3" xfId="23328"/>
    <cellStyle name="Total 3 5 3 2" xfId="23329"/>
    <cellStyle name="Total 3 5 4" xfId="23330"/>
    <cellStyle name="Total 3 5 5" xfId="23331"/>
    <cellStyle name="Total 3 5 6" xfId="23332"/>
    <cellStyle name="Total 3 6" xfId="23333"/>
    <cellStyle name="Total 3 6 2" xfId="23334"/>
    <cellStyle name="Total 3 6 2 2" xfId="23335"/>
    <cellStyle name="Total 3 6 2 3" xfId="23336"/>
    <cellStyle name="Total 3 6 3" xfId="23337"/>
    <cellStyle name="Total 3 6 3 2" xfId="23338"/>
    <cellStyle name="Total 3 6 4" xfId="23339"/>
    <cellStyle name="Total 3 6 5" xfId="23340"/>
    <cellStyle name="Total 3 6 6" xfId="23341"/>
    <cellStyle name="Total 3 7" xfId="23342"/>
    <cellStyle name="Total 3 7 2" xfId="23343"/>
    <cellStyle name="Total 3 7 2 2" xfId="23344"/>
    <cellStyle name="Total 3 7 2 3" xfId="23345"/>
    <cellStyle name="Total 3 7 3" xfId="23346"/>
    <cellStyle name="Total 3 7 3 2" xfId="23347"/>
    <cellStyle name="Total 3 7 4" xfId="23348"/>
    <cellStyle name="Total 3 7 5" xfId="23349"/>
    <cellStyle name="Total 3 7 6" xfId="23350"/>
    <cellStyle name="Total 3 8" xfId="23351"/>
    <cellStyle name="Total 3 8 2" xfId="23352"/>
    <cellStyle name="Total 3 8 2 2" xfId="23353"/>
    <cellStyle name="Total 3 8 2 3" xfId="23354"/>
    <cellStyle name="Total 3 8 3" xfId="23355"/>
    <cellStyle name="Total 3 8 3 2" xfId="23356"/>
    <cellStyle name="Total 3 8 4" xfId="23357"/>
    <cellStyle name="Total 3 8 5" xfId="23358"/>
    <cellStyle name="Total 3 8 6" xfId="23359"/>
    <cellStyle name="Total 3 9" xfId="23360"/>
    <cellStyle name="Total 3 9 2" xfId="23361"/>
    <cellStyle name="Total 3 9 2 2" xfId="23362"/>
    <cellStyle name="Total 3 9 2 3" xfId="23363"/>
    <cellStyle name="Total 3 9 3" xfId="23364"/>
    <cellStyle name="Total 3 9 3 2" xfId="23365"/>
    <cellStyle name="Total 3 9 4" xfId="23366"/>
    <cellStyle name="Total 3 9 5" xfId="23367"/>
    <cellStyle name="Total 3 9 6" xfId="23368"/>
    <cellStyle name="Total 4" xfId="23369"/>
    <cellStyle name="Total 4 10" xfId="23370"/>
    <cellStyle name="Total 4 10 2" xfId="23371"/>
    <cellStyle name="Total 4 10 2 2" xfId="23372"/>
    <cellStyle name="Total 4 10 2 3" xfId="23373"/>
    <cellStyle name="Total 4 10 3" xfId="23374"/>
    <cellStyle name="Total 4 10 3 2" xfId="23375"/>
    <cellStyle name="Total 4 10 4" xfId="23376"/>
    <cellStyle name="Total 4 11" xfId="23377"/>
    <cellStyle name="Total 4 11 2" xfId="23378"/>
    <cellStyle name="Total 4 11 3" xfId="23379"/>
    <cellStyle name="Total 4 12" xfId="23380"/>
    <cellStyle name="Total 4 13" xfId="23381"/>
    <cellStyle name="Total 4 2" xfId="23382"/>
    <cellStyle name="Total 4 2 2" xfId="23383"/>
    <cellStyle name="Total 4 2 2 2" xfId="23384"/>
    <cellStyle name="Total 4 2 2 3" xfId="23385"/>
    <cellStyle name="Total 4 2 3" xfId="23386"/>
    <cellStyle name="Total 4 2 3 2" xfId="23387"/>
    <cellStyle name="Total 4 2 4" xfId="23388"/>
    <cellStyle name="Total 4 3" xfId="23389"/>
    <cellStyle name="Total 4 3 2" xfId="23390"/>
    <cellStyle name="Total 4 3 2 2" xfId="23391"/>
    <cellStyle name="Total 4 3 2 3" xfId="23392"/>
    <cellStyle name="Total 4 3 3" xfId="23393"/>
    <cellStyle name="Total 4 3 3 2" xfId="23394"/>
    <cellStyle name="Total 4 3 4" xfId="23395"/>
    <cellStyle name="Total 4 4" xfId="23396"/>
    <cellStyle name="Total 4 4 2" xfId="23397"/>
    <cellStyle name="Total 4 4 2 2" xfId="23398"/>
    <cellStyle name="Total 4 4 2 3" xfId="23399"/>
    <cellStyle name="Total 4 4 3" xfId="23400"/>
    <cellStyle name="Total 4 4 3 2" xfId="23401"/>
    <cellStyle name="Total 4 4 4" xfId="23402"/>
    <cellStyle name="Total 4 5" xfId="23403"/>
    <cellStyle name="Total 4 5 2" xfId="23404"/>
    <cellStyle name="Total 4 5 2 2" xfId="23405"/>
    <cellStyle name="Total 4 5 2 3" xfId="23406"/>
    <cellStyle name="Total 4 5 3" xfId="23407"/>
    <cellStyle name="Total 4 5 3 2" xfId="23408"/>
    <cellStyle name="Total 4 5 4" xfId="23409"/>
    <cellStyle name="Total 4 6" xfId="23410"/>
    <cellStyle name="Total 4 6 2" xfId="23411"/>
    <cellStyle name="Total 4 6 2 2" xfId="23412"/>
    <cellStyle name="Total 4 6 2 3" xfId="23413"/>
    <cellStyle name="Total 4 6 3" xfId="23414"/>
    <cellStyle name="Total 4 6 3 2" xfId="23415"/>
    <cellStyle name="Total 4 6 4" xfId="23416"/>
    <cellStyle name="Total 4 7" xfId="23417"/>
    <cellStyle name="Total 4 7 2" xfId="23418"/>
    <cellStyle name="Total 4 7 2 2" xfId="23419"/>
    <cellStyle name="Total 4 7 2 3" xfId="23420"/>
    <cellStyle name="Total 4 7 3" xfId="23421"/>
    <cellStyle name="Total 4 7 3 2" xfId="23422"/>
    <cellStyle name="Total 4 7 4" xfId="23423"/>
    <cellStyle name="Total 4 8" xfId="23424"/>
    <cellStyle name="Total 4 8 2" xfId="23425"/>
    <cellStyle name="Total 4 8 2 2" xfId="23426"/>
    <cellStyle name="Total 4 8 2 3" xfId="23427"/>
    <cellStyle name="Total 4 8 3" xfId="23428"/>
    <cellStyle name="Total 4 8 3 2" xfId="23429"/>
    <cellStyle name="Total 4 8 4" xfId="23430"/>
    <cellStyle name="Total 4 9" xfId="23431"/>
    <cellStyle name="Total 4 9 2" xfId="23432"/>
    <cellStyle name="Total 4 9 2 2" xfId="23433"/>
    <cellStyle name="Total 4 9 2 3" xfId="23434"/>
    <cellStyle name="Total 4 9 3" xfId="23435"/>
    <cellStyle name="Total 4 9 3 2" xfId="23436"/>
    <cellStyle name="Total 4 9 4" xfId="23437"/>
    <cellStyle name="Total 5" xfId="23438"/>
    <cellStyle name="Total 5 2" xfId="23439"/>
    <cellStyle name="Total 5 2 2" xfId="23440"/>
    <cellStyle name="Total 5 2 3" xfId="23441"/>
    <cellStyle name="Total 5 3" xfId="23442"/>
    <cellStyle name="Total 5 3 2" xfId="23443"/>
    <cellStyle name="Total 5 4" xfId="23444"/>
    <cellStyle name="Total 6" xfId="23445"/>
    <cellStyle name="Total 6 2" xfId="23446"/>
    <cellStyle name="Total 6 2 2" xfId="23447"/>
    <cellStyle name="Total 6 2 3" xfId="23448"/>
    <cellStyle name="Total 6 3" xfId="23449"/>
    <cellStyle name="Total 6 3 2" xfId="23450"/>
    <cellStyle name="Total 6 4" xfId="23451"/>
    <cellStyle name="Total 7" xfId="23452"/>
    <cellStyle name="Total 7 2" xfId="23453"/>
    <cellStyle name="Total 7 2 2" xfId="23454"/>
    <cellStyle name="Total 7 2 3" xfId="23455"/>
    <cellStyle name="Total 7 3" xfId="23456"/>
    <cellStyle name="Total 7 3 2" xfId="23457"/>
    <cellStyle name="Total 7 4" xfId="23458"/>
    <cellStyle name="Total 8" xfId="23459"/>
    <cellStyle name="Total 8 2" xfId="23460"/>
    <cellStyle name="Total 8 2 2" xfId="23461"/>
    <cellStyle name="Total 8 2 3" xfId="23462"/>
    <cellStyle name="Total 8 3" xfId="23463"/>
    <cellStyle name="Total 8 3 2" xfId="23464"/>
    <cellStyle name="Total 8 4" xfId="23465"/>
    <cellStyle name="Total 9" xfId="23466"/>
    <cellStyle name="Total 9 2" xfId="23467"/>
    <cellStyle name="Total 9 2 2" xfId="23468"/>
    <cellStyle name="Total 9 2 3" xfId="23469"/>
    <cellStyle name="Total 9 3" xfId="23470"/>
    <cellStyle name="Total 9 3 2" xfId="23471"/>
    <cellStyle name="Total 9 4" xfId="23472"/>
    <cellStyle name="Tusental (0)_pldt" xfId="23473"/>
    <cellStyle name="Tusental_pldt" xfId="23474"/>
    <cellStyle name="Unprot" xfId="23475"/>
    <cellStyle name="Unprot$" xfId="23476"/>
    <cellStyle name="Unprotect" xfId="23477"/>
    <cellStyle name="Valuta (0)_pldt" xfId="23478"/>
    <cellStyle name="Valuta_pldt" xfId="23479"/>
    <cellStyle name="wafer" xfId="23480"/>
    <cellStyle name="Warning Text 2" xfId="23481"/>
    <cellStyle name="Warning Text 2 2" xfId="23482"/>
    <cellStyle name="Warning Text 3" xfId="23483"/>
    <cellStyle name="Warning Text 3 2" xfId="23484"/>
    <cellStyle name="Warning Text 3 2 2" xfId="23485"/>
    <cellStyle name="Warning Text 4" xfId="23486"/>
    <cellStyle name="Warning Text 5" xfId="23487"/>
    <cellStyle name="weekdays" xfId="23488"/>
    <cellStyle name="weekend" xfId="23489"/>
    <cellStyle name="XLS'|_x0005_t" xfId="23490"/>
    <cellStyle name="XLS'|_x0005_t 2" xfId="23491"/>
    <cellStyle name="y`5_622k" xfId="23492"/>
    <cellStyle name="Α?xls 파일을 저장하시겠습니까?_TO_x000c_?" xfId="23493"/>
    <cellStyle name="ハイパーリンク_Book1 グラフ 22" xfId="23494"/>
    <cellStyle name="遽_laroux" xfId="23495"/>
    <cellStyle name="" xfId="23496"/>
    <cellStyle name=" 2" xfId="23497"/>
    <cellStyle name="" xfId="23498"/>
    <cellStyle name="강조색1 10" xfId="23499"/>
    <cellStyle name="강조색1 11" xfId="23500"/>
    <cellStyle name="강조색1 12" xfId="23501"/>
    <cellStyle name="강조색1 13" xfId="23502"/>
    <cellStyle name="강조색1 14" xfId="23503"/>
    <cellStyle name="강조색1 15" xfId="23504"/>
    <cellStyle name="강조색1 2" xfId="23505"/>
    <cellStyle name="강조색1 2 2" xfId="23506"/>
    <cellStyle name="강조색1 2 2 2" xfId="23507"/>
    <cellStyle name="강조색1 2 3" xfId="23508"/>
    <cellStyle name="강조색1 3" xfId="23509"/>
    <cellStyle name="강조색1 3 2" xfId="23510"/>
    <cellStyle name="강조색1 3 3" xfId="23511"/>
    <cellStyle name="강조색1 4" xfId="23512"/>
    <cellStyle name="강조색1 4 2" xfId="23513"/>
    <cellStyle name="강조색1 5" xfId="23514"/>
    <cellStyle name="강조색1 6" xfId="23515"/>
    <cellStyle name="강조색1 7" xfId="23516"/>
    <cellStyle name="강조색1 8" xfId="23517"/>
    <cellStyle name="강조색1 9" xfId="23518"/>
    <cellStyle name="강조색2 10" xfId="23519"/>
    <cellStyle name="강조색2 11" xfId="23520"/>
    <cellStyle name="강조색2 12" xfId="23521"/>
    <cellStyle name="강조색2 13" xfId="23522"/>
    <cellStyle name="강조색2 14" xfId="23523"/>
    <cellStyle name="강조색2 15" xfId="23524"/>
    <cellStyle name="강조색2 2" xfId="23525"/>
    <cellStyle name="강조색2 2 2" xfId="23526"/>
    <cellStyle name="강조색2 2 2 2" xfId="23527"/>
    <cellStyle name="강조색2 2 3" xfId="23528"/>
    <cellStyle name="강조색2 3" xfId="23529"/>
    <cellStyle name="강조색2 3 2" xfId="23530"/>
    <cellStyle name="강조색2 3 3" xfId="23531"/>
    <cellStyle name="강조색2 4" xfId="23532"/>
    <cellStyle name="강조색2 4 2" xfId="23533"/>
    <cellStyle name="강조색2 5" xfId="23534"/>
    <cellStyle name="강조색2 6" xfId="23535"/>
    <cellStyle name="강조색2 7" xfId="23536"/>
    <cellStyle name="강조색2 8" xfId="23537"/>
    <cellStyle name="강조색2 9" xfId="23538"/>
    <cellStyle name="강조색3 10" xfId="23539"/>
    <cellStyle name="강조색3 11" xfId="23540"/>
    <cellStyle name="강조색3 12" xfId="23541"/>
    <cellStyle name="강조색3 13" xfId="23542"/>
    <cellStyle name="강조색3 14" xfId="23543"/>
    <cellStyle name="강조색3 15" xfId="23544"/>
    <cellStyle name="강조색3 2" xfId="23545"/>
    <cellStyle name="강조색3 2 2" xfId="23546"/>
    <cellStyle name="강조색3 2 2 2" xfId="23547"/>
    <cellStyle name="강조색3 2 3" xfId="23548"/>
    <cellStyle name="강조색3 3" xfId="23549"/>
    <cellStyle name="강조색3 3 2" xfId="23550"/>
    <cellStyle name="강조색3 3 3" xfId="23551"/>
    <cellStyle name="강조색3 4" xfId="23552"/>
    <cellStyle name="강조색3 4 2" xfId="23553"/>
    <cellStyle name="강조색3 5" xfId="23554"/>
    <cellStyle name="강조색3 6" xfId="23555"/>
    <cellStyle name="강조색3 7" xfId="23556"/>
    <cellStyle name="강조색3 8" xfId="23557"/>
    <cellStyle name="강조색3 9" xfId="23558"/>
    <cellStyle name="강조색4 10" xfId="23559"/>
    <cellStyle name="강조색4 11" xfId="23560"/>
    <cellStyle name="강조색4 12" xfId="23561"/>
    <cellStyle name="강조색4 13" xfId="23562"/>
    <cellStyle name="강조색4 14" xfId="23563"/>
    <cellStyle name="강조색4 15" xfId="23564"/>
    <cellStyle name="강조색4 2" xfId="23565"/>
    <cellStyle name="강조색4 2 2" xfId="23566"/>
    <cellStyle name="강조색4 2 2 2" xfId="23567"/>
    <cellStyle name="강조색4 2 3" xfId="23568"/>
    <cellStyle name="강조색4 3" xfId="23569"/>
    <cellStyle name="강조색4 3 2" xfId="23570"/>
    <cellStyle name="강조색4 3 3" xfId="23571"/>
    <cellStyle name="강조색4 4" xfId="23572"/>
    <cellStyle name="강조색4 4 2" xfId="23573"/>
    <cellStyle name="강조색4 5" xfId="23574"/>
    <cellStyle name="강조색4 6" xfId="23575"/>
    <cellStyle name="강조색4 7" xfId="23576"/>
    <cellStyle name="강조색4 8" xfId="23577"/>
    <cellStyle name="강조색4 9" xfId="23578"/>
    <cellStyle name="강조색5 10" xfId="23579"/>
    <cellStyle name="강조색5 11" xfId="23580"/>
    <cellStyle name="강조색5 12" xfId="23581"/>
    <cellStyle name="강조색5 13" xfId="23582"/>
    <cellStyle name="강조색5 14" xfId="23583"/>
    <cellStyle name="강조색5 15" xfId="23584"/>
    <cellStyle name="강조색5 2" xfId="23585"/>
    <cellStyle name="강조색5 2 2" xfId="23586"/>
    <cellStyle name="강조색5 2 2 2" xfId="23587"/>
    <cellStyle name="강조색5 2 3" xfId="23588"/>
    <cellStyle name="강조색5 3" xfId="23589"/>
    <cellStyle name="강조색5 3 2" xfId="23590"/>
    <cellStyle name="강조색5 4" xfId="23591"/>
    <cellStyle name="강조색5 4 2" xfId="23592"/>
    <cellStyle name="강조색5 5" xfId="23593"/>
    <cellStyle name="강조색5 6" xfId="23594"/>
    <cellStyle name="강조색5 7" xfId="23595"/>
    <cellStyle name="강조색5 8" xfId="23596"/>
    <cellStyle name="강조색5 9" xfId="23597"/>
    <cellStyle name="강조색6 10" xfId="23598"/>
    <cellStyle name="강조색6 11" xfId="23599"/>
    <cellStyle name="강조색6 12" xfId="23600"/>
    <cellStyle name="강조색6 13" xfId="23601"/>
    <cellStyle name="강조색6 14" xfId="23602"/>
    <cellStyle name="강조색6 15" xfId="23603"/>
    <cellStyle name="강조색6 2" xfId="23604"/>
    <cellStyle name="강조색6 2 2" xfId="23605"/>
    <cellStyle name="강조색6 2 2 2" xfId="23606"/>
    <cellStyle name="강조색6 2 3" xfId="23607"/>
    <cellStyle name="강조색6 3" xfId="23608"/>
    <cellStyle name="강조색6 3 2" xfId="23609"/>
    <cellStyle name="강조색6 3 3" xfId="23610"/>
    <cellStyle name="강조색6 4" xfId="23611"/>
    <cellStyle name="강조색6 4 2" xfId="23612"/>
    <cellStyle name="강조색6 5" xfId="23613"/>
    <cellStyle name="강조색6 6" xfId="23614"/>
    <cellStyle name="강조색6 7" xfId="23615"/>
    <cellStyle name="강조색6 8" xfId="23616"/>
    <cellStyle name="강조색6 9" xfId="23617"/>
    <cellStyle name="경고문 10" xfId="23618"/>
    <cellStyle name="경고문 11" xfId="23619"/>
    <cellStyle name="경고문 12" xfId="23620"/>
    <cellStyle name="경고문 13" xfId="23621"/>
    <cellStyle name="경고문 14" xfId="23622"/>
    <cellStyle name="경고문 15" xfId="23623"/>
    <cellStyle name="경고문 2" xfId="23624"/>
    <cellStyle name="경고문 2 2" xfId="23625"/>
    <cellStyle name="경고문 2 2 2" xfId="23626"/>
    <cellStyle name="경고문 2 3" xfId="23627"/>
    <cellStyle name="경고문 3" xfId="23628"/>
    <cellStyle name="경고문 3 2" xfId="23629"/>
    <cellStyle name="경고문 4" xfId="23630"/>
    <cellStyle name="경고문 4 2" xfId="23631"/>
    <cellStyle name="경고문 5" xfId="23632"/>
    <cellStyle name="경고문 6" xfId="23633"/>
    <cellStyle name="경고문 7" xfId="23634"/>
    <cellStyle name="경고문 8" xfId="23635"/>
    <cellStyle name="경고문 9" xfId="23636"/>
    <cellStyle name="계산 10" xfId="23637"/>
    <cellStyle name="계산 11" xfId="23638"/>
    <cellStyle name="계산 12" xfId="23639"/>
    <cellStyle name="계산 13" xfId="23640"/>
    <cellStyle name="계산 14" xfId="23641"/>
    <cellStyle name="계산 15" xfId="23642"/>
    <cellStyle name="계산 2" xfId="23643"/>
    <cellStyle name="계산 2 2" xfId="23644"/>
    <cellStyle name="계산 2 2 10" xfId="23645"/>
    <cellStyle name="계산 2 2 10 2" xfId="23646"/>
    <cellStyle name="계산 2 2 10 3" xfId="23647"/>
    <cellStyle name="계산 2 2 11" xfId="23648"/>
    <cellStyle name="계산 2 2 11 2" xfId="23649"/>
    <cellStyle name="계산 2 2 11 3" xfId="23650"/>
    <cellStyle name="계산 2 2 12" xfId="23651"/>
    <cellStyle name="계산 2 2 13" xfId="23652"/>
    <cellStyle name="계산 2 2 14" xfId="23653"/>
    <cellStyle name="계산 2 2 2" xfId="23654"/>
    <cellStyle name="계산 2 2 2 2" xfId="23655"/>
    <cellStyle name="계산 2 2 3" xfId="23656"/>
    <cellStyle name="계산 2 2 3 2" xfId="23657"/>
    <cellStyle name="계산 2 2 4" xfId="23658"/>
    <cellStyle name="계산 2 2 4 2" xfId="23659"/>
    <cellStyle name="계산 2 2 5" xfId="23660"/>
    <cellStyle name="계산 2 2 5 2" xfId="23661"/>
    <cellStyle name="계산 2 2 6" xfId="23662"/>
    <cellStyle name="계산 2 2 6 2" xfId="23663"/>
    <cellStyle name="계산 2 2 7" xfId="23664"/>
    <cellStyle name="계산 2 2 7 2" xfId="23665"/>
    <cellStyle name="계산 2 2 8" xfId="23666"/>
    <cellStyle name="계산 2 2 8 2" xfId="23667"/>
    <cellStyle name="계산 2 2 8 3" xfId="23668"/>
    <cellStyle name="계산 2 2 9" xfId="23669"/>
    <cellStyle name="계산 2 2 9 2" xfId="23670"/>
    <cellStyle name="계산 2 2 9 3" xfId="23671"/>
    <cellStyle name="계산 2 3" xfId="23672"/>
    <cellStyle name="계산 2 4" xfId="23673"/>
    <cellStyle name="계산 3" xfId="23674"/>
    <cellStyle name="계산 3 2" xfId="23675"/>
    <cellStyle name="계산 3 2 10" xfId="23676"/>
    <cellStyle name="계산 3 2 10 2" xfId="23677"/>
    <cellStyle name="계산 3 2 10 3" xfId="23678"/>
    <cellStyle name="계산 3 2 11" xfId="23679"/>
    <cellStyle name="계산 3 2 11 2" xfId="23680"/>
    <cellStyle name="계산 3 2 11 3" xfId="23681"/>
    <cellStyle name="계산 3 2 12" xfId="23682"/>
    <cellStyle name="계산 3 2 13" xfId="23683"/>
    <cellStyle name="계산 3 2 2" xfId="23684"/>
    <cellStyle name="계산 3 2 2 2" xfId="23685"/>
    <cellStyle name="계산 3 2 3" xfId="23686"/>
    <cellStyle name="계산 3 2 3 2" xfId="23687"/>
    <cellStyle name="계산 3 2 4" xfId="23688"/>
    <cellStyle name="계산 3 2 4 2" xfId="23689"/>
    <cellStyle name="계산 3 2 5" xfId="23690"/>
    <cellStyle name="계산 3 2 5 2" xfId="23691"/>
    <cellStyle name="계산 3 2 6" xfId="23692"/>
    <cellStyle name="계산 3 2 6 2" xfId="23693"/>
    <cellStyle name="계산 3 2 7" xfId="23694"/>
    <cellStyle name="계산 3 2 7 2" xfId="23695"/>
    <cellStyle name="계산 3 2 8" xfId="23696"/>
    <cellStyle name="계산 3 2 8 2" xfId="23697"/>
    <cellStyle name="계산 3 2 8 3" xfId="23698"/>
    <cellStyle name="계산 3 2 9" xfId="23699"/>
    <cellStyle name="계산 3 2 9 2" xfId="23700"/>
    <cellStyle name="계산 3 2 9 3" xfId="23701"/>
    <cellStyle name="계산 3 3" xfId="23702"/>
    <cellStyle name="계산 4" xfId="23703"/>
    <cellStyle name="계산 4 2" xfId="23704"/>
    <cellStyle name="계산 5" xfId="23705"/>
    <cellStyle name="계산 6" xfId="23706"/>
    <cellStyle name="계산 7" xfId="23707"/>
    <cellStyle name="계산 8" xfId="23708"/>
    <cellStyle name="계산 9" xfId="23709"/>
    <cellStyle name="고딕" xfId="23710"/>
    <cellStyle name="고정소숫점" xfId="23711"/>
    <cellStyle name="고정소숫점 2" xfId="23712"/>
    <cellStyle name="고정소숫점 2 2" xfId="23713"/>
    <cellStyle name="고정소숫점 3" xfId="23714"/>
    <cellStyle name="고정출력1" xfId="23715"/>
    <cellStyle name="고정출력1 2" xfId="23716"/>
    <cellStyle name="고정출력1 2 2" xfId="23717"/>
    <cellStyle name="고정출력1 3" xfId="23718"/>
    <cellStyle name="고정출력2" xfId="23719"/>
    <cellStyle name="고정출력2 2" xfId="23720"/>
    <cellStyle name="고정출력2 2 2" xfId="23721"/>
    <cellStyle name="고정출력2 3" xfId="23722"/>
    <cellStyle name="궩" xfId="23723"/>
    <cellStyle name="껵_x0003_" xfId="23724"/>
    <cellStyle name="나쁨 10" xfId="23725"/>
    <cellStyle name="나쁨 11" xfId="23726"/>
    <cellStyle name="나쁨 12" xfId="23727"/>
    <cellStyle name="나쁨 13" xfId="23728"/>
    <cellStyle name="나쁨 14" xfId="23729"/>
    <cellStyle name="나쁨 15" xfId="23730"/>
    <cellStyle name="나쁨 2" xfId="23731"/>
    <cellStyle name="나쁨 2 2" xfId="23732"/>
    <cellStyle name="나쁨 2 2 2" xfId="23733"/>
    <cellStyle name="나쁨 2 3" xfId="23734"/>
    <cellStyle name="나쁨 3" xfId="23735"/>
    <cellStyle name="나쁨 3 2" xfId="23736"/>
    <cellStyle name="나쁨 3 3" xfId="23737"/>
    <cellStyle name="나쁨 4" xfId="23738"/>
    <cellStyle name="나쁨 4 2" xfId="23739"/>
    <cellStyle name="나쁨 5" xfId="23740"/>
    <cellStyle name="나쁨 6" xfId="23741"/>
    <cellStyle name="나쁨 7" xfId="23742"/>
    <cellStyle name="나쁨 8" xfId="23743"/>
    <cellStyle name="나쁨 9" xfId="23744"/>
    <cellStyle name="날짜" xfId="23745"/>
    <cellStyle name="날짜 2" xfId="23746"/>
    <cellStyle name="날짜 2 2" xfId="23747"/>
    <cellStyle name="날짜 3" xfId="23748"/>
    <cellStyle name="달러" xfId="23749"/>
    <cellStyle name="달러 2" xfId="23750"/>
    <cellStyle name="달러 2 2" xfId="23751"/>
    <cellStyle name="달러 3" xfId="23752"/>
    <cellStyle name="뒤에 오는 하이퍼링크" xfId="23753"/>
    <cellStyle name="뒤에 오는 하이퍼링크 2" xfId="23754"/>
    <cellStyle name="뒤에 오는 하이퍼링크 2 2" xfId="23755"/>
    <cellStyle name="뒤에 오는 하이퍼링크 3" xfId="23756"/>
    <cellStyle name="뒤에 오는 하이퍼링크 4" xfId="23757"/>
    <cellStyle name="똿떓죶Ø괻 [0.00]_PRODUCT DETAIL Q1" xfId="23758"/>
    <cellStyle name="똿떓죶Ø괻_PRODUCT DETAIL Q1" xfId="23759"/>
    <cellStyle name="똿뗦먛귟 [0.00]_NT Server " xfId="23760"/>
    <cellStyle name="똿뗦먛귟_NT Server " xfId="23761"/>
    <cellStyle name="메모 10" xfId="23762"/>
    <cellStyle name="메모 10 2" xfId="23763"/>
    <cellStyle name="메모 10 3" xfId="23764"/>
    <cellStyle name="메모 11" xfId="23765"/>
    <cellStyle name="메모 11 2" xfId="23766"/>
    <cellStyle name="메모 11 3" xfId="23767"/>
    <cellStyle name="메모 12" xfId="23768"/>
    <cellStyle name="메모 12 2" xfId="23769"/>
    <cellStyle name="메모 12 3" xfId="23770"/>
    <cellStyle name="메모 13" xfId="23771"/>
    <cellStyle name="메모 13 2" xfId="23772"/>
    <cellStyle name="메모 13 3" xfId="23773"/>
    <cellStyle name="메모 14" xfId="23774"/>
    <cellStyle name="메모 14 2" xfId="23775"/>
    <cellStyle name="메모 14 3" xfId="23776"/>
    <cellStyle name="메모 15" xfId="23777"/>
    <cellStyle name="메모 15 2" xfId="23778"/>
    <cellStyle name="메모 15 3" xfId="23779"/>
    <cellStyle name="메모 16" xfId="23780"/>
    <cellStyle name="메모 16 2" xfId="23781"/>
    <cellStyle name="메모 17" xfId="23782"/>
    <cellStyle name="메모 17 2" xfId="23783"/>
    <cellStyle name="메모 18" xfId="23784"/>
    <cellStyle name="메모 18 2" xfId="23785"/>
    <cellStyle name="메모 19" xfId="23786"/>
    <cellStyle name="메모 19 2" xfId="23787"/>
    <cellStyle name="메모 2" xfId="23788"/>
    <cellStyle name="메모 2 10" xfId="23789"/>
    <cellStyle name="메모 2 11" xfId="23790"/>
    <cellStyle name="메모 2 12" xfId="23791"/>
    <cellStyle name="메모 2 13" xfId="23792"/>
    <cellStyle name="메모 2 14" xfId="23793"/>
    <cellStyle name="메모 2 15" xfId="23794"/>
    <cellStyle name="메모 2 16" xfId="23795"/>
    <cellStyle name="메모 2 16 2" xfId="23796"/>
    <cellStyle name="메모 2 16 3" xfId="23797"/>
    <cellStyle name="메모 2 17" xfId="23798"/>
    <cellStyle name="메모 2 18" xfId="23799"/>
    <cellStyle name="메모 2 19" xfId="23800"/>
    <cellStyle name="메모 2 2" xfId="23801"/>
    <cellStyle name="메모 2 2 10" xfId="23802"/>
    <cellStyle name="메모 2 2 10 2" xfId="23803"/>
    <cellStyle name="메모 2 2 10 3" xfId="23804"/>
    <cellStyle name="메모 2 2 11" xfId="23805"/>
    <cellStyle name="메모 2 2 11 2" xfId="23806"/>
    <cellStyle name="메모 2 2 11 3" xfId="23807"/>
    <cellStyle name="메모 2 2 12" xfId="23808"/>
    <cellStyle name="메모 2 2 13" xfId="23809"/>
    <cellStyle name="메모 2 2 14" xfId="23810"/>
    <cellStyle name="메모 2 2 15" xfId="23811"/>
    <cellStyle name="메모 2 2 2" xfId="23812"/>
    <cellStyle name="메모 2 2 2 2" xfId="23813"/>
    <cellStyle name="메모 2 2 2 2 2" xfId="23814"/>
    <cellStyle name="메모 2 2 2 2 3" xfId="23815"/>
    <cellStyle name="메모 2 2 2 3" xfId="23816"/>
    <cellStyle name="메모 2 2 2 4" xfId="23817"/>
    <cellStyle name="메모 2 2 2 5" xfId="23818"/>
    <cellStyle name="메모 2 2 3" xfId="23819"/>
    <cellStyle name="메모 2 2 3 2" xfId="23820"/>
    <cellStyle name="메모 2 2 3 3" xfId="23821"/>
    <cellStyle name="메모 2 2 4" xfId="23822"/>
    <cellStyle name="메모 2 2 4 2" xfId="23823"/>
    <cellStyle name="메모 2 2 5" xfId="23824"/>
    <cellStyle name="메모 2 2 5 2" xfId="23825"/>
    <cellStyle name="메모 2 2 6" xfId="23826"/>
    <cellStyle name="메모 2 2 6 2" xfId="23827"/>
    <cellStyle name="메모 2 2 7" xfId="23828"/>
    <cellStyle name="메모 2 2 7 2" xfId="23829"/>
    <cellStyle name="메모 2 2 8" xfId="23830"/>
    <cellStyle name="메모 2 2 8 2" xfId="23831"/>
    <cellStyle name="메모 2 2 8 3" xfId="23832"/>
    <cellStyle name="메모 2 2 9" xfId="23833"/>
    <cellStyle name="메모 2 2 9 2" xfId="23834"/>
    <cellStyle name="메모 2 2 9 3" xfId="23835"/>
    <cellStyle name="메모 2 3" xfId="23836"/>
    <cellStyle name="메모 2 3 2" xfId="23837"/>
    <cellStyle name="메모 2 3 2 2" xfId="23838"/>
    <cellStyle name="메모 2 3 2 2 2" xfId="23839"/>
    <cellStyle name="메모 2 3 2 2 3" xfId="23840"/>
    <cellStyle name="메모 2 3 2 3" xfId="23841"/>
    <cellStyle name="메모 2 3 2 4" xfId="23842"/>
    <cellStyle name="메모 2 3 2 5" xfId="23843"/>
    <cellStyle name="메모 2 3 3" xfId="23844"/>
    <cellStyle name="메모 2 4" xfId="23845"/>
    <cellStyle name="메모 2 4 2" xfId="23846"/>
    <cellStyle name="메모 2 4 2 2" xfId="23847"/>
    <cellStyle name="메모 2 4 2 2 2" xfId="23848"/>
    <cellStyle name="메모 2 4 2 2 3" xfId="23849"/>
    <cellStyle name="메모 2 4 2 3" xfId="23850"/>
    <cellStyle name="메모 2 4 2 4" xfId="23851"/>
    <cellStyle name="메모 2 4 2 5" xfId="23852"/>
    <cellStyle name="메모 2 4 3" xfId="23853"/>
    <cellStyle name="메모 2 5" xfId="23854"/>
    <cellStyle name="메모 2 6" xfId="23855"/>
    <cellStyle name="메모 2 7" xfId="23856"/>
    <cellStyle name="메모 2 8" xfId="23857"/>
    <cellStyle name="메모 2 9" xfId="23858"/>
    <cellStyle name="메모 20" xfId="23859"/>
    <cellStyle name="메모 20 2" xfId="23860"/>
    <cellStyle name="메모 21" xfId="23861"/>
    <cellStyle name="메모 21 2" xfId="23862"/>
    <cellStyle name="메모 22" xfId="23863"/>
    <cellStyle name="메모 22 2" xfId="23864"/>
    <cellStyle name="메모 23" xfId="23865"/>
    <cellStyle name="메모 23 2" xfId="23866"/>
    <cellStyle name="메모 24" xfId="23867"/>
    <cellStyle name="메모 24 2" xfId="23868"/>
    <cellStyle name="메모 25" xfId="23869"/>
    <cellStyle name="메모 25 2" xfId="23870"/>
    <cellStyle name="메모 26" xfId="23871"/>
    <cellStyle name="메모 26 2" xfId="23872"/>
    <cellStyle name="메모 27" xfId="23873"/>
    <cellStyle name="메모 28" xfId="23874"/>
    <cellStyle name="메모 29" xfId="23875"/>
    <cellStyle name="메모 3" xfId="23876"/>
    <cellStyle name="메모 3 10" xfId="23877"/>
    <cellStyle name="메모 3 10 2" xfId="23878"/>
    <cellStyle name="메모 3 10 2 2" xfId="23879"/>
    <cellStyle name="메모 3 10 2 2 2" xfId="23880"/>
    <cellStyle name="메모 3 10 2 2 3" xfId="23881"/>
    <cellStyle name="메모 3 10 2 3" xfId="23882"/>
    <cellStyle name="메모 3 10 2 4" xfId="23883"/>
    <cellStyle name="메모 3 10 3" xfId="23884"/>
    <cellStyle name="메모 3 10 3 2" xfId="23885"/>
    <cellStyle name="메모 3 10 3 3" xfId="23886"/>
    <cellStyle name="메모 3 10 4" xfId="23887"/>
    <cellStyle name="메모 3 10 5" xfId="23888"/>
    <cellStyle name="메모 3 11" xfId="23889"/>
    <cellStyle name="메모 3 11 2" xfId="23890"/>
    <cellStyle name="메모 3 11 2 2" xfId="23891"/>
    <cellStyle name="메모 3 11 2 3" xfId="23892"/>
    <cellStyle name="메모 3 11 3" xfId="23893"/>
    <cellStyle name="메모 3 11 4" xfId="23894"/>
    <cellStyle name="메모 3 12" xfId="23895"/>
    <cellStyle name="메모 3 12 2" xfId="23896"/>
    <cellStyle name="메모 3 12 3" xfId="23897"/>
    <cellStyle name="메모 3 13" xfId="23898"/>
    <cellStyle name="메모 3 14" xfId="23899"/>
    <cellStyle name="메모 3 15" xfId="23900"/>
    <cellStyle name="메모 3 16" xfId="23901"/>
    <cellStyle name="메모 3 2" xfId="23902"/>
    <cellStyle name="메모 3 2 10" xfId="23903"/>
    <cellStyle name="메모 3 2 10 2" xfId="23904"/>
    <cellStyle name="메모 3 2 10 2 2" xfId="23905"/>
    <cellStyle name="메모 3 2 10 2 3" xfId="23906"/>
    <cellStyle name="메모 3 2 10 3" xfId="23907"/>
    <cellStyle name="메모 3 2 10 4" xfId="23908"/>
    <cellStyle name="메모 3 2 11" xfId="23909"/>
    <cellStyle name="메모 3 2 11 2" xfId="23910"/>
    <cellStyle name="메모 3 2 11 3" xfId="23911"/>
    <cellStyle name="메모 3 2 12" xfId="23912"/>
    <cellStyle name="메모 3 2 13" xfId="23913"/>
    <cellStyle name="메모 3 2 14" xfId="23914"/>
    <cellStyle name="메모 3 2 15" xfId="23915"/>
    <cellStyle name="메모 3 2 2" xfId="23916"/>
    <cellStyle name="메모 3 2 2 10" xfId="23917"/>
    <cellStyle name="메모 3 2 2 11" xfId="23918"/>
    <cellStyle name="메모 3 2 2 12" xfId="23919"/>
    <cellStyle name="메모 3 2 2 2" xfId="23920"/>
    <cellStyle name="메모 3 2 2 2 2" xfId="23921"/>
    <cellStyle name="메모 3 2 2 2 2 2" xfId="23922"/>
    <cellStyle name="메모 3 2 2 2 2 2 2" xfId="23923"/>
    <cellStyle name="메모 3 2 2 2 2 2 2 2" xfId="23924"/>
    <cellStyle name="메모 3 2 2 2 2 2 2 3" xfId="23925"/>
    <cellStyle name="메모 3 2 2 2 2 2 3" xfId="23926"/>
    <cellStyle name="메모 3 2 2 2 2 2 4" xfId="23927"/>
    <cellStyle name="메모 3 2 2 2 2 3" xfId="23928"/>
    <cellStyle name="메모 3 2 2 2 2 3 2" xfId="23929"/>
    <cellStyle name="메모 3 2 2 2 2 3 3" xfId="23930"/>
    <cellStyle name="메모 3 2 2 2 2 4" xfId="23931"/>
    <cellStyle name="메모 3 2 2 2 2 5" xfId="23932"/>
    <cellStyle name="메모 3 2 2 2 3" xfId="23933"/>
    <cellStyle name="메모 3 2 2 2 3 2" xfId="23934"/>
    <cellStyle name="메모 3 2 2 2 3 2 2" xfId="23935"/>
    <cellStyle name="메모 3 2 2 2 3 2 2 2" xfId="23936"/>
    <cellStyle name="메모 3 2 2 2 3 2 2 3" xfId="23937"/>
    <cellStyle name="메모 3 2 2 2 3 2 3" xfId="23938"/>
    <cellStyle name="메모 3 2 2 2 3 2 4" xfId="23939"/>
    <cellStyle name="메모 3 2 2 2 3 3" xfId="23940"/>
    <cellStyle name="메모 3 2 2 2 3 3 2" xfId="23941"/>
    <cellStyle name="메모 3 2 2 2 3 3 3" xfId="23942"/>
    <cellStyle name="메모 3 2 2 2 3 4" xfId="23943"/>
    <cellStyle name="메모 3 2 2 2 3 5" xfId="23944"/>
    <cellStyle name="메모 3 2 2 2 4" xfId="23945"/>
    <cellStyle name="메모 3 2 2 2 4 2" xfId="23946"/>
    <cellStyle name="메모 3 2 2 2 4 2 2" xfId="23947"/>
    <cellStyle name="메모 3 2 2 2 4 2 3" xfId="23948"/>
    <cellStyle name="메모 3 2 2 2 4 3" xfId="23949"/>
    <cellStyle name="메모 3 2 2 2 4 4" xfId="23950"/>
    <cellStyle name="메모 3 2 2 2 5" xfId="23951"/>
    <cellStyle name="메모 3 2 2 2 5 2" xfId="23952"/>
    <cellStyle name="메모 3 2 2 2 5 3" xfId="23953"/>
    <cellStyle name="메모 3 2 2 2 6" xfId="23954"/>
    <cellStyle name="메모 3 2 2 2 7" xfId="23955"/>
    <cellStyle name="메모 3 2 2 3" xfId="23956"/>
    <cellStyle name="메모 3 2 2 3 2" xfId="23957"/>
    <cellStyle name="메모 3 2 2 3 2 2" xfId="23958"/>
    <cellStyle name="메모 3 2 2 3 2 2 2" xfId="23959"/>
    <cellStyle name="메모 3 2 2 3 2 2 2 2" xfId="23960"/>
    <cellStyle name="메모 3 2 2 3 2 2 2 3" xfId="23961"/>
    <cellStyle name="메모 3 2 2 3 2 2 3" xfId="23962"/>
    <cellStyle name="메모 3 2 2 3 2 2 4" xfId="23963"/>
    <cellStyle name="메모 3 2 2 3 2 3" xfId="23964"/>
    <cellStyle name="메모 3 2 2 3 2 3 2" xfId="23965"/>
    <cellStyle name="메모 3 2 2 3 2 3 3" xfId="23966"/>
    <cellStyle name="메모 3 2 2 3 2 4" xfId="23967"/>
    <cellStyle name="메모 3 2 2 3 2 5" xfId="23968"/>
    <cellStyle name="메모 3 2 2 3 3" xfId="23969"/>
    <cellStyle name="메모 3 2 2 3 3 2" xfId="23970"/>
    <cellStyle name="메모 3 2 2 3 3 2 2" xfId="23971"/>
    <cellStyle name="메모 3 2 2 3 3 2 2 2" xfId="23972"/>
    <cellStyle name="메모 3 2 2 3 3 2 2 3" xfId="23973"/>
    <cellStyle name="메모 3 2 2 3 3 2 3" xfId="23974"/>
    <cellStyle name="메모 3 2 2 3 3 2 4" xfId="23975"/>
    <cellStyle name="메모 3 2 2 3 3 3" xfId="23976"/>
    <cellStyle name="메모 3 2 2 3 3 3 2" xfId="23977"/>
    <cellStyle name="메모 3 2 2 3 3 3 3" xfId="23978"/>
    <cellStyle name="메모 3 2 2 3 3 4" xfId="23979"/>
    <cellStyle name="메모 3 2 2 3 3 5" xfId="23980"/>
    <cellStyle name="메모 3 2 2 3 4" xfId="23981"/>
    <cellStyle name="메모 3 2 2 3 4 2" xfId="23982"/>
    <cellStyle name="메모 3 2 2 3 4 2 2" xfId="23983"/>
    <cellStyle name="메모 3 2 2 3 4 2 3" xfId="23984"/>
    <cellStyle name="메모 3 2 2 3 4 3" xfId="23985"/>
    <cellStyle name="메모 3 2 2 3 4 4" xfId="23986"/>
    <cellStyle name="메모 3 2 2 3 5" xfId="23987"/>
    <cellStyle name="메모 3 2 2 3 5 2" xfId="23988"/>
    <cellStyle name="메모 3 2 2 3 5 3" xfId="23989"/>
    <cellStyle name="메모 3 2 2 3 6" xfId="23990"/>
    <cellStyle name="메모 3 2 2 3 7" xfId="23991"/>
    <cellStyle name="메모 3 2 2 4" xfId="23992"/>
    <cellStyle name="메모 3 2 2 4 2" xfId="23993"/>
    <cellStyle name="메모 3 2 2 4 2 2" xfId="23994"/>
    <cellStyle name="메모 3 2 2 4 2 2 2" xfId="23995"/>
    <cellStyle name="메모 3 2 2 4 2 2 3" xfId="23996"/>
    <cellStyle name="메모 3 2 2 4 2 3" xfId="23997"/>
    <cellStyle name="메모 3 2 2 4 2 4" xfId="23998"/>
    <cellStyle name="메모 3 2 2 4 3" xfId="23999"/>
    <cellStyle name="메모 3 2 2 4 3 2" xfId="24000"/>
    <cellStyle name="메모 3 2 2 4 3 3" xfId="24001"/>
    <cellStyle name="메모 3 2 2 4 4" xfId="24002"/>
    <cellStyle name="메모 3 2 2 4 5" xfId="24003"/>
    <cellStyle name="메모 3 2 2 5" xfId="24004"/>
    <cellStyle name="메모 3 2 2 5 2" xfId="24005"/>
    <cellStyle name="메모 3 2 2 5 2 2" xfId="24006"/>
    <cellStyle name="메모 3 2 2 5 2 2 2" xfId="24007"/>
    <cellStyle name="메모 3 2 2 5 2 2 3" xfId="24008"/>
    <cellStyle name="메모 3 2 2 5 2 3" xfId="24009"/>
    <cellStyle name="메모 3 2 2 5 2 4" xfId="24010"/>
    <cellStyle name="메모 3 2 2 5 3" xfId="24011"/>
    <cellStyle name="메모 3 2 2 5 3 2" xfId="24012"/>
    <cellStyle name="메모 3 2 2 5 3 3" xfId="24013"/>
    <cellStyle name="메모 3 2 2 5 4" xfId="24014"/>
    <cellStyle name="메모 3 2 2 5 5" xfId="24015"/>
    <cellStyle name="메모 3 2 2 6" xfId="24016"/>
    <cellStyle name="메모 3 2 2 6 2" xfId="24017"/>
    <cellStyle name="메모 3 2 2 6 2 2" xfId="24018"/>
    <cellStyle name="메모 3 2 2 6 2 2 2" xfId="24019"/>
    <cellStyle name="메모 3 2 2 6 2 2 3" xfId="24020"/>
    <cellStyle name="메모 3 2 2 6 2 3" xfId="24021"/>
    <cellStyle name="메모 3 2 2 6 2 4" xfId="24022"/>
    <cellStyle name="메모 3 2 2 6 3" xfId="24023"/>
    <cellStyle name="메모 3 2 2 6 3 2" xfId="24024"/>
    <cellStyle name="메모 3 2 2 6 3 3" xfId="24025"/>
    <cellStyle name="메모 3 2 2 6 4" xfId="24026"/>
    <cellStyle name="메모 3 2 2 6 5" xfId="24027"/>
    <cellStyle name="메모 3 2 2 7" xfId="24028"/>
    <cellStyle name="메모 3 2 2 7 2" xfId="24029"/>
    <cellStyle name="메모 3 2 2 7 2 2" xfId="24030"/>
    <cellStyle name="메모 3 2 2 7 2 3" xfId="24031"/>
    <cellStyle name="메모 3 2 2 7 3" xfId="24032"/>
    <cellStyle name="메모 3 2 2 7 4" xfId="24033"/>
    <cellStyle name="메모 3 2 2 8" xfId="24034"/>
    <cellStyle name="메모 3 2 2 8 2" xfId="24035"/>
    <cellStyle name="메모 3 2 2 8 3" xfId="24036"/>
    <cellStyle name="메모 3 2 2 9" xfId="24037"/>
    <cellStyle name="메모 3 2 3" xfId="24038"/>
    <cellStyle name="메모 3 2 3 10" xfId="24039"/>
    <cellStyle name="메모 3 2 3 2" xfId="24040"/>
    <cellStyle name="메모 3 2 3 2 2" xfId="24041"/>
    <cellStyle name="메모 3 2 3 2 2 2" xfId="24042"/>
    <cellStyle name="메모 3 2 3 2 2 2 2" xfId="24043"/>
    <cellStyle name="메모 3 2 3 2 2 2 2 2" xfId="24044"/>
    <cellStyle name="메모 3 2 3 2 2 2 2 3" xfId="24045"/>
    <cellStyle name="메모 3 2 3 2 2 2 3" xfId="24046"/>
    <cellStyle name="메모 3 2 3 2 2 2 4" xfId="24047"/>
    <cellStyle name="메모 3 2 3 2 2 3" xfId="24048"/>
    <cellStyle name="메모 3 2 3 2 2 3 2" xfId="24049"/>
    <cellStyle name="메모 3 2 3 2 2 3 3" xfId="24050"/>
    <cellStyle name="메모 3 2 3 2 2 4" xfId="24051"/>
    <cellStyle name="메모 3 2 3 2 2 5" xfId="24052"/>
    <cellStyle name="메모 3 2 3 2 3" xfId="24053"/>
    <cellStyle name="메모 3 2 3 2 3 2" xfId="24054"/>
    <cellStyle name="메모 3 2 3 2 3 2 2" xfId="24055"/>
    <cellStyle name="메모 3 2 3 2 3 2 2 2" xfId="24056"/>
    <cellStyle name="메모 3 2 3 2 3 2 2 3" xfId="24057"/>
    <cellStyle name="메모 3 2 3 2 3 2 3" xfId="24058"/>
    <cellStyle name="메모 3 2 3 2 3 2 4" xfId="24059"/>
    <cellStyle name="메모 3 2 3 2 3 3" xfId="24060"/>
    <cellStyle name="메모 3 2 3 2 3 3 2" xfId="24061"/>
    <cellStyle name="메모 3 2 3 2 3 3 3" xfId="24062"/>
    <cellStyle name="메모 3 2 3 2 3 4" xfId="24063"/>
    <cellStyle name="메모 3 2 3 2 3 5" xfId="24064"/>
    <cellStyle name="메모 3 2 3 2 4" xfId="24065"/>
    <cellStyle name="메모 3 2 3 2 4 2" xfId="24066"/>
    <cellStyle name="메모 3 2 3 2 4 2 2" xfId="24067"/>
    <cellStyle name="메모 3 2 3 2 4 2 3" xfId="24068"/>
    <cellStyle name="메모 3 2 3 2 4 3" xfId="24069"/>
    <cellStyle name="메모 3 2 3 2 4 4" xfId="24070"/>
    <cellStyle name="메모 3 2 3 2 5" xfId="24071"/>
    <cellStyle name="메모 3 2 3 2 5 2" xfId="24072"/>
    <cellStyle name="메모 3 2 3 2 5 3" xfId="24073"/>
    <cellStyle name="메모 3 2 3 2 6" xfId="24074"/>
    <cellStyle name="메모 3 2 3 2 7" xfId="24075"/>
    <cellStyle name="메모 3 2 3 3" xfId="24076"/>
    <cellStyle name="메모 3 2 3 3 2" xfId="24077"/>
    <cellStyle name="메모 3 2 3 3 2 2" xfId="24078"/>
    <cellStyle name="메모 3 2 3 3 2 2 2" xfId="24079"/>
    <cellStyle name="메모 3 2 3 3 2 2 2 2" xfId="24080"/>
    <cellStyle name="메모 3 2 3 3 2 2 2 3" xfId="24081"/>
    <cellStyle name="메모 3 2 3 3 2 2 3" xfId="24082"/>
    <cellStyle name="메모 3 2 3 3 2 2 4" xfId="24083"/>
    <cellStyle name="메모 3 2 3 3 2 3" xfId="24084"/>
    <cellStyle name="메모 3 2 3 3 2 3 2" xfId="24085"/>
    <cellStyle name="메모 3 2 3 3 2 3 3" xfId="24086"/>
    <cellStyle name="메모 3 2 3 3 2 4" xfId="24087"/>
    <cellStyle name="메모 3 2 3 3 2 5" xfId="24088"/>
    <cellStyle name="메모 3 2 3 3 3" xfId="24089"/>
    <cellStyle name="메모 3 2 3 3 3 2" xfId="24090"/>
    <cellStyle name="메모 3 2 3 3 3 2 2" xfId="24091"/>
    <cellStyle name="메모 3 2 3 3 3 2 2 2" xfId="24092"/>
    <cellStyle name="메모 3 2 3 3 3 2 2 3" xfId="24093"/>
    <cellStyle name="메모 3 2 3 3 3 2 3" xfId="24094"/>
    <cellStyle name="메모 3 2 3 3 3 2 4" xfId="24095"/>
    <cellStyle name="메모 3 2 3 3 3 3" xfId="24096"/>
    <cellStyle name="메모 3 2 3 3 3 3 2" xfId="24097"/>
    <cellStyle name="메모 3 2 3 3 3 3 3" xfId="24098"/>
    <cellStyle name="메모 3 2 3 3 3 4" xfId="24099"/>
    <cellStyle name="메모 3 2 3 3 3 5" xfId="24100"/>
    <cellStyle name="메모 3 2 3 3 4" xfId="24101"/>
    <cellStyle name="메모 3 2 3 3 4 2" xfId="24102"/>
    <cellStyle name="메모 3 2 3 3 4 2 2" xfId="24103"/>
    <cellStyle name="메모 3 2 3 3 4 2 3" xfId="24104"/>
    <cellStyle name="메모 3 2 3 3 4 3" xfId="24105"/>
    <cellStyle name="메모 3 2 3 3 4 4" xfId="24106"/>
    <cellStyle name="메모 3 2 3 3 5" xfId="24107"/>
    <cellStyle name="메모 3 2 3 3 5 2" xfId="24108"/>
    <cellStyle name="메모 3 2 3 3 5 3" xfId="24109"/>
    <cellStyle name="메모 3 2 3 3 6" xfId="24110"/>
    <cellStyle name="메모 3 2 3 3 7" xfId="24111"/>
    <cellStyle name="메모 3 2 3 4" xfId="24112"/>
    <cellStyle name="메모 3 2 3 4 2" xfId="24113"/>
    <cellStyle name="메모 3 2 3 4 2 2" xfId="24114"/>
    <cellStyle name="메모 3 2 3 4 2 2 2" xfId="24115"/>
    <cellStyle name="메모 3 2 3 4 2 2 3" xfId="24116"/>
    <cellStyle name="메모 3 2 3 4 2 3" xfId="24117"/>
    <cellStyle name="메모 3 2 3 4 2 4" xfId="24118"/>
    <cellStyle name="메모 3 2 3 4 3" xfId="24119"/>
    <cellStyle name="메모 3 2 3 4 3 2" xfId="24120"/>
    <cellStyle name="메모 3 2 3 4 3 3" xfId="24121"/>
    <cellStyle name="메모 3 2 3 4 4" xfId="24122"/>
    <cellStyle name="메모 3 2 3 4 5" xfId="24123"/>
    <cellStyle name="메모 3 2 3 5" xfId="24124"/>
    <cellStyle name="메모 3 2 3 5 2" xfId="24125"/>
    <cellStyle name="메모 3 2 3 5 2 2" xfId="24126"/>
    <cellStyle name="메모 3 2 3 5 2 2 2" xfId="24127"/>
    <cellStyle name="메모 3 2 3 5 2 2 3" xfId="24128"/>
    <cellStyle name="메모 3 2 3 5 2 3" xfId="24129"/>
    <cellStyle name="메모 3 2 3 5 2 4" xfId="24130"/>
    <cellStyle name="메모 3 2 3 5 3" xfId="24131"/>
    <cellStyle name="메모 3 2 3 5 3 2" xfId="24132"/>
    <cellStyle name="메모 3 2 3 5 3 3" xfId="24133"/>
    <cellStyle name="메모 3 2 3 5 4" xfId="24134"/>
    <cellStyle name="메모 3 2 3 5 5" xfId="24135"/>
    <cellStyle name="메모 3 2 3 6" xfId="24136"/>
    <cellStyle name="메모 3 2 3 6 2" xfId="24137"/>
    <cellStyle name="메모 3 2 3 6 2 2" xfId="24138"/>
    <cellStyle name="메모 3 2 3 6 2 2 2" xfId="24139"/>
    <cellStyle name="메모 3 2 3 6 2 2 3" xfId="24140"/>
    <cellStyle name="메모 3 2 3 6 2 3" xfId="24141"/>
    <cellStyle name="메모 3 2 3 6 2 4" xfId="24142"/>
    <cellStyle name="메모 3 2 3 6 3" xfId="24143"/>
    <cellStyle name="메모 3 2 3 6 3 2" xfId="24144"/>
    <cellStyle name="메모 3 2 3 6 3 3" xfId="24145"/>
    <cellStyle name="메모 3 2 3 6 4" xfId="24146"/>
    <cellStyle name="메모 3 2 3 6 5" xfId="24147"/>
    <cellStyle name="메모 3 2 3 7" xfId="24148"/>
    <cellStyle name="메모 3 2 3 7 2" xfId="24149"/>
    <cellStyle name="메모 3 2 3 7 2 2" xfId="24150"/>
    <cellStyle name="메모 3 2 3 7 2 3" xfId="24151"/>
    <cellStyle name="메모 3 2 3 7 3" xfId="24152"/>
    <cellStyle name="메모 3 2 3 7 4" xfId="24153"/>
    <cellStyle name="메모 3 2 3 8" xfId="24154"/>
    <cellStyle name="메모 3 2 3 8 2" xfId="24155"/>
    <cellStyle name="메모 3 2 3 8 3" xfId="24156"/>
    <cellStyle name="메모 3 2 3 9" xfId="24157"/>
    <cellStyle name="메모 3 2 4" xfId="24158"/>
    <cellStyle name="메모 3 2 4 10" xfId="24159"/>
    <cellStyle name="메모 3 2 4 2" xfId="24160"/>
    <cellStyle name="메모 3 2 4 2 2" xfId="24161"/>
    <cellStyle name="메모 3 2 4 2 2 2" xfId="24162"/>
    <cellStyle name="메모 3 2 4 2 2 2 2" xfId="24163"/>
    <cellStyle name="메모 3 2 4 2 2 2 2 2" xfId="24164"/>
    <cellStyle name="메모 3 2 4 2 2 2 2 3" xfId="24165"/>
    <cellStyle name="메모 3 2 4 2 2 2 3" xfId="24166"/>
    <cellStyle name="메모 3 2 4 2 2 2 4" xfId="24167"/>
    <cellStyle name="메모 3 2 4 2 2 3" xfId="24168"/>
    <cellStyle name="메모 3 2 4 2 2 3 2" xfId="24169"/>
    <cellStyle name="메모 3 2 4 2 2 3 3" xfId="24170"/>
    <cellStyle name="메모 3 2 4 2 2 4" xfId="24171"/>
    <cellStyle name="메모 3 2 4 2 2 5" xfId="24172"/>
    <cellStyle name="메모 3 2 4 2 3" xfId="24173"/>
    <cellStyle name="메모 3 2 4 2 3 2" xfId="24174"/>
    <cellStyle name="메모 3 2 4 2 3 2 2" xfId="24175"/>
    <cellStyle name="메모 3 2 4 2 3 2 2 2" xfId="24176"/>
    <cellStyle name="메모 3 2 4 2 3 2 2 3" xfId="24177"/>
    <cellStyle name="메모 3 2 4 2 3 2 3" xfId="24178"/>
    <cellStyle name="메모 3 2 4 2 3 2 4" xfId="24179"/>
    <cellStyle name="메모 3 2 4 2 3 3" xfId="24180"/>
    <cellStyle name="메모 3 2 4 2 3 3 2" xfId="24181"/>
    <cellStyle name="메모 3 2 4 2 3 3 3" xfId="24182"/>
    <cellStyle name="메모 3 2 4 2 3 4" xfId="24183"/>
    <cellStyle name="메모 3 2 4 2 3 5" xfId="24184"/>
    <cellStyle name="메모 3 2 4 2 4" xfId="24185"/>
    <cellStyle name="메모 3 2 4 2 4 2" xfId="24186"/>
    <cellStyle name="메모 3 2 4 2 4 2 2" xfId="24187"/>
    <cellStyle name="메모 3 2 4 2 4 2 3" xfId="24188"/>
    <cellStyle name="메모 3 2 4 2 4 3" xfId="24189"/>
    <cellStyle name="메모 3 2 4 2 4 4" xfId="24190"/>
    <cellStyle name="메모 3 2 4 2 5" xfId="24191"/>
    <cellStyle name="메모 3 2 4 2 5 2" xfId="24192"/>
    <cellStyle name="메모 3 2 4 2 5 3" xfId="24193"/>
    <cellStyle name="메모 3 2 4 2 6" xfId="24194"/>
    <cellStyle name="메모 3 2 4 2 7" xfId="24195"/>
    <cellStyle name="메모 3 2 4 3" xfId="24196"/>
    <cellStyle name="메모 3 2 4 3 2" xfId="24197"/>
    <cellStyle name="메모 3 2 4 3 2 2" xfId="24198"/>
    <cellStyle name="메모 3 2 4 3 2 2 2" xfId="24199"/>
    <cellStyle name="메모 3 2 4 3 2 2 2 2" xfId="24200"/>
    <cellStyle name="메모 3 2 4 3 2 2 2 3" xfId="24201"/>
    <cellStyle name="메모 3 2 4 3 2 2 3" xfId="24202"/>
    <cellStyle name="메모 3 2 4 3 2 2 4" xfId="24203"/>
    <cellStyle name="메모 3 2 4 3 2 3" xfId="24204"/>
    <cellStyle name="메모 3 2 4 3 2 3 2" xfId="24205"/>
    <cellStyle name="메모 3 2 4 3 2 3 3" xfId="24206"/>
    <cellStyle name="메모 3 2 4 3 2 4" xfId="24207"/>
    <cellStyle name="메모 3 2 4 3 2 5" xfId="24208"/>
    <cellStyle name="메모 3 2 4 3 3" xfId="24209"/>
    <cellStyle name="메모 3 2 4 3 3 2" xfId="24210"/>
    <cellStyle name="메모 3 2 4 3 3 2 2" xfId="24211"/>
    <cellStyle name="메모 3 2 4 3 3 2 2 2" xfId="24212"/>
    <cellStyle name="메모 3 2 4 3 3 2 2 3" xfId="24213"/>
    <cellStyle name="메모 3 2 4 3 3 2 3" xfId="24214"/>
    <cellStyle name="메모 3 2 4 3 3 2 4" xfId="24215"/>
    <cellStyle name="메모 3 2 4 3 3 3" xfId="24216"/>
    <cellStyle name="메모 3 2 4 3 3 3 2" xfId="24217"/>
    <cellStyle name="메모 3 2 4 3 3 3 3" xfId="24218"/>
    <cellStyle name="메모 3 2 4 3 3 4" xfId="24219"/>
    <cellStyle name="메모 3 2 4 3 3 5" xfId="24220"/>
    <cellStyle name="메모 3 2 4 3 4" xfId="24221"/>
    <cellStyle name="메모 3 2 4 3 4 2" xfId="24222"/>
    <cellStyle name="메모 3 2 4 3 4 2 2" xfId="24223"/>
    <cellStyle name="메모 3 2 4 3 4 2 3" xfId="24224"/>
    <cellStyle name="메모 3 2 4 3 4 3" xfId="24225"/>
    <cellStyle name="메모 3 2 4 3 4 4" xfId="24226"/>
    <cellStyle name="메모 3 2 4 3 5" xfId="24227"/>
    <cellStyle name="메모 3 2 4 3 5 2" xfId="24228"/>
    <cellStyle name="메모 3 2 4 3 5 3" xfId="24229"/>
    <cellStyle name="메모 3 2 4 3 6" xfId="24230"/>
    <cellStyle name="메모 3 2 4 3 7" xfId="24231"/>
    <cellStyle name="메모 3 2 4 4" xfId="24232"/>
    <cellStyle name="메모 3 2 4 4 2" xfId="24233"/>
    <cellStyle name="메모 3 2 4 4 2 2" xfId="24234"/>
    <cellStyle name="메모 3 2 4 4 2 2 2" xfId="24235"/>
    <cellStyle name="메모 3 2 4 4 2 2 3" xfId="24236"/>
    <cellStyle name="메모 3 2 4 4 2 3" xfId="24237"/>
    <cellStyle name="메모 3 2 4 4 2 4" xfId="24238"/>
    <cellStyle name="메모 3 2 4 4 3" xfId="24239"/>
    <cellStyle name="메모 3 2 4 4 3 2" xfId="24240"/>
    <cellStyle name="메모 3 2 4 4 3 3" xfId="24241"/>
    <cellStyle name="메모 3 2 4 4 4" xfId="24242"/>
    <cellStyle name="메모 3 2 4 4 5" xfId="24243"/>
    <cellStyle name="메모 3 2 4 5" xfId="24244"/>
    <cellStyle name="메모 3 2 4 5 2" xfId="24245"/>
    <cellStyle name="메모 3 2 4 5 2 2" xfId="24246"/>
    <cellStyle name="메모 3 2 4 5 2 2 2" xfId="24247"/>
    <cellStyle name="메모 3 2 4 5 2 2 3" xfId="24248"/>
    <cellStyle name="메모 3 2 4 5 2 3" xfId="24249"/>
    <cellStyle name="메모 3 2 4 5 2 4" xfId="24250"/>
    <cellStyle name="메모 3 2 4 5 3" xfId="24251"/>
    <cellStyle name="메모 3 2 4 5 3 2" xfId="24252"/>
    <cellStyle name="메모 3 2 4 5 3 3" xfId="24253"/>
    <cellStyle name="메모 3 2 4 5 4" xfId="24254"/>
    <cellStyle name="메모 3 2 4 5 5" xfId="24255"/>
    <cellStyle name="메모 3 2 4 6" xfId="24256"/>
    <cellStyle name="메모 3 2 4 6 2" xfId="24257"/>
    <cellStyle name="메모 3 2 4 6 2 2" xfId="24258"/>
    <cellStyle name="메모 3 2 4 6 2 2 2" xfId="24259"/>
    <cellStyle name="메모 3 2 4 6 2 2 3" xfId="24260"/>
    <cellStyle name="메모 3 2 4 6 2 3" xfId="24261"/>
    <cellStyle name="메모 3 2 4 6 2 4" xfId="24262"/>
    <cellStyle name="메모 3 2 4 6 3" xfId="24263"/>
    <cellStyle name="메모 3 2 4 6 3 2" xfId="24264"/>
    <cellStyle name="메모 3 2 4 6 3 3" xfId="24265"/>
    <cellStyle name="메모 3 2 4 6 4" xfId="24266"/>
    <cellStyle name="메모 3 2 4 6 5" xfId="24267"/>
    <cellStyle name="메모 3 2 4 7" xfId="24268"/>
    <cellStyle name="메모 3 2 4 7 2" xfId="24269"/>
    <cellStyle name="메모 3 2 4 7 2 2" xfId="24270"/>
    <cellStyle name="메모 3 2 4 7 2 3" xfId="24271"/>
    <cellStyle name="메모 3 2 4 7 3" xfId="24272"/>
    <cellStyle name="메모 3 2 4 7 4" xfId="24273"/>
    <cellStyle name="메모 3 2 4 8" xfId="24274"/>
    <cellStyle name="메모 3 2 4 8 2" xfId="24275"/>
    <cellStyle name="메모 3 2 4 8 3" xfId="24276"/>
    <cellStyle name="메모 3 2 4 9" xfId="24277"/>
    <cellStyle name="메모 3 2 5" xfId="24278"/>
    <cellStyle name="메모 3 2 5 2" xfId="24279"/>
    <cellStyle name="메모 3 2 5 2 2" xfId="24280"/>
    <cellStyle name="메모 3 2 5 2 2 2" xfId="24281"/>
    <cellStyle name="메모 3 2 5 2 2 2 2" xfId="24282"/>
    <cellStyle name="메모 3 2 5 2 2 2 3" xfId="24283"/>
    <cellStyle name="메모 3 2 5 2 2 3" xfId="24284"/>
    <cellStyle name="메모 3 2 5 2 2 4" xfId="24285"/>
    <cellStyle name="메모 3 2 5 2 3" xfId="24286"/>
    <cellStyle name="메모 3 2 5 2 3 2" xfId="24287"/>
    <cellStyle name="메모 3 2 5 2 3 3" xfId="24288"/>
    <cellStyle name="메모 3 2 5 2 4" xfId="24289"/>
    <cellStyle name="메모 3 2 5 2 5" xfId="24290"/>
    <cellStyle name="메모 3 2 5 3" xfId="24291"/>
    <cellStyle name="메모 3 2 5 3 2" xfId="24292"/>
    <cellStyle name="메모 3 2 5 3 2 2" xfId="24293"/>
    <cellStyle name="메모 3 2 5 3 2 2 2" xfId="24294"/>
    <cellStyle name="메모 3 2 5 3 2 2 3" xfId="24295"/>
    <cellStyle name="메모 3 2 5 3 2 3" xfId="24296"/>
    <cellStyle name="메모 3 2 5 3 2 4" xfId="24297"/>
    <cellStyle name="메모 3 2 5 3 3" xfId="24298"/>
    <cellStyle name="메모 3 2 5 3 3 2" xfId="24299"/>
    <cellStyle name="메모 3 2 5 3 3 3" xfId="24300"/>
    <cellStyle name="메모 3 2 5 3 4" xfId="24301"/>
    <cellStyle name="메모 3 2 5 3 5" xfId="24302"/>
    <cellStyle name="메모 3 2 5 4" xfId="24303"/>
    <cellStyle name="메모 3 2 5 4 2" xfId="24304"/>
    <cellStyle name="메모 3 2 5 4 2 2" xfId="24305"/>
    <cellStyle name="메모 3 2 5 4 2 3" xfId="24306"/>
    <cellStyle name="메모 3 2 5 4 3" xfId="24307"/>
    <cellStyle name="메모 3 2 5 4 4" xfId="24308"/>
    <cellStyle name="메모 3 2 5 5" xfId="24309"/>
    <cellStyle name="메모 3 2 5 5 2" xfId="24310"/>
    <cellStyle name="메모 3 2 5 5 3" xfId="24311"/>
    <cellStyle name="메모 3 2 5 6" xfId="24312"/>
    <cellStyle name="메모 3 2 5 7" xfId="24313"/>
    <cellStyle name="메모 3 2 6" xfId="24314"/>
    <cellStyle name="메모 3 2 6 2" xfId="24315"/>
    <cellStyle name="메모 3 2 6 2 2" xfId="24316"/>
    <cellStyle name="메모 3 2 6 2 2 2" xfId="24317"/>
    <cellStyle name="메모 3 2 6 2 2 2 2" xfId="24318"/>
    <cellStyle name="메모 3 2 6 2 2 2 3" xfId="24319"/>
    <cellStyle name="메모 3 2 6 2 2 3" xfId="24320"/>
    <cellStyle name="메모 3 2 6 2 2 4" xfId="24321"/>
    <cellStyle name="메모 3 2 6 2 3" xfId="24322"/>
    <cellStyle name="메모 3 2 6 2 3 2" xfId="24323"/>
    <cellStyle name="메모 3 2 6 2 3 3" xfId="24324"/>
    <cellStyle name="메모 3 2 6 2 4" xfId="24325"/>
    <cellStyle name="메모 3 2 6 2 5" xfId="24326"/>
    <cellStyle name="메모 3 2 6 3" xfId="24327"/>
    <cellStyle name="메모 3 2 6 3 2" xfId="24328"/>
    <cellStyle name="메모 3 2 6 3 2 2" xfId="24329"/>
    <cellStyle name="메모 3 2 6 3 2 2 2" xfId="24330"/>
    <cellStyle name="메모 3 2 6 3 2 2 3" xfId="24331"/>
    <cellStyle name="메모 3 2 6 3 2 3" xfId="24332"/>
    <cellStyle name="메모 3 2 6 3 2 4" xfId="24333"/>
    <cellStyle name="메모 3 2 6 3 3" xfId="24334"/>
    <cellStyle name="메모 3 2 6 3 3 2" xfId="24335"/>
    <cellStyle name="메모 3 2 6 3 3 3" xfId="24336"/>
    <cellStyle name="메모 3 2 6 3 4" xfId="24337"/>
    <cellStyle name="메모 3 2 6 3 5" xfId="24338"/>
    <cellStyle name="메모 3 2 6 4" xfId="24339"/>
    <cellStyle name="메모 3 2 6 4 2" xfId="24340"/>
    <cellStyle name="메모 3 2 6 4 2 2" xfId="24341"/>
    <cellStyle name="메모 3 2 6 4 2 3" xfId="24342"/>
    <cellStyle name="메모 3 2 6 4 3" xfId="24343"/>
    <cellStyle name="메모 3 2 6 4 4" xfId="24344"/>
    <cellStyle name="메모 3 2 6 5" xfId="24345"/>
    <cellStyle name="메모 3 2 6 5 2" xfId="24346"/>
    <cellStyle name="메모 3 2 6 5 3" xfId="24347"/>
    <cellStyle name="메모 3 2 6 6" xfId="24348"/>
    <cellStyle name="메모 3 2 6 7" xfId="24349"/>
    <cellStyle name="메모 3 2 7" xfId="24350"/>
    <cellStyle name="메모 3 2 7 2" xfId="24351"/>
    <cellStyle name="메모 3 2 7 2 2" xfId="24352"/>
    <cellStyle name="메모 3 2 7 2 2 2" xfId="24353"/>
    <cellStyle name="메모 3 2 7 2 2 3" xfId="24354"/>
    <cellStyle name="메모 3 2 7 2 3" xfId="24355"/>
    <cellStyle name="메모 3 2 7 2 4" xfId="24356"/>
    <cellStyle name="메모 3 2 7 3" xfId="24357"/>
    <cellStyle name="메모 3 2 7 3 2" xfId="24358"/>
    <cellStyle name="메모 3 2 7 3 3" xfId="24359"/>
    <cellStyle name="메모 3 2 7 4" xfId="24360"/>
    <cellStyle name="메모 3 2 7 5" xfId="24361"/>
    <cellStyle name="메모 3 2 8" xfId="24362"/>
    <cellStyle name="메모 3 2 8 2" xfId="24363"/>
    <cellStyle name="메모 3 2 8 2 2" xfId="24364"/>
    <cellStyle name="메모 3 2 8 2 2 2" xfId="24365"/>
    <cellStyle name="메모 3 2 8 2 2 3" xfId="24366"/>
    <cellStyle name="메모 3 2 8 2 3" xfId="24367"/>
    <cellStyle name="메모 3 2 8 2 4" xfId="24368"/>
    <cellStyle name="메모 3 2 8 3" xfId="24369"/>
    <cellStyle name="메모 3 2 8 3 2" xfId="24370"/>
    <cellStyle name="메모 3 2 8 3 3" xfId="24371"/>
    <cellStyle name="메모 3 2 8 4" xfId="24372"/>
    <cellStyle name="메모 3 2 8 5" xfId="24373"/>
    <cellStyle name="메모 3 2 9" xfId="24374"/>
    <cellStyle name="메모 3 2 9 2" xfId="24375"/>
    <cellStyle name="메모 3 2 9 2 2" xfId="24376"/>
    <cellStyle name="메모 3 2 9 2 2 2" xfId="24377"/>
    <cellStyle name="메모 3 2 9 2 2 3" xfId="24378"/>
    <cellStyle name="메모 3 2 9 2 3" xfId="24379"/>
    <cellStyle name="메모 3 2 9 2 4" xfId="24380"/>
    <cellStyle name="메모 3 2 9 3" xfId="24381"/>
    <cellStyle name="메모 3 2 9 3 2" xfId="24382"/>
    <cellStyle name="메모 3 2 9 3 3" xfId="24383"/>
    <cellStyle name="메모 3 2 9 4" xfId="24384"/>
    <cellStyle name="메모 3 2 9 5" xfId="24385"/>
    <cellStyle name="메모 3 3" xfId="24386"/>
    <cellStyle name="메모 3 3 10" xfId="24387"/>
    <cellStyle name="메모 3 3 11" xfId="24388"/>
    <cellStyle name="메모 3 3 12" xfId="24389"/>
    <cellStyle name="메모 3 3 2" xfId="24390"/>
    <cellStyle name="메모 3 3 2 2" xfId="24391"/>
    <cellStyle name="메모 3 3 2 2 2" xfId="24392"/>
    <cellStyle name="메모 3 3 2 2 2 2" xfId="24393"/>
    <cellStyle name="메모 3 3 2 2 2 2 2" xfId="24394"/>
    <cellStyle name="메모 3 3 2 2 2 2 3" xfId="24395"/>
    <cellStyle name="메모 3 3 2 2 2 3" xfId="24396"/>
    <cellStyle name="메모 3 3 2 2 2 4" xfId="24397"/>
    <cellStyle name="메모 3 3 2 2 3" xfId="24398"/>
    <cellStyle name="메모 3 3 2 2 3 2" xfId="24399"/>
    <cellStyle name="메모 3 3 2 2 3 3" xfId="24400"/>
    <cellStyle name="메모 3 3 2 2 4" xfId="24401"/>
    <cellStyle name="메모 3 3 2 2 5" xfId="24402"/>
    <cellStyle name="메모 3 3 2 3" xfId="24403"/>
    <cellStyle name="메모 3 3 2 3 2" xfId="24404"/>
    <cellStyle name="메모 3 3 2 3 2 2" xfId="24405"/>
    <cellStyle name="메모 3 3 2 3 2 2 2" xfId="24406"/>
    <cellStyle name="메모 3 3 2 3 2 2 3" xfId="24407"/>
    <cellStyle name="메모 3 3 2 3 2 3" xfId="24408"/>
    <cellStyle name="메모 3 3 2 3 2 4" xfId="24409"/>
    <cellStyle name="메모 3 3 2 3 3" xfId="24410"/>
    <cellStyle name="메모 3 3 2 3 3 2" xfId="24411"/>
    <cellStyle name="메모 3 3 2 3 3 3" xfId="24412"/>
    <cellStyle name="메모 3 3 2 3 4" xfId="24413"/>
    <cellStyle name="메모 3 3 2 3 5" xfId="24414"/>
    <cellStyle name="메모 3 3 2 4" xfId="24415"/>
    <cellStyle name="메모 3 3 2 4 2" xfId="24416"/>
    <cellStyle name="메모 3 3 2 4 2 2" xfId="24417"/>
    <cellStyle name="메모 3 3 2 4 2 3" xfId="24418"/>
    <cellStyle name="메모 3 3 2 4 3" xfId="24419"/>
    <cellStyle name="메모 3 3 2 4 4" xfId="24420"/>
    <cellStyle name="메모 3 3 2 5" xfId="24421"/>
    <cellStyle name="메모 3 3 2 5 2" xfId="24422"/>
    <cellStyle name="메모 3 3 2 5 3" xfId="24423"/>
    <cellStyle name="메모 3 3 2 6" xfId="24424"/>
    <cellStyle name="메모 3 3 2 7" xfId="24425"/>
    <cellStyle name="메모 3 3 2 8" xfId="24426"/>
    <cellStyle name="메모 3 3 2 9" xfId="24427"/>
    <cellStyle name="메모 3 3 3" xfId="24428"/>
    <cellStyle name="메모 3 3 3 2" xfId="24429"/>
    <cellStyle name="메모 3 3 3 2 2" xfId="24430"/>
    <cellStyle name="메모 3 3 3 2 2 2" xfId="24431"/>
    <cellStyle name="메모 3 3 3 2 2 2 2" xfId="24432"/>
    <cellStyle name="메모 3 3 3 2 2 2 3" xfId="24433"/>
    <cellStyle name="메모 3 3 3 2 2 3" xfId="24434"/>
    <cellStyle name="메모 3 3 3 2 2 4" xfId="24435"/>
    <cellStyle name="메모 3 3 3 2 3" xfId="24436"/>
    <cellStyle name="메모 3 3 3 2 3 2" xfId="24437"/>
    <cellStyle name="메모 3 3 3 2 3 3" xfId="24438"/>
    <cellStyle name="메모 3 3 3 2 4" xfId="24439"/>
    <cellStyle name="메모 3 3 3 2 5" xfId="24440"/>
    <cellStyle name="메모 3 3 3 3" xfId="24441"/>
    <cellStyle name="메모 3 3 3 3 2" xfId="24442"/>
    <cellStyle name="메모 3 3 3 3 2 2" xfId="24443"/>
    <cellStyle name="메모 3 3 3 3 2 2 2" xfId="24444"/>
    <cellStyle name="메모 3 3 3 3 2 2 3" xfId="24445"/>
    <cellStyle name="메모 3 3 3 3 2 3" xfId="24446"/>
    <cellStyle name="메모 3 3 3 3 2 4" xfId="24447"/>
    <cellStyle name="메모 3 3 3 3 3" xfId="24448"/>
    <cellStyle name="메모 3 3 3 3 3 2" xfId="24449"/>
    <cellStyle name="메모 3 3 3 3 3 3" xfId="24450"/>
    <cellStyle name="메모 3 3 3 3 4" xfId="24451"/>
    <cellStyle name="메모 3 3 3 3 5" xfId="24452"/>
    <cellStyle name="메모 3 3 3 4" xfId="24453"/>
    <cellStyle name="메모 3 3 3 4 2" xfId="24454"/>
    <cellStyle name="메모 3 3 3 4 2 2" xfId="24455"/>
    <cellStyle name="메모 3 3 3 4 2 3" xfId="24456"/>
    <cellStyle name="메모 3 3 3 4 3" xfId="24457"/>
    <cellStyle name="메모 3 3 3 4 4" xfId="24458"/>
    <cellStyle name="메모 3 3 3 5" xfId="24459"/>
    <cellStyle name="메모 3 3 3 5 2" xfId="24460"/>
    <cellStyle name="메모 3 3 3 5 3" xfId="24461"/>
    <cellStyle name="메모 3 3 3 6" xfId="24462"/>
    <cellStyle name="메모 3 3 3 7" xfId="24463"/>
    <cellStyle name="메모 3 3 4" xfId="24464"/>
    <cellStyle name="메모 3 3 4 2" xfId="24465"/>
    <cellStyle name="메모 3 3 4 2 2" xfId="24466"/>
    <cellStyle name="메모 3 3 4 2 2 2" xfId="24467"/>
    <cellStyle name="메모 3 3 4 2 2 3" xfId="24468"/>
    <cellStyle name="메모 3 3 4 2 3" xfId="24469"/>
    <cellStyle name="메모 3 3 4 2 4" xfId="24470"/>
    <cellStyle name="메모 3 3 4 3" xfId="24471"/>
    <cellStyle name="메모 3 3 4 3 2" xfId="24472"/>
    <cellStyle name="메모 3 3 4 3 3" xfId="24473"/>
    <cellStyle name="메모 3 3 4 4" xfId="24474"/>
    <cellStyle name="메모 3 3 4 5" xfId="24475"/>
    <cellStyle name="메모 3 3 5" xfId="24476"/>
    <cellStyle name="메모 3 3 5 2" xfId="24477"/>
    <cellStyle name="메모 3 3 5 2 2" xfId="24478"/>
    <cellStyle name="메모 3 3 5 2 2 2" xfId="24479"/>
    <cellStyle name="메모 3 3 5 2 2 3" xfId="24480"/>
    <cellStyle name="메모 3 3 5 2 3" xfId="24481"/>
    <cellStyle name="메모 3 3 5 2 4" xfId="24482"/>
    <cellStyle name="메모 3 3 5 3" xfId="24483"/>
    <cellStyle name="메모 3 3 5 3 2" xfId="24484"/>
    <cellStyle name="메모 3 3 5 3 3" xfId="24485"/>
    <cellStyle name="메모 3 3 5 4" xfId="24486"/>
    <cellStyle name="메모 3 3 5 5" xfId="24487"/>
    <cellStyle name="메모 3 3 6" xfId="24488"/>
    <cellStyle name="메모 3 3 6 2" xfId="24489"/>
    <cellStyle name="메모 3 3 6 2 2" xfId="24490"/>
    <cellStyle name="메모 3 3 6 2 2 2" xfId="24491"/>
    <cellStyle name="메모 3 3 6 2 2 3" xfId="24492"/>
    <cellStyle name="메모 3 3 6 2 3" xfId="24493"/>
    <cellStyle name="메모 3 3 6 2 4" xfId="24494"/>
    <cellStyle name="메모 3 3 6 3" xfId="24495"/>
    <cellStyle name="메모 3 3 6 3 2" xfId="24496"/>
    <cellStyle name="메모 3 3 6 3 3" xfId="24497"/>
    <cellStyle name="메모 3 3 6 4" xfId="24498"/>
    <cellStyle name="메모 3 3 6 5" xfId="24499"/>
    <cellStyle name="메모 3 3 7" xfId="24500"/>
    <cellStyle name="메모 3 3 7 2" xfId="24501"/>
    <cellStyle name="메모 3 3 7 2 2" xfId="24502"/>
    <cellStyle name="메모 3 3 7 2 3" xfId="24503"/>
    <cellStyle name="메모 3 3 7 3" xfId="24504"/>
    <cellStyle name="메모 3 3 7 4" xfId="24505"/>
    <cellStyle name="메모 3 3 8" xfId="24506"/>
    <cellStyle name="메모 3 3 8 2" xfId="24507"/>
    <cellStyle name="메모 3 3 8 3" xfId="24508"/>
    <cellStyle name="메모 3 3 9" xfId="24509"/>
    <cellStyle name="메모 3 4" xfId="24510"/>
    <cellStyle name="메모 3 4 10" xfId="24511"/>
    <cellStyle name="메모 3 4 11" xfId="24512"/>
    <cellStyle name="메모 3 4 12" xfId="24513"/>
    <cellStyle name="메모 3 4 2" xfId="24514"/>
    <cellStyle name="메모 3 4 2 2" xfId="24515"/>
    <cellStyle name="메모 3 4 2 2 2" xfId="24516"/>
    <cellStyle name="메모 3 4 2 2 2 2" xfId="24517"/>
    <cellStyle name="메모 3 4 2 2 2 2 2" xfId="24518"/>
    <cellStyle name="메모 3 4 2 2 2 2 3" xfId="24519"/>
    <cellStyle name="메모 3 4 2 2 2 3" xfId="24520"/>
    <cellStyle name="메모 3 4 2 2 2 4" xfId="24521"/>
    <cellStyle name="메모 3 4 2 2 3" xfId="24522"/>
    <cellStyle name="메모 3 4 2 2 3 2" xfId="24523"/>
    <cellStyle name="메모 3 4 2 2 3 3" xfId="24524"/>
    <cellStyle name="메모 3 4 2 2 4" xfId="24525"/>
    <cellStyle name="메모 3 4 2 2 5" xfId="24526"/>
    <cellStyle name="메모 3 4 2 3" xfId="24527"/>
    <cellStyle name="메모 3 4 2 3 2" xfId="24528"/>
    <cellStyle name="메모 3 4 2 3 2 2" xfId="24529"/>
    <cellStyle name="메모 3 4 2 3 2 2 2" xfId="24530"/>
    <cellStyle name="메모 3 4 2 3 2 2 3" xfId="24531"/>
    <cellStyle name="메모 3 4 2 3 2 3" xfId="24532"/>
    <cellStyle name="메모 3 4 2 3 2 4" xfId="24533"/>
    <cellStyle name="메모 3 4 2 3 3" xfId="24534"/>
    <cellStyle name="메모 3 4 2 3 3 2" xfId="24535"/>
    <cellStyle name="메모 3 4 2 3 3 3" xfId="24536"/>
    <cellStyle name="메모 3 4 2 3 4" xfId="24537"/>
    <cellStyle name="메모 3 4 2 3 5" xfId="24538"/>
    <cellStyle name="메모 3 4 2 4" xfId="24539"/>
    <cellStyle name="메모 3 4 2 4 2" xfId="24540"/>
    <cellStyle name="메모 3 4 2 4 2 2" xfId="24541"/>
    <cellStyle name="메모 3 4 2 4 2 3" xfId="24542"/>
    <cellStyle name="메모 3 4 2 4 3" xfId="24543"/>
    <cellStyle name="메모 3 4 2 4 4" xfId="24544"/>
    <cellStyle name="메모 3 4 2 5" xfId="24545"/>
    <cellStyle name="메모 3 4 2 5 2" xfId="24546"/>
    <cellStyle name="메모 3 4 2 5 3" xfId="24547"/>
    <cellStyle name="메모 3 4 2 6" xfId="24548"/>
    <cellStyle name="메모 3 4 2 7" xfId="24549"/>
    <cellStyle name="메모 3 4 3" xfId="24550"/>
    <cellStyle name="메모 3 4 3 2" xfId="24551"/>
    <cellStyle name="메모 3 4 3 2 2" xfId="24552"/>
    <cellStyle name="메모 3 4 3 2 2 2" xfId="24553"/>
    <cellStyle name="메모 3 4 3 2 2 2 2" xfId="24554"/>
    <cellStyle name="메모 3 4 3 2 2 2 3" xfId="24555"/>
    <cellStyle name="메모 3 4 3 2 2 3" xfId="24556"/>
    <cellStyle name="메모 3 4 3 2 2 4" xfId="24557"/>
    <cellStyle name="메모 3 4 3 2 3" xfId="24558"/>
    <cellStyle name="메모 3 4 3 2 3 2" xfId="24559"/>
    <cellStyle name="메모 3 4 3 2 3 3" xfId="24560"/>
    <cellStyle name="메모 3 4 3 2 4" xfId="24561"/>
    <cellStyle name="메모 3 4 3 2 5" xfId="24562"/>
    <cellStyle name="메모 3 4 3 3" xfId="24563"/>
    <cellStyle name="메모 3 4 3 3 2" xfId="24564"/>
    <cellStyle name="메모 3 4 3 3 2 2" xfId="24565"/>
    <cellStyle name="메모 3 4 3 3 2 2 2" xfId="24566"/>
    <cellStyle name="메모 3 4 3 3 2 2 3" xfId="24567"/>
    <cellStyle name="메모 3 4 3 3 2 3" xfId="24568"/>
    <cellStyle name="메모 3 4 3 3 2 4" xfId="24569"/>
    <cellStyle name="메모 3 4 3 3 3" xfId="24570"/>
    <cellStyle name="메모 3 4 3 3 3 2" xfId="24571"/>
    <cellStyle name="메모 3 4 3 3 3 3" xfId="24572"/>
    <cellStyle name="메모 3 4 3 3 4" xfId="24573"/>
    <cellStyle name="메모 3 4 3 3 5" xfId="24574"/>
    <cellStyle name="메모 3 4 3 4" xfId="24575"/>
    <cellStyle name="메모 3 4 3 4 2" xfId="24576"/>
    <cellStyle name="메모 3 4 3 4 2 2" xfId="24577"/>
    <cellStyle name="메모 3 4 3 4 2 3" xfId="24578"/>
    <cellStyle name="메모 3 4 3 4 3" xfId="24579"/>
    <cellStyle name="메모 3 4 3 4 4" xfId="24580"/>
    <cellStyle name="메모 3 4 3 5" xfId="24581"/>
    <cellStyle name="메모 3 4 3 5 2" xfId="24582"/>
    <cellStyle name="메모 3 4 3 5 3" xfId="24583"/>
    <cellStyle name="메모 3 4 3 6" xfId="24584"/>
    <cellStyle name="메모 3 4 3 7" xfId="24585"/>
    <cellStyle name="메모 3 4 4" xfId="24586"/>
    <cellStyle name="메모 3 4 4 2" xfId="24587"/>
    <cellStyle name="메모 3 4 4 2 2" xfId="24588"/>
    <cellStyle name="메모 3 4 4 2 2 2" xfId="24589"/>
    <cellStyle name="메모 3 4 4 2 2 3" xfId="24590"/>
    <cellStyle name="메모 3 4 4 2 3" xfId="24591"/>
    <cellStyle name="메모 3 4 4 2 4" xfId="24592"/>
    <cellStyle name="메모 3 4 4 3" xfId="24593"/>
    <cellStyle name="메모 3 4 4 3 2" xfId="24594"/>
    <cellStyle name="메모 3 4 4 3 3" xfId="24595"/>
    <cellStyle name="메모 3 4 4 4" xfId="24596"/>
    <cellStyle name="메모 3 4 4 5" xfId="24597"/>
    <cellStyle name="메모 3 4 5" xfId="24598"/>
    <cellStyle name="메모 3 4 5 2" xfId="24599"/>
    <cellStyle name="메모 3 4 5 2 2" xfId="24600"/>
    <cellStyle name="메모 3 4 5 2 2 2" xfId="24601"/>
    <cellStyle name="메모 3 4 5 2 2 3" xfId="24602"/>
    <cellStyle name="메모 3 4 5 2 3" xfId="24603"/>
    <cellStyle name="메모 3 4 5 2 4" xfId="24604"/>
    <cellStyle name="메모 3 4 5 3" xfId="24605"/>
    <cellStyle name="메모 3 4 5 3 2" xfId="24606"/>
    <cellStyle name="메모 3 4 5 3 3" xfId="24607"/>
    <cellStyle name="메모 3 4 5 4" xfId="24608"/>
    <cellStyle name="메모 3 4 5 5" xfId="24609"/>
    <cellStyle name="메모 3 4 6" xfId="24610"/>
    <cellStyle name="메모 3 4 6 2" xfId="24611"/>
    <cellStyle name="메모 3 4 6 2 2" xfId="24612"/>
    <cellStyle name="메모 3 4 6 2 2 2" xfId="24613"/>
    <cellStyle name="메모 3 4 6 2 2 3" xfId="24614"/>
    <cellStyle name="메모 3 4 6 2 3" xfId="24615"/>
    <cellStyle name="메모 3 4 6 2 4" xfId="24616"/>
    <cellStyle name="메모 3 4 6 3" xfId="24617"/>
    <cellStyle name="메모 3 4 6 3 2" xfId="24618"/>
    <cellStyle name="메모 3 4 6 3 3" xfId="24619"/>
    <cellStyle name="메모 3 4 6 4" xfId="24620"/>
    <cellStyle name="메모 3 4 6 5" xfId="24621"/>
    <cellStyle name="메모 3 4 7" xfId="24622"/>
    <cellStyle name="메모 3 4 7 2" xfId="24623"/>
    <cellStyle name="메모 3 4 7 2 2" xfId="24624"/>
    <cellStyle name="메모 3 4 7 2 3" xfId="24625"/>
    <cellStyle name="메모 3 4 7 3" xfId="24626"/>
    <cellStyle name="메모 3 4 7 4" xfId="24627"/>
    <cellStyle name="메모 3 4 8" xfId="24628"/>
    <cellStyle name="메모 3 4 8 2" xfId="24629"/>
    <cellStyle name="메모 3 4 8 3" xfId="24630"/>
    <cellStyle name="메모 3 4 9" xfId="24631"/>
    <cellStyle name="메모 3 5" xfId="24632"/>
    <cellStyle name="메모 3 5 10" xfId="24633"/>
    <cellStyle name="메모 3 5 10 2" xfId="24634"/>
    <cellStyle name="메모 3 5 10 3" xfId="24635"/>
    <cellStyle name="메모 3 5 10 4" xfId="24636"/>
    <cellStyle name="메모 3 5 11" xfId="24637"/>
    <cellStyle name="메모 3 5 11 2" xfId="24638"/>
    <cellStyle name="메모 3 5 11 3" xfId="24639"/>
    <cellStyle name="메모 3 5 12" xfId="24640"/>
    <cellStyle name="메모 3 5 13" xfId="24641"/>
    <cellStyle name="메모 3 5 14" xfId="24642"/>
    <cellStyle name="메모 3 5 2" xfId="24643"/>
    <cellStyle name="메모 3 5 2 2" xfId="24644"/>
    <cellStyle name="메모 3 5 2 2 2" xfId="24645"/>
    <cellStyle name="메모 3 5 2 2 2 2" xfId="24646"/>
    <cellStyle name="메모 3 5 2 2 2 2 2" xfId="24647"/>
    <cellStyle name="메모 3 5 2 2 2 2 3" xfId="24648"/>
    <cellStyle name="메모 3 5 2 2 2 3" xfId="24649"/>
    <cellStyle name="메모 3 5 2 2 2 4" xfId="24650"/>
    <cellStyle name="메모 3 5 2 2 3" xfId="24651"/>
    <cellStyle name="메모 3 5 2 2 3 2" xfId="24652"/>
    <cellStyle name="메모 3 5 2 2 3 3" xfId="24653"/>
    <cellStyle name="메모 3 5 2 2 4" xfId="24654"/>
    <cellStyle name="메모 3 5 2 2 5" xfId="24655"/>
    <cellStyle name="메모 3 5 2 2 6" xfId="24656"/>
    <cellStyle name="메모 3 5 2 3" xfId="24657"/>
    <cellStyle name="메모 3 5 2 3 2" xfId="24658"/>
    <cellStyle name="메모 3 5 2 3 2 2" xfId="24659"/>
    <cellStyle name="메모 3 5 2 3 2 2 2" xfId="24660"/>
    <cellStyle name="메모 3 5 2 3 2 2 3" xfId="24661"/>
    <cellStyle name="메모 3 5 2 3 2 3" xfId="24662"/>
    <cellStyle name="메모 3 5 2 3 2 4" xfId="24663"/>
    <cellStyle name="메모 3 5 2 3 3" xfId="24664"/>
    <cellStyle name="메모 3 5 2 3 3 2" xfId="24665"/>
    <cellStyle name="메모 3 5 2 3 3 3" xfId="24666"/>
    <cellStyle name="메모 3 5 2 3 4" xfId="24667"/>
    <cellStyle name="메모 3 5 2 3 5" xfId="24668"/>
    <cellStyle name="메모 3 5 2 4" xfId="24669"/>
    <cellStyle name="메모 3 5 2 4 2" xfId="24670"/>
    <cellStyle name="메모 3 5 2 4 2 2" xfId="24671"/>
    <cellStyle name="메모 3 5 2 4 2 3" xfId="24672"/>
    <cellStyle name="메모 3 5 2 4 3" xfId="24673"/>
    <cellStyle name="메모 3 5 2 4 4" xfId="24674"/>
    <cellStyle name="메모 3 5 2 5" xfId="24675"/>
    <cellStyle name="메모 3 5 2 5 2" xfId="24676"/>
    <cellStyle name="메모 3 5 2 5 3" xfId="24677"/>
    <cellStyle name="메모 3 5 2 6" xfId="24678"/>
    <cellStyle name="메모 3 5 2 7" xfId="24679"/>
    <cellStyle name="메모 3 5 2 8" xfId="24680"/>
    <cellStyle name="메모 3 5 3" xfId="24681"/>
    <cellStyle name="메모 3 5 3 2" xfId="24682"/>
    <cellStyle name="메모 3 5 3 2 2" xfId="24683"/>
    <cellStyle name="메모 3 5 3 2 2 2" xfId="24684"/>
    <cellStyle name="메모 3 5 3 2 2 2 2" xfId="24685"/>
    <cellStyle name="메모 3 5 3 2 2 2 3" xfId="24686"/>
    <cellStyle name="메모 3 5 3 2 2 3" xfId="24687"/>
    <cellStyle name="메모 3 5 3 2 2 4" xfId="24688"/>
    <cellStyle name="메모 3 5 3 2 3" xfId="24689"/>
    <cellStyle name="메모 3 5 3 2 3 2" xfId="24690"/>
    <cellStyle name="메모 3 5 3 2 3 3" xfId="24691"/>
    <cellStyle name="메모 3 5 3 2 4" xfId="24692"/>
    <cellStyle name="메모 3 5 3 2 5" xfId="24693"/>
    <cellStyle name="메모 3 5 3 2 6" xfId="24694"/>
    <cellStyle name="메모 3 5 3 3" xfId="24695"/>
    <cellStyle name="메모 3 5 3 3 2" xfId="24696"/>
    <cellStyle name="메모 3 5 3 3 2 2" xfId="24697"/>
    <cellStyle name="메모 3 5 3 3 2 2 2" xfId="24698"/>
    <cellStyle name="메모 3 5 3 3 2 2 3" xfId="24699"/>
    <cellStyle name="메모 3 5 3 3 2 3" xfId="24700"/>
    <cellStyle name="메모 3 5 3 3 2 4" xfId="24701"/>
    <cellStyle name="메모 3 5 3 3 3" xfId="24702"/>
    <cellStyle name="메모 3 5 3 3 3 2" xfId="24703"/>
    <cellStyle name="메모 3 5 3 3 3 3" xfId="24704"/>
    <cellStyle name="메모 3 5 3 3 4" xfId="24705"/>
    <cellStyle name="메모 3 5 3 3 5" xfId="24706"/>
    <cellStyle name="메모 3 5 3 4" xfId="24707"/>
    <cellStyle name="메모 3 5 3 4 2" xfId="24708"/>
    <cellStyle name="메모 3 5 3 4 2 2" xfId="24709"/>
    <cellStyle name="메모 3 5 3 4 2 3" xfId="24710"/>
    <cellStyle name="메모 3 5 3 4 3" xfId="24711"/>
    <cellStyle name="메모 3 5 3 4 4" xfId="24712"/>
    <cellStyle name="메모 3 5 3 5" xfId="24713"/>
    <cellStyle name="메모 3 5 3 5 2" xfId="24714"/>
    <cellStyle name="메모 3 5 3 5 3" xfId="24715"/>
    <cellStyle name="메모 3 5 3 6" xfId="24716"/>
    <cellStyle name="메모 3 5 3 7" xfId="24717"/>
    <cellStyle name="메모 3 5 3 8" xfId="24718"/>
    <cellStyle name="메모 3 5 4" xfId="24719"/>
    <cellStyle name="메모 3 5 4 2" xfId="24720"/>
    <cellStyle name="메모 3 5 4 2 2" xfId="24721"/>
    <cellStyle name="메모 3 5 4 2 2 2" xfId="24722"/>
    <cellStyle name="메모 3 5 4 2 2 3" xfId="24723"/>
    <cellStyle name="메모 3 5 4 2 3" xfId="24724"/>
    <cellStyle name="메모 3 5 4 2 4" xfId="24725"/>
    <cellStyle name="메모 3 5 4 2 5" xfId="24726"/>
    <cellStyle name="메모 3 5 4 3" xfId="24727"/>
    <cellStyle name="메모 3 5 4 3 2" xfId="24728"/>
    <cellStyle name="메모 3 5 4 3 3" xfId="24729"/>
    <cellStyle name="메모 3 5 4 4" xfId="24730"/>
    <cellStyle name="메모 3 5 4 5" xfId="24731"/>
    <cellStyle name="메모 3 5 4 6" xfId="24732"/>
    <cellStyle name="메모 3 5 5" xfId="24733"/>
    <cellStyle name="메모 3 5 5 2" xfId="24734"/>
    <cellStyle name="메모 3 5 5 2 2" xfId="24735"/>
    <cellStyle name="메모 3 5 5 2 2 2" xfId="24736"/>
    <cellStyle name="메모 3 5 5 2 2 3" xfId="24737"/>
    <cellStyle name="메모 3 5 5 2 3" xfId="24738"/>
    <cellStyle name="메모 3 5 5 2 4" xfId="24739"/>
    <cellStyle name="메모 3 5 5 2 5" xfId="24740"/>
    <cellStyle name="메모 3 5 5 3" xfId="24741"/>
    <cellStyle name="메모 3 5 5 3 2" xfId="24742"/>
    <cellStyle name="메모 3 5 5 3 3" xfId="24743"/>
    <cellStyle name="메모 3 5 5 4" xfId="24744"/>
    <cellStyle name="메모 3 5 5 5" xfId="24745"/>
    <cellStyle name="메모 3 5 5 6" xfId="24746"/>
    <cellStyle name="메모 3 5 6" xfId="24747"/>
    <cellStyle name="메모 3 5 6 2" xfId="24748"/>
    <cellStyle name="메모 3 5 6 2 2" xfId="24749"/>
    <cellStyle name="메모 3 5 6 2 2 2" xfId="24750"/>
    <cellStyle name="메모 3 5 6 2 2 3" xfId="24751"/>
    <cellStyle name="메모 3 5 6 2 3" xfId="24752"/>
    <cellStyle name="메모 3 5 6 2 4" xfId="24753"/>
    <cellStyle name="메모 3 5 6 2 5" xfId="24754"/>
    <cellStyle name="메모 3 5 6 3" xfId="24755"/>
    <cellStyle name="메모 3 5 6 3 2" xfId="24756"/>
    <cellStyle name="메모 3 5 6 3 3" xfId="24757"/>
    <cellStyle name="메모 3 5 6 4" xfId="24758"/>
    <cellStyle name="메모 3 5 6 5" xfId="24759"/>
    <cellStyle name="메모 3 5 6 6" xfId="24760"/>
    <cellStyle name="메모 3 5 7" xfId="24761"/>
    <cellStyle name="메모 3 5 7 2" xfId="24762"/>
    <cellStyle name="메모 3 5 7 2 2" xfId="24763"/>
    <cellStyle name="메모 3 5 7 2 3" xfId="24764"/>
    <cellStyle name="메모 3 5 7 2 4" xfId="24765"/>
    <cellStyle name="메모 3 5 7 3" xfId="24766"/>
    <cellStyle name="메모 3 5 7 4" xfId="24767"/>
    <cellStyle name="메모 3 5 7 5" xfId="24768"/>
    <cellStyle name="메모 3 5 8" xfId="24769"/>
    <cellStyle name="메모 3 5 8 2" xfId="24770"/>
    <cellStyle name="메모 3 5 8 2 2" xfId="24771"/>
    <cellStyle name="메모 3 5 8 3" xfId="24772"/>
    <cellStyle name="메모 3 5 8 3 2" xfId="24773"/>
    <cellStyle name="메모 3 5 8 4" xfId="24774"/>
    <cellStyle name="메모 3 5 9" xfId="24775"/>
    <cellStyle name="메모 3 5 9 2" xfId="24776"/>
    <cellStyle name="메모 3 5 9 3" xfId="24777"/>
    <cellStyle name="메모 3 5 9 4" xfId="24778"/>
    <cellStyle name="메모 3 6" xfId="24779"/>
    <cellStyle name="메모 3 6 2" xfId="24780"/>
    <cellStyle name="메모 3 6 2 2" xfId="24781"/>
    <cellStyle name="메모 3 6 2 2 2" xfId="24782"/>
    <cellStyle name="메모 3 6 2 2 2 2" xfId="24783"/>
    <cellStyle name="메모 3 6 2 2 2 3" xfId="24784"/>
    <cellStyle name="메모 3 6 2 2 3" xfId="24785"/>
    <cellStyle name="메모 3 6 2 2 4" xfId="24786"/>
    <cellStyle name="메모 3 6 2 3" xfId="24787"/>
    <cellStyle name="메모 3 6 2 3 2" xfId="24788"/>
    <cellStyle name="메모 3 6 2 3 3" xfId="24789"/>
    <cellStyle name="메모 3 6 2 4" xfId="24790"/>
    <cellStyle name="메모 3 6 2 5" xfId="24791"/>
    <cellStyle name="메모 3 6 3" xfId="24792"/>
    <cellStyle name="메모 3 6 3 2" xfId="24793"/>
    <cellStyle name="메모 3 6 3 2 2" xfId="24794"/>
    <cellStyle name="메모 3 6 3 2 2 2" xfId="24795"/>
    <cellStyle name="메모 3 6 3 2 2 3" xfId="24796"/>
    <cellStyle name="메모 3 6 3 2 3" xfId="24797"/>
    <cellStyle name="메모 3 6 3 2 4" xfId="24798"/>
    <cellStyle name="메모 3 6 3 3" xfId="24799"/>
    <cellStyle name="메모 3 6 3 3 2" xfId="24800"/>
    <cellStyle name="메모 3 6 3 3 3" xfId="24801"/>
    <cellStyle name="메모 3 6 3 4" xfId="24802"/>
    <cellStyle name="메모 3 6 3 5" xfId="24803"/>
    <cellStyle name="메모 3 6 4" xfId="24804"/>
    <cellStyle name="메모 3 6 4 2" xfId="24805"/>
    <cellStyle name="메모 3 6 4 2 2" xfId="24806"/>
    <cellStyle name="메모 3 6 4 2 3" xfId="24807"/>
    <cellStyle name="메모 3 6 4 3" xfId="24808"/>
    <cellStyle name="메모 3 6 4 4" xfId="24809"/>
    <cellStyle name="메모 3 6 5" xfId="24810"/>
    <cellStyle name="메모 3 6 5 2" xfId="24811"/>
    <cellStyle name="메모 3 6 5 3" xfId="24812"/>
    <cellStyle name="메모 3 6 6" xfId="24813"/>
    <cellStyle name="메모 3 6 7" xfId="24814"/>
    <cellStyle name="메모 3 7" xfId="24815"/>
    <cellStyle name="메모 3 7 2" xfId="24816"/>
    <cellStyle name="메모 3 7 2 2" xfId="24817"/>
    <cellStyle name="메모 3 7 2 2 2" xfId="24818"/>
    <cellStyle name="메모 3 7 2 2 2 2" xfId="24819"/>
    <cellStyle name="메모 3 7 2 2 2 3" xfId="24820"/>
    <cellStyle name="메모 3 7 2 2 3" xfId="24821"/>
    <cellStyle name="메모 3 7 2 2 4" xfId="24822"/>
    <cellStyle name="메모 3 7 2 3" xfId="24823"/>
    <cellStyle name="메모 3 7 2 3 2" xfId="24824"/>
    <cellStyle name="메모 3 7 2 3 3" xfId="24825"/>
    <cellStyle name="메모 3 7 2 4" xfId="24826"/>
    <cellStyle name="메모 3 7 2 5" xfId="24827"/>
    <cellStyle name="메모 3 7 3" xfId="24828"/>
    <cellStyle name="메모 3 7 3 2" xfId="24829"/>
    <cellStyle name="메모 3 7 3 2 2" xfId="24830"/>
    <cellStyle name="메모 3 7 3 2 2 2" xfId="24831"/>
    <cellStyle name="메모 3 7 3 2 2 3" xfId="24832"/>
    <cellStyle name="메모 3 7 3 2 3" xfId="24833"/>
    <cellStyle name="메모 3 7 3 2 4" xfId="24834"/>
    <cellStyle name="메모 3 7 3 3" xfId="24835"/>
    <cellStyle name="메모 3 7 3 3 2" xfId="24836"/>
    <cellStyle name="메모 3 7 3 3 3" xfId="24837"/>
    <cellStyle name="메모 3 7 3 4" xfId="24838"/>
    <cellStyle name="메모 3 7 3 5" xfId="24839"/>
    <cellStyle name="메모 3 7 4" xfId="24840"/>
    <cellStyle name="메모 3 7 4 2" xfId="24841"/>
    <cellStyle name="메모 3 7 4 2 2" xfId="24842"/>
    <cellStyle name="메모 3 7 4 2 3" xfId="24843"/>
    <cellStyle name="메모 3 7 4 3" xfId="24844"/>
    <cellStyle name="메모 3 7 4 4" xfId="24845"/>
    <cellStyle name="메모 3 7 5" xfId="24846"/>
    <cellStyle name="메모 3 7 5 2" xfId="24847"/>
    <cellStyle name="메모 3 7 5 3" xfId="24848"/>
    <cellStyle name="메모 3 7 6" xfId="24849"/>
    <cellStyle name="메모 3 7 7" xfId="24850"/>
    <cellStyle name="메모 3 8" xfId="24851"/>
    <cellStyle name="메모 3 8 2" xfId="24852"/>
    <cellStyle name="메모 3 8 2 2" xfId="24853"/>
    <cellStyle name="메모 3 8 2 2 2" xfId="24854"/>
    <cellStyle name="메모 3 8 2 2 3" xfId="24855"/>
    <cellStyle name="메모 3 8 2 3" xfId="24856"/>
    <cellStyle name="메모 3 8 2 4" xfId="24857"/>
    <cellStyle name="메모 3 8 3" xfId="24858"/>
    <cellStyle name="메모 3 8 3 2" xfId="24859"/>
    <cellStyle name="메모 3 8 3 3" xfId="24860"/>
    <cellStyle name="메모 3 8 4" xfId="24861"/>
    <cellStyle name="메모 3 8 5" xfId="24862"/>
    <cellStyle name="메모 3 9" xfId="24863"/>
    <cellStyle name="메모 3 9 2" xfId="24864"/>
    <cellStyle name="메모 3 9 2 2" xfId="24865"/>
    <cellStyle name="메모 3 9 2 2 2" xfId="24866"/>
    <cellStyle name="메모 3 9 2 2 3" xfId="24867"/>
    <cellStyle name="메모 3 9 2 3" xfId="24868"/>
    <cellStyle name="메모 3 9 2 4" xfId="24869"/>
    <cellStyle name="메모 3 9 3" xfId="24870"/>
    <cellStyle name="메모 3 9 3 2" xfId="24871"/>
    <cellStyle name="메모 3 9 3 3" xfId="24872"/>
    <cellStyle name="메모 3 9 4" xfId="24873"/>
    <cellStyle name="메모 3 9 5" xfId="24874"/>
    <cellStyle name="메모 30" xfId="24875"/>
    <cellStyle name="메모 31" xfId="24876"/>
    <cellStyle name="메모 32" xfId="24877"/>
    <cellStyle name="메모 33" xfId="24878"/>
    <cellStyle name="메모 34" xfId="24879"/>
    <cellStyle name="메모 35" xfId="24880"/>
    <cellStyle name="메모 36" xfId="24881"/>
    <cellStyle name="메모 37" xfId="24882"/>
    <cellStyle name="메모 38" xfId="24883"/>
    <cellStyle name="메모 39" xfId="24884"/>
    <cellStyle name="메모 4" xfId="24885"/>
    <cellStyle name="메모 4 10" xfId="24886"/>
    <cellStyle name="메모 4 10 2" xfId="24887"/>
    <cellStyle name="메모 4 10 2 2" xfId="24888"/>
    <cellStyle name="메모 4 10 2 3" xfId="24889"/>
    <cellStyle name="메모 4 10 3" xfId="24890"/>
    <cellStyle name="메모 4 10 4" xfId="24891"/>
    <cellStyle name="메모 4 11" xfId="24892"/>
    <cellStyle name="메모 4 11 2" xfId="24893"/>
    <cellStyle name="메모 4 11 3" xfId="24894"/>
    <cellStyle name="메모 4 12" xfId="24895"/>
    <cellStyle name="메모 4 13" xfId="24896"/>
    <cellStyle name="메모 4 14" xfId="24897"/>
    <cellStyle name="메모 4 15" xfId="24898"/>
    <cellStyle name="메모 4 2" xfId="24899"/>
    <cellStyle name="메모 4 2 10" xfId="24900"/>
    <cellStyle name="메모 4 2 11" xfId="24901"/>
    <cellStyle name="메모 4 2 12" xfId="24902"/>
    <cellStyle name="메모 4 2 2" xfId="24903"/>
    <cellStyle name="메모 4 2 2 2" xfId="24904"/>
    <cellStyle name="메모 4 2 2 2 2" xfId="24905"/>
    <cellStyle name="메모 4 2 2 2 2 2" xfId="24906"/>
    <cellStyle name="메모 4 2 2 2 2 2 2" xfId="24907"/>
    <cellStyle name="메모 4 2 2 2 2 2 3" xfId="24908"/>
    <cellStyle name="메모 4 2 2 2 2 3" xfId="24909"/>
    <cellStyle name="메모 4 2 2 2 2 4" xfId="24910"/>
    <cellStyle name="메모 4 2 2 2 3" xfId="24911"/>
    <cellStyle name="메모 4 2 2 2 3 2" xfId="24912"/>
    <cellStyle name="메모 4 2 2 2 3 3" xfId="24913"/>
    <cellStyle name="메모 4 2 2 2 4" xfId="24914"/>
    <cellStyle name="메모 4 2 2 2 5" xfId="24915"/>
    <cellStyle name="메모 4 2 2 3" xfId="24916"/>
    <cellStyle name="메모 4 2 2 3 2" xfId="24917"/>
    <cellStyle name="메모 4 2 2 3 2 2" xfId="24918"/>
    <cellStyle name="메모 4 2 2 3 2 2 2" xfId="24919"/>
    <cellStyle name="메모 4 2 2 3 2 2 3" xfId="24920"/>
    <cellStyle name="메모 4 2 2 3 2 3" xfId="24921"/>
    <cellStyle name="메모 4 2 2 3 2 4" xfId="24922"/>
    <cellStyle name="메모 4 2 2 3 3" xfId="24923"/>
    <cellStyle name="메모 4 2 2 3 3 2" xfId="24924"/>
    <cellStyle name="메모 4 2 2 3 3 3" xfId="24925"/>
    <cellStyle name="메모 4 2 2 3 4" xfId="24926"/>
    <cellStyle name="메모 4 2 2 3 5" xfId="24927"/>
    <cellStyle name="메모 4 2 2 4" xfId="24928"/>
    <cellStyle name="메모 4 2 2 4 2" xfId="24929"/>
    <cellStyle name="메모 4 2 2 4 2 2" xfId="24930"/>
    <cellStyle name="메모 4 2 2 4 2 3" xfId="24931"/>
    <cellStyle name="메모 4 2 2 4 3" xfId="24932"/>
    <cellStyle name="메모 4 2 2 4 4" xfId="24933"/>
    <cellStyle name="메모 4 2 2 5" xfId="24934"/>
    <cellStyle name="메모 4 2 2 5 2" xfId="24935"/>
    <cellStyle name="메모 4 2 2 5 3" xfId="24936"/>
    <cellStyle name="메모 4 2 2 6" xfId="24937"/>
    <cellStyle name="메모 4 2 2 7" xfId="24938"/>
    <cellStyle name="메모 4 2 2 8" xfId="24939"/>
    <cellStyle name="메모 4 2 2 9" xfId="24940"/>
    <cellStyle name="메모 4 2 3" xfId="24941"/>
    <cellStyle name="메모 4 2 3 2" xfId="24942"/>
    <cellStyle name="메모 4 2 3 2 2" xfId="24943"/>
    <cellStyle name="메모 4 2 3 2 2 2" xfId="24944"/>
    <cellStyle name="메모 4 2 3 2 2 2 2" xfId="24945"/>
    <cellStyle name="메모 4 2 3 2 2 2 3" xfId="24946"/>
    <cellStyle name="메모 4 2 3 2 2 3" xfId="24947"/>
    <cellStyle name="메모 4 2 3 2 2 4" xfId="24948"/>
    <cellStyle name="메모 4 2 3 2 3" xfId="24949"/>
    <cellStyle name="메모 4 2 3 2 3 2" xfId="24950"/>
    <cellStyle name="메모 4 2 3 2 3 3" xfId="24951"/>
    <cellStyle name="메모 4 2 3 2 4" xfId="24952"/>
    <cellStyle name="메모 4 2 3 2 5" xfId="24953"/>
    <cellStyle name="메모 4 2 3 3" xfId="24954"/>
    <cellStyle name="메모 4 2 3 3 2" xfId="24955"/>
    <cellStyle name="메모 4 2 3 3 2 2" xfId="24956"/>
    <cellStyle name="메모 4 2 3 3 2 2 2" xfId="24957"/>
    <cellStyle name="메모 4 2 3 3 2 2 3" xfId="24958"/>
    <cellStyle name="메모 4 2 3 3 2 3" xfId="24959"/>
    <cellStyle name="메모 4 2 3 3 2 4" xfId="24960"/>
    <cellStyle name="메모 4 2 3 3 3" xfId="24961"/>
    <cellStyle name="메모 4 2 3 3 3 2" xfId="24962"/>
    <cellStyle name="메모 4 2 3 3 3 3" xfId="24963"/>
    <cellStyle name="메모 4 2 3 3 4" xfId="24964"/>
    <cellStyle name="메모 4 2 3 3 5" xfId="24965"/>
    <cellStyle name="메모 4 2 3 4" xfId="24966"/>
    <cellStyle name="메모 4 2 3 4 2" xfId="24967"/>
    <cellStyle name="메모 4 2 3 4 2 2" xfId="24968"/>
    <cellStyle name="메모 4 2 3 4 2 3" xfId="24969"/>
    <cellStyle name="메모 4 2 3 4 3" xfId="24970"/>
    <cellStyle name="메모 4 2 3 4 4" xfId="24971"/>
    <cellStyle name="메모 4 2 3 5" xfId="24972"/>
    <cellStyle name="메모 4 2 3 5 2" xfId="24973"/>
    <cellStyle name="메모 4 2 3 5 3" xfId="24974"/>
    <cellStyle name="메모 4 2 3 6" xfId="24975"/>
    <cellStyle name="메모 4 2 3 7" xfId="24976"/>
    <cellStyle name="메모 4 2 4" xfId="24977"/>
    <cellStyle name="메모 4 2 4 2" xfId="24978"/>
    <cellStyle name="메모 4 2 4 2 2" xfId="24979"/>
    <cellStyle name="메모 4 2 4 2 2 2" xfId="24980"/>
    <cellStyle name="메모 4 2 4 2 2 3" xfId="24981"/>
    <cellStyle name="메모 4 2 4 2 3" xfId="24982"/>
    <cellStyle name="메모 4 2 4 2 4" xfId="24983"/>
    <cellStyle name="메모 4 2 4 3" xfId="24984"/>
    <cellStyle name="메모 4 2 4 3 2" xfId="24985"/>
    <cellStyle name="메모 4 2 4 3 3" xfId="24986"/>
    <cellStyle name="메모 4 2 4 4" xfId="24987"/>
    <cellStyle name="메모 4 2 4 5" xfId="24988"/>
    <cellStyle name="메모 4 2 5" xfId="24989"/>
    <cellStyle name="메모 4 2 5 2" xfId="24990"/>
    <cellStyle name="메모 4 2 5 2 2" xfId="24991"/>
    <cellStyle name="메모 4 2 5 2 2 2" xfId="24992"/>
    <cellStyle name="메모 4 2 5 2 2 3" xfId="24993"/>
    <cellStyle name="메모 4 2 5 2 3" xfId="24994"/>
    <cellStyle name="메모 4 2 5 2 4" xfId="24995"/>
    <cellStyle name="메모 4 2 5 3" xfId="24996"/>
    <cellStyle name="메모 4 2 5 3 2" xfId="24997"/>
    <cellStyle name="메모 4 2 5 3 3" xfId="24998"/>
    <cellStyle name="메모 4 2 5 4" xfId="24999"/>
    <cellStyle name="메모 4 2 5 5" xfId="25000"/>
    <cellStyle name="메모 4 2 6" xfId="25001"/>
    <cellStyle name="메모 4 2 6 2" xfId="25002"/>
    <cellStyle name="메모 4 2 6 2 2" xfId="25003"/>
    <cellStyle name="메모 4 2 6 2 2 2" xfId="25004"/>
    <cellStyle name="메모 4 2 6 2 2 3" xfId="25005"/>
    <cellStyle name="메모 4 2 6 2 3" xfId="25006"/>
    <cellStyle name="메모 4 2 6 2 4" xfId="25007"/>
    <cellStyle name="메모 4 2 6 3" xfId="25008"/>
    <cellStyle name="메모 4 2 6 3 2" xfId="25009"/>
    <cellStyle name="메모 4 2 6 3 3" xfId="25010"/>
    <cellStyle name="메모 4 2 6 4" xfId="25011"/>
    <cellStyle name="메모 4 2 6 5" xfId="25012"/>
    <cellStyle name="메모 4 2 7" xfId="25013"/>
    <cellStyle name="메모 4 2 7 2" xfId="25014"/>
    <cellStyle name="메모 4 2 7 2 2" xfId="25015"/>
    <cellStyle name="메모 4 2 7 2 3" xfId="25016"/>
    <cellStyle name="메모 4 2 7 3" xfId="25017"/>
    <cellStyle name="메모 4 2 7 4" xfId="25018"/>
    <cellStyle name="메모 4 2 8" xfId="25019"/>
    <cellStyle name="메모 4 2 8 2" xfId="25020"/>
    <cellStyle name="메모 4 2 8 3" xfId="25021"/>
    <cellStyle name="메모 4 2 9" xfId="25022"/>
    <cellStyle name="메모 4 3" xfId="25023"/>
    <cellStyle name="메모 4 3 10" xfId="25024"/>
    <cellStyle name="메모 4 3 11" xfId="25025"/>
    <cellStyle name="메모 4 3 12" xfId="25026"/>
    <cellStyle name="메모 4 3 2" xfId="25027"/>
    <cellStyle name="메모 4 3 2 2" xfId="25028"/>
    <cellStyle name="메모 4 3 2 2 2" xfId="25029"/>
    <cellStyle name="메모 4 3 2 2 2 2" xfId="25030"/>
    <cellStyle name="메모 4 3 2 2 2 2 2" xfId="25031"/>
    <cellStyle name="메모 4 3 2 2 2 2 3" xfId="25032"/>
    <cellStyle name="메모 4 3 2 2 2 3" xfId="25033"/>
    <cellStyle name="메모 4 3 2 2 2 4" xfId="25034"/>
    <cellStyle name="메모 4 3 2 2 3" xfId="25035"/>
    <cellStyle name="메모 4 3 2 2 3 2" xfId="25036"/>
    <cellStyle name="메모 4 3 2 2 3 3" xfId="25037"/>
    <cellStyle name="메모 4 3 2 2 4" xfId="25038"/>
    <cellStyle name="메모 4 3 2 2 5" xfId="25039"/>
    <cellStyle name="메모 4 3 2 3" xfId="25040"/>
    <cellStyle name="메모 4 3 2 3 2" xfId="25041"/>
    <cellStyle name="메모 4 3 2 3 2 2" xfId="25042"/>
    <cellStyle name="메모 4 3 2 3 2 2 2" xfId="25043"/>
    <cellStyle name="메모 4 3 2 3 2 2 3" xfId="25044"/>
    <cellStyle name="메모 4 3 2 3 2 3" xfId="25045"/>
    <cellStyle name="메모 4 3 2 3 2 4" xfId="25046"/>
    <cellStyle name="메모 4 3 2 3 3" xfId="25047"/>
    <cellStyle name="메모 4 3 2 3 3 2" xfId="25048"/>
    <cellStyle name="메모 4 3 2 3 3 3" xfId="25049"/>
    <cellStyle name="메모 4 3 2 3 4" xfId="25050"/>
    <cellStyle name="메모 4 3 2 3 5" xfId="25051"/>
    <cellStyle name="메모 4 3 2 4" xfId="25052"/>
    <cellStyle name="메모 4 3 2 4 2" xfId="25053"/>
    <cellStyle name="메모 4 3 2 4 2 2" xfId="25054"/>
    <cellStyle name="메모 4 3 2 4 2 3" xfId="25055"/>
    <cellStyle name="메모 4 3 2 4 3" xfId="25056"/>
    <cellStyle name="메모 4 3 2 4 4" xfId="25057"/>
    <cellStyle name="메모 4 3 2 5" xfId="25058"/>
    <cellStyle name="메모 4 3 2 5 2" xfId="25059"/>
    <cellStyle name="메모 4 3 2 5 3" xfId="25060"/>
    <cellStyle name="메모 4 3 2 6" xfId="25061"/>
    <cellStyle name="메모 4 3 2 7" xfId="25062"/>
    <cellStyle name="메모 4 3 2 8" xfId="25063"/>
    <cellStyle name="메모 4 3 2 9" xfId="25064"/>
    <cellStyle name="메모 4 3 3" xfId="25065"/>
    <cellStyle name="메모 4 3 3 2" xfId="25066"/>
    <cellStyle name="메모 4 3 3 2 2" xfId="25067"/>
    <cellStyle name="메모 4 3 3 2 2 2" xfId="25068"/>
    <cellStyle name="메모 4 3 3 2 2 2 2" xfId="25069"/>
    <cellStyle name="메모 4 3 3 2 2 2 3" xfId="25070"/>
    <cellStyle name="메모 4 3 3 2 2 3" xfId="25071"/>
    <cellStyle name="메모 4 3 3 2 2 4" xfId="25072"/>
    <cellStyle name="메모 4 3 3 2 3" xfId="25073"/>
    <cellStyle name="메모 4 3 3 2 3 2" xfId="25074"/>
    <cellStyle name="메모 4 3 3 2 3 3" xfId="25075"/>
    <cellStyle name="메모 4 3 3 2 4" xfId="25076"/>
    <cellStyle name="메모 4 3 3 2 5" xfId="25077"/>
    <cellStyle name="메모 4 3 3 3" xfId="25078"/>
    <cellStyle name="메모 4 3 3 3 2" xfId="25079"/>
    <cellStyle name="메모 4 3 3 3 2 2" xfId="25080"/>
    <cellStyle name="메모 4 3 3 3 2 2 2" xfId="25081"/>
    <cellStyle name="메모 4 3 3 3 2 2 3" xfId="25082"/>
    <cellStyle name="메모 4 3 3 3 2 3" xfId="25083"/>
    <cellStyle name="메모 4 3 3 3 2 4" xfId="25084"/>
    <cellStyle name="메모 4 3 3 3 3" xfId="25085"/>
    <cellStyle name="메모 4 3 3 3 3 2" xfId="25086"/>
    <cellStyle name="메모 4 3 3 3 3 3" xfId="25087"/>
    <cellStyle name="메모 4 3 3 3 4" xfId="25088"/>
    <cellStyle name="메모 4 3 3 3 5" xfId="25089"/>
    <cellStyle name="메모 4 3 3 4" xfId="25090"/>
    <cellStyle name="메모 4 3 3 4 2" xfId="25091"/>
    <cellStyle name="메모 4 3 3 4 2 2" xfId="25092"/>
    <cellStyle name="메모 4 3 3 4 2 3" xfId="25093"/>
    <cellStyle name="메모 4 3 3 4 3" xfId="25094"/>
    <cellStyle name="메모 4 3 3 4 4" xfId="25095"/>
    <cellStyle name="메모 4 3 3 5" xfId="25096"/>
    <cellStyle name="메모 4 3 3 5 2" xfId="25097"/>
    <cellStyle name="메모 4 3 3 5 3" xfId="25098"/>
    <cellStyle name="메모 4 3 3 6" xfId="25099"/>
    <cellStyle name="메모 4 3 3 7" xfId="25100"/>
    <cellStyle name="메모 4 3 4" xfId="25101"/>
    <cellStyle name="메모 4 3 4 2" xfId="25102"/>
    <cellStyle name="메모 4 3 4 2 2" xfId="25103"/>
    <cellStyle name="메모 4 3 4 2 2 2" xfId="25104"/>
    <cellStyle name="메모 4 3 4 2 2 3" xfId="25105"/>
    <cellStyle name="메모 4 3 4 2 3" xfId="25106"/>
    <cellStyle name="메모 4 3 4 2 4" xfId="25107"/>
    <cellStyle name="메모 4 3 4 3" xfId="25108"/>
    <cellStyle name="메모 4 3 4 3 2" xfId="25109"/>
    <cellStyle name="메모 4 3 4 3 3" xfId="25110"/>
    <cellStyle name="메모 4 3 4 4" xfId="25111"/>
    <cellStyle name="메모 4 3 4 5" xfId="25112"/>
    <cellStyle name="메모 4 3 5" xfId="25113"/>
    <cellStyle name="메모 4 3 5 2" xfId="25114"/>
    <cellStyle name="메모 4 3 5 2 2" xfId="25115"/>
    <cellStyle name="메모 4 3 5 2 2 2" xfId="25116"/>
    <cellStyle name="메모 4 3 5 2 2 3" xfId="25117"/>
    <cellStyle name="메모 4 3 5 2 3" xfId="25118"/>
    <cellStyle name="메모 4 3 5 2 4" xfId="25119"/>
    <cellStyle name="메모 4 3 5 3" xfId="25120"/>
    <cellStyle name="메모 4 3 5 3 2" xfId="25121"/>
    <cellStyle name="메모 4 3 5 3 3" xfId="25122"/>
    <cellStyle name="메모 4 3 5 4" xfId="25123"/>
    <cellStyle name="메모 4 3 5 5" xfId="25124"/>
    <cellStyle name="메모 4 3 6" xfId="25125"/>
    <cellStyle name="메모 4 3 6 2" xfId="25126"/>
    <cellStyle name="메모 4 3 6 2 2" xfId="25127"/>
    <cellStyle name="메모 4 3 6 2 2 2" xfId="25128"/>
    <cellStyle name="메모 4 3 6 2 2 3" xfId="25129"/>
    <cellStyle name="메모 4 3 6 2 3" xfId="25130"/>
    <cellStyle name="메모 4 3 6 2 4" xfId="25131"/>
    <cellStyle name="메모 4 3 6 3" xfId="25132"/>
    <cellStyle name="메모 4 3 6 3 2" xfId="25133"/>
    <cellStyle name="메모 4 3 6 3 3" xfId="25134"/>
    <cellStyle name="메모 4 3 6 4" xfId="25135"/>
    <cellStyle name="메모 4 3 6 5" xfId="25136"/>
    <cellStyle name="메모 4 3 7" xfId="25137"/>
    <cellStyle name="메모 4 3 7 2" xfId="25138"/>
    <cellStyle name="메모 4 3 7 2 2" xfId="25139"/>
    <cellStyle name="메모 4 3 7 2 3" xfId="25140"/>
    <cellStyle name="메모 4 3 7 3" xfId="25141"/>
    <cellStyle name="메모 4 3 7 4" xfId="25142"/>
    <cellStyle name="메모 4 3 8" xfId="25143"/>
    <cellStyle name="메모 4 3 8 2" xfId="25144"/>
    <cellStyle name="메모 4 3 8 3" xfId="25145"/>
    <cellStyle name="메모 4 3 9" xfId="25146"/>
    <cellStyle name="메모 4 4" xfId="25147"/>
    <cellStyle name="메모 4 4 10" xfId="25148"/>
    <cellStyle name="메모 4 4 11" xfId="25149"/>
    <cellStyle name="메모 4 4 12" xfId="25150"/>
    <cellStyle name="메모 4 4 2" xfId="25151"/>
    <cellStyle name="메모 4 4 2 2" xfId="25152"/>
    <cellStyle name="메모 4 4 2 2 2" xfId="25153"/>
    <cellStyle name="메모 4 4 2 2 2 2" xfId="25154"/>
    <cellStyle name="메모 4 4 2 2 2 2 2" xfId="25155"/>
    <cellStyle name="메모 4 4 2 2 2 2 3" xfId="25156"/>
    <cellStyle name="메모 4 4 2 2 2 3" xfId="25157"/>
    <cellStyle name="메모 4 4 2 2 2 4" xfId="25158"/>
    <cellStyle name="메모 4 4 2 2 3" xfId="25159"/>
    <cellStyle name="메모 4 4 2 2 3 2" xfId="25160"/>
    <cellStyle name="메모 4 4 2 2 3 3" xfId="25161"/>
    <cellStyle name="메모 4 4 2 2 4" xfId="25162"/>
    <cellStyle name="메모 4 4 2 2 5" xfId="25163"/>
    <cellStyle name="메모 4 4 2 3" xfId="25164"/>
    <cellStyle name="메모 4 4 2 3 2" xfId="25165"/>
    <cellStyle name="메모 4 4 2 3 2 2" xfId="25166"/>
    <cellStyle name="메모 4 4 2 3 2 2 2" xfId="25167"/>
    <cellStyle name="메모 4 4 2 3 2 2 3" xfId="25168"/>
    <cellStyle name="메모 4 4 2 3 2 3" xfId="25169"/>
    <cellStyle name="메모 4 4 2 3 2 4" xfId="25170"/>
    <cellStyle name="메모 4 4 2 3 3" xfId="25171"/>
    <cellStyle name="메모 4 4 2 3 3 2" xfId="25172"/>
    <cellStyle name="메모 4 4 2 3 3 3" xfId="25173"/>
    <cellStyle name="메모 4 4 2 3 4" xfId="25174"/>
    <cellStyle name="메모 4 4 2 3 5" xfId="25175"/>
    <cellStyle name="메모 4 4 2 4" xfId="25176"/>
    <cellStyle name="메모 4 4 2 4 2" xfId="25177"/>
    <cellStyle name="메모 4 4 2 4 2 2" xfId="25178"/>
    <cellStyle name="메모 4 4 2 4 2 3" xfId="25179"/>
    <cellStyle name="메모 4 4 2 4 3" xfId="25180"/>
    <cellStyle name="메모 4 4 2 4 4" xfId="25181"/>
    <cellStyle name="메모 4 4 2 5" xfId="25182"/>
    <cellStyle name="메모 4 4 2 5 2" xfId="25183"/>
    <cellStyle name="메모 4 4 2 5 3" xfId="25184"/>
    <cellStyle name="메모 4 4 2 6" xfId="25185"/>
    <cellStyle name="메모 4 4 2 7" xfId="25186"/>
    <cellStyle name="메모 4 4 3" xfId="25187"/>
    <cellStyle name="메모 4 4 3 2" xfId="25188"/>
    <cellStyle name="메모 4 4 3 2 2" xfId="25189"/>
    <cellStyle name="메모 4 4 3 2 2 2" xfId="25190"/>
    <cellStyle name="메모 4 4 3 2 2 2 2" xfId="25191"/>
    <cellStyle name="메모 4 4 3 2 2 2 3" xfId="25192"/>
    <cellStyle name="메모 4 4 3 2 2 3" xfId="25193"/>
    <cellStyle name="메모 4 4 3 2 2 4" xfId="25194"/>
    <cellStyle name="메모 4 4 3 2 3" xfId="25195"/>
    <cellStyle name="메모 4 4 3 2 3 2" xfId="25196"/>
    <cellStyle name="메모 4 4 3 2 3 3" xfId="25197"/>
    <cellStyle name="메모 4 4 3 2 4" xfId="25198"/>
    <cellStyle name="메모 4 4 3 2 5" xfId="25199"/>
    <cellStyle name="메모 4 4 3 3" xfId="25200"/>
    <cellStyle name="메모 4 4 3 3 2" xfId="25201"/>
    <cellStyle name="메모 4 4 3 3 2 2" xfId="25202"/>
    <cellStyle name="메모 4 4 3 3 2 2 2" xfId="25203"/>
    <cellStyle name="메모 4 4 3 3 2 2 3" xfId="25204"/>
    <cellStyle name="메모 4 4 3 3 2 3" xfId="25205"/>
    <cellStyle name="메모 4 4 3 3 2 4" xfId="25206"/>
    <cellStyle name="메모 4 4 3 3 3" xfId="25207"/>
    <cellStyle name="메모 4 4 3 3 3 2" xfId="25208"/>
    <cellStyle name="메모 4 4 3 3 3 3" xfId="25209"/>
    <cellStyle name="메모 4 4 3 3 4" xfId="25210"/>
    <cellStyle name="메모 4 4 3 3 5" xfId="25211"/>
    <cellStyle name="메모 4 4 3 4" xfId="25212"/>
    <cellStyle name="메모 4 4 3 4 2" xfId="25213"/>
    <cellStyle name="메모 4 4 3 4 2 2" xfId="25214"/>
    <cellStyle name="메모 4 4 3 4 2 3" xfId="25215"/>
    <cellStyle name="메모 4 4 3 4 3" xfId="25216"/>
    <cellStyle name="메모 4 4 3 4 4" xfId="25217"/>
    <cellStyle name="메모 4 4 3 5" xfId="25218"/>
    <cellStyle name="메모 4 4 3 5 2" xfId="25219"/>
    <cellStyle name="메모 4 4 3 5 3" xfId="25220"/>
    <cellStyle name="메모 4 4 3 6" xfId="25221"/>
    <cellStyle name="메모 4 4 3 7" xfId="25222"/>
    <cellStyle name="메모 4 4 4" xfId="25223"/>
    <cellStyle name="메모 4 4 4 2" xfId="25224"/>
    <cellStyle name="메모 4 4 4 2 2" xfId="25225"/>
    <cellStyle name="메모 4 4 4 2 2 2" xfId="25226"/>
    <cellStyle name="메모 4 4 4 2 2 3" xfId="25227"/>
    <cellStyle name="메모 4 4 4 2 3" xfId="25228"/>
    <cellStyle name="메모 4 4 4 2 4" xfId="25229"/>
    <cellStyle name="메모 4 4 4 3" xfId="25230"/>
    <cellStyle name="메모 4 4 4 3 2" xfId="25231"/>
    <cellStyle name="메모 4 4 4 3 3" xfId="25232"/>
    <cellStyle name="메모 4 4 4 4" xfId="25233"/>
    <cellStyle name="메모 4 4 4 5" xfId="25234"/>
    <cellStyle name="메모 4 4 5" xfId="25235"/>
    <cellStyle name="메모 4 4 5 2" xfId="25236"/>
    <cellStyle name="메모 4 4 5 2 2" xfId="25237"/>
    <cellStyle name="메모 4 4 5 2 2 2" xfId="25238"/>
    <cellStyle name="메모 4 4 5 2 2 3" xfId="25239"/>
    <cellStyle name="메모 4 4 5 2 3" xfId="25240"/>
    <cellStyle name="메모 4 4 5 2 4" xfId="25241"/>
    <cellStyle name="메모 4 4 5 3" xfId="25242"/>
    <cellStyle name="메모 4 4 5 3 2" xfId="25243"/>
    <cellStyle name="메모 4 4 5 3 3" xfId="25244"/>
    <cellStyle name="메모 4 4 5 4" xfId="25245"/>
    <cellStyle name="메모 4 4 5 5" xfId="25246"/>
    <cellStyle name="메모 4 4 6" xfId="25247"/>
    <cellStyle name="메모 4 4 6 2" xfId="25248"/>
    <cellStyle name="메모 4 4 6 2 2" xfId="25249"/>
    <cellStyle name="메모 4 4 6 2 2 2" xfId="25250"/>
    <cellStyle name="메모 4 4 6 2 2 3" xfId="25251"/>
    <cellStyle name="메모 4 4 6 2 3" xfId="25252"/>
    <cellStyle name="메모 4 4 6 2 4" xfId="25253"/>
    <cellStyle name="메모 4 4 6 3" xfId="25254"/>
    <cellStyle name="메모 4 4 6 3 2" xfId="25255"/>
    <cellStyle name="메모 4 4 6 3 3" xfId="25256"/>
    <cellStyle name="메모 4 4 6 4" xfId="25257"/>
    <cellStyle name="메모 4 4 6 5" xfId="25258"/>
    <cellStyle name="메모 4 4 7" xfId="25259"/>
    <cellStyle name="메모 4 4 7 2" xfId="25260"/>
    <cellStyle name="메모 4 4 7 2 2" xfId="25261"/>
    <cellStyle name="메모 4 4 7 2 3" xfId="25262"/>
    <cellStyle name="메모 4 4 7 3" xfId="25263"/>
    <cellStyle name="메모 4 4 7 4" xfId="25264"/>
    <cellStyle name="메모 4 4 8" xfId="25265"/>
    <cellStyle name="메모 4 4 8 2" xfId="25266"/>
    <cellStyle name="메모 4 4 8 3" xfId="25267"/>
    <cellStyle name="메모 4 4 9" xfId="25268"/>
    <cellStyle name="메모 4 5" xfId="25269"/>
    <cellStyle name="메모 4 5 2" xfId="25270"/>
    <cellStyle name="메모 4 5 2 2" xfId="25271"/>
    <cellStyle name="메모 4 5 2 2 2" xfId="25272"/>
    <cellStyle name="메모 4 5 2 2 2 2" xfId="25273"/>
    <cellStyle name="메모 4 5 2 2 2 3" xfId="25274"/>
    <cellStyle name="메모 4 5 2 2 3" xfId="25275"/>
    <cellStyle name="메모 4 5 2 2 4" xfId="25276"/>
    <cellStyle name="메모 4 5 2 3" xfId="25277"/>
    <cellStyle name="메모 4 5 2 3 2" xfId="25278"/>
    <cellStyle name="메모 4 5 2 3 3" xfId="25279"/>
    <cellStyle name="메모 4 5 2 4" xfId="25280"/>
    <cellStyle name="메모 4 5 2 5" xfId="25281"/>
    <cellStyle name="메모 4 5 3" xfId="25282"/>
    <cellStyle name="메모 4 5 3 2" xfId="25283"/>
    <cellStyle name="메모 4 5 3 2 2" xfId="25284"/>
    <cellStyle name="메모 4 5 3 2 2 2" xfId="25285"/>
    <cellStyle name="메모 4 5 3 2 2 3" xfId="25286"/>
    <cellStyle name="메모 4 5 3 2 3" xfId="25287"/>
    <cellStyle name="메모 4 5 3 2 4" xfId="25288"/>
    <cellStyle name="메모 4 5 3 3" xfId="25289"/>
    <cellStyle name="메모 4 5 3 3 2" xfId="25290"/>
    <cellStyle name="메모 4 5 3 3 3" xfId="25291"/>
    <cellStyle name="메모 4 5 3 4" xfId="25292"/>
    <cellStyle name="메모 4 5 3 5" xfId="25293"/>
    <cellStyle name="메모 4 5 4" xfId="25294"/>
    <cellStyle name="메모 4 5 4 2" xfId="25295"/>
    <cellStyle name="메모 4 5 4 2 2" xfId="25296"/>
    <cellStyle name="메모 4 5 4 2 3" xfId="25297"/>
    <cellStyle name="메모 4 5 4 3" xfId="25298"/>
    <cellStyle name="메모 4 5 4 4" xfId="25299"/>
    <cellStyle name="메모 4 5 5" xfId="25300"/>
    <cellStyle name="메모 4 5 5 2" xfId="25301"/>
    <cellStyle name="메모 4 5 5 3" xfId="25302"/>
    <cellStyle name="메모 4 5 6" xfId="25303"/>
    <cellStyle name="메모 4 5 7" xfId="25304"/>
    <cellStyle name="메모 4 6" xfId="25305"/>
    <cellStyle name="메모 4 6 2" xfId="25306"/>
    <cellStyle name="메모 4 6 2 2" xfId="25307"/>
    <cellStyle name="메모 4 6 2 2 2" xfId="25308"/>
    <cellStyle name="메모 4 6 2 2 2 2" xfId="25309"/>
    <cellStyle name="메모 4 6 2 2 2 3" xfId="25310"/>
    <cellStyle name="메모 4 6 2 2 3" xfId="25311"/>
    <cellStyle name="메모 4 6 2 2 4" xfId="25312"/>
    <cellStyle name="메모 4 6 2 3" xfId="25313"/>
    <cellStyle name="메모 4 6 2 3 2" xfId="25314"/>
    <cellStyle name="메모 4 6 2 3 3" xfId="25315"/>
    <cellStyle name="메모 4 6 2 4" xfId="25316"/>
    <cellStyle name="메모 4 6 2 5" xfId="25317"/>
    <cellStyle name="메모 4 6 3" xfId="25318"/>
    <cellStyle name="메모 4 6 3 2" xfId="25319"/>
    <cellStyle name="메모 4 6 3 2 2" xfId="25320"/>
    <cellStyle name="메모 4 6 3 2 2 2" xfId="25321"/>
    <cellStyle name="메모 4 6 3 2 2 3" xfId="25322"/>
    <cellStyle name="메모 4 6 3 2 3" xfId="25323"/>
    <cellStyle name="메모 4 6 3 2 4" xfId="25324"/>
    <cellStyle name="메모 4 6 3 3" xfId="25325"/>
    <cellStyle name="메모 4 6 3 3 2" xfId="25326"/>
    <cellStyle name="메모 4 6 3 3 3" xfId="25327"/>
    <cellStyle name="메모 4 6 3 4" xfId="25328"/>
    <cellStyle name="메모 4 6 3 5" xfId="25329"/>
    <cellStyle name="메모 4 6 4" xfId="25330"/>
    <cellStyle name="메모 4 6 4 2" xfId="25331"/>
    <cellStyle name="메모 4 6 4 2 2" xfId="25332"/>
    <cellStyle name="메모 4 6 4 2 3" xfId="25333"/>
    <cellStyle name="메모 4 6 4 3" xfId="25334"/>
    <cellStyle name="메모 4 6 4 4" xfId="25335"/>
    <cellStyle name="메모 4 6 5" xfId="25336"/>
    <cellStyle name="메모 4 6 5 2" xfId="25337"/>
    <cellStyle name="메모 4 6 5 3" xfId="25338"/>
    <cellStyle name="메모 4 6 6" xfId="25339"/>
    <cellStyle name="메모 4 6 7" xfId="25340"/>
    <cellStyle name="메모 4 7" xfId="25341"/>
    <cellStyle name="메모 4 7 2" xfId="25342"/>
    <cellStyle name="메모 4 7 2 2" xfId="25343"/>
    <cellStyle name="메모 4 7 2 2 2" xfId="25344"/>
    <cellStyle name="메모 4 7 2 2 3" xfId="25345"/>
    <cellStyle name="메모 4 7 2 3" xfId="25346"/>
    <cellStyle name="메모 4 7 2 4" xfId="25347"/>
    <cellStyle name="메모 4 7 3" xfId="25348"/>
    <cellStyle name="메모 4 7 3 2" xfId="25349"/>
    <cellStyle name="메모 4 7 3 3" xfId="25350"/>
    <cellStyle name="메모 4 7 4" xfId="25351"/>
    <cellStyle name="메모 4 7 5" xfId="25352"/>
    <cellStyle name="메모 4 8" xfId="25353"/>
    <cellStyle name="메모 4 8 2" xfId="25354"/>
    <cellStyle name="메모 4 8 2 2" xfId="25355"/>
    <cellStyle name="메모 4 8 2 2 2" xfId="25356"/>
    <cellStyle name="메모 4 8 2 2 3" xfId="25357"/>
    <cellStyle name="메모 4 8 2 3" xfId="25358"/>
    <cellStyle name="메모 4 8 2 4" xfId="25359"/>
    <cellStyle name="메모 4 8 3" xfId="25360"/>
    <cellStyle name="메모 4 8 3 2" xfId="25361"/>
    <cellStyle name="메모 4 8 3 3" xfId="25362"/>
    <cellStyle name="메모 4 8 4" xfId="25363"/>
    <cellStyle name="메모 4 8 5" xfId="25364"/>
    <cellStyle name="메모 4 9" xfId="25365"/>
    <cellStyle name="메모 4 9 2" xfId="25366"/>
    <cellStyle name="메모 4 9 2 2" xfId="25367"/>
    <cellStyle name="메모 4 9 2 2 2" xfId="25368"/>
    <cellStyle name="메모 4 9 2 2 3" xfId="25369"/>
    <cellStyle name="메모 4 9 2 3" xfId="25370"/>
    <cellStyle name="메모 4 9 2 4" xfId="25371"/>
    <cellStyle name="메모 4 9 3" xfId="25372"/>
    <cellStyle name="메모 4 9 3 2" xfId="25373"/>
    <cellStyle name="메모 4 9 3 3" xfId="25374"/>
    <cellStyle name="메모 4 9 4" xfId="25375"/>
    <cellStyle name="메모 4 9 5" xfId="25376"/>
    <cellStyle name="메모 40" xfId="25377"/>
    <cellStyle name="메모 41" xfId="25378"/>
    <cellStyle name="메모 42" xfId="25379"/>
    <cellStyle name="메모 43" xfId="25380"/>
    <cellStyle name="메모 44" xfId="25381"/>
    <cellStyle name="메모 45" xfId="25382"/>
    <cellStyle name="메모 46" xfId="25383"/>
    <cellStyle name="메모 47" xfId="25384"/>
    <cellStyle name="메모 48" xfId="25385"/>
    <cellStyle name="메모 49" xfId="25386"/>
    <cellStyle name="메모 5" xfId="25387"/>
    <cellStyle name="메모 5 2" xfId="25388"/>
    <cellStyle name="메모 5 2 2" xfId="25389"/>
    <cellStyle name="메모 5 2 2 2" xfId="25390"/>
    <cellStyle name="메모 5 2 2 2 2" xfId="25391"/>
    <cellStyle name="메모 5 2 2 2 3" xfId="25392"/>
    <cellStyle name="메모 5 2 2 3" xfId="25393"/>
    <cellStyle name="메모 5 2 2 4" xfId="25394"/>
    <cellStyle name="메모 5 2 3" xfId="25395"/>
    <cellStyle name="메모 5 2 3 2" xfId="25396"/>
    <cellStyle name="메모 5 2 3 3" xfId="25397"/>
    <cellStyle name="메모 5 2 4" xfId="25398"/>
    <cellStyle name="메모 5 2 5" xfId="25399"/>
    <cellStyle name="메모 5 3" xfId="25400"/>
    <cellStyle name="메모 5 3 2" xfId="25401"/>
    <cellStyle name="메모 5 3 2 2" xfId="25402"/>
    <cellStyle name="메모 5 3 2 2 2" xfId="25403"/>
    <cellStyle name="메모 5 3 2 2 3" xfId="25404"/>
    <cellStyle name="메모 5 3 2 3" xfId="25405"/>
    <cellStyle name="메모 5 3 2 4" xfId="25406"/>
    <cellStyle name="메모 5 3 3" xfId="25407"/>
    <cellStyle name="메모 5 3 3 2" xfId="25408"/>
    <cellStyle name="메모 5 3 3 3" xfId="25409"/>
    <cellStyle name="메모 5 3 4" xfId="25410"/>
    <cellStyle name="메모 5 3 5" xfId="25411"/>
    <cellStyle name="메모 5 4" xfId="25412"/>
    <cellStyle name="메모 5 4 2" xfId="25413"/>
    <cellStyle name="메모 5 4 2 2" xfId="25414"/>
    <cellStyle name="메모 5 4 2 3" xfId="25415"/>
    <cellStyle name="메모 5 4 3" xfId="25416"/>
    <cellStyle name="메모 5 4 4" xfId="25417"/>
    <cellStyle name="메모 5 5" xfId="25418"/>
    <cellStyle name="메모 5 5 2" xfId="25419"/>
    <cellStyle name="메모 5 5 3" xfId="25420"/>
    <cellStyle name="메모 5 6" xfId="25421"/>
    <cellStyle name="메모 5 7" xfId="25422"/>
    <cellStyle name="메모 5 8" xfId="25423"/>
    <cellStyle name="메모 50" xfId="25424"/>
    <cellStyle name="메모 51" xfId="25425"/>
    <cellStyle name="메모 52" xfId="25426"/>
    <cellStyle name="메모 53" xfId="25427"/>
    <cellStyle name="메모 54" xfId="25428"/>
    <cellStyle name="메모 55" xfId="25429"/>
    <cellStyle name="메모 56" xfId="25430"/>
    <cellStyle name="메모 57" xfId="25431"/>
    <cellStyle name="메모 58" xfId="25432"/>
    <cellStyle name="메모 59" xfId="25433"/>
    <cellStyle name="메모 6" xfId="25434"/>
    <cellStyle name="메모 6 2" xfId="25435"/>
    <cellStyle name="메모 6 2 2" xfId="25436"/>
    <cellStyle name="메모 6 2 3" xfId="25437"/>
    <cellStyle name="메모 6 3" xfId="25438"/>
    <cellStyle name="메모 6 4" xfId="25439"/>
    <cellStyle name="메모 7" xfId="25440"/>
    <cellStyle name="메모 7 2" xfId="25441"/>
    <cellStyle name="메모 7 3" xfId="25442"/>
    <cellStyle name="메모 8" xfId="25443"/>
    <cellStyle name="메모 8 2" xfId="25444"/>
    <cellStyle name="메모 8 3" xfId="25445"/>
    <cellStyle name="메모 9" xfId="25446"/>
    <cellStyle name="메모 9 2" xfId="25447"/>
    <cellStyle name="메모 9 3" xfId="25448"/>
    <cellStyle name="묮뎋 [0.00]_PRODUCT DETAIL Q1" xfId="25449"/>
    <cellStyle name="묮뎋_PRODUCT DETAIL Q1" xfId="25450"/>
    <cellStyle name="믅됞 [0.00]_NT Server " xfId="25451"/>
    <cellStyle name="믅됞_NT Server " xfId="25452"/>
    <cellStyle name="백" xfId="25453"/>
    <cellStyle name="백_ROTATION 유동" xfId="25454"/>
    <cellStyle name="백_ROTATION 유동_도금 열처리 주단조 평가품의(040329)" xfId="25455"/>
    <cellStyle name="백_ROTATION 유동_도금 열처리 주단조 평가품의(040329)_도금 열처리 주단조 평가품의(040329)" xfId="25456"/>
    <cellStyle name="백_ROTATION 유동_도금 열처리 주단조 평가품의(040329)업체" xfId="25457"/>
    <cellStyle name="백_ROTATION 유동_열처리결과품의(031017)개발" xfId="25458"/>
    <cellStyle name="백_ROTATION 유동_열처리결과품의(031017)개발_도금 열처리 주단조 평가품의(040329)" xfId="25459"/>
    <cellStyle name="백_ROTATION 유동_용접업종 평가결과품의(040510)" xfId="25460"/>
    <cellStyle name="백_ROTATION 유동_용접업종 평가결과품의(040510)_용접업종 평가결과품의(040510)" xfId="25461"/>
    <cellStyle name="백_ROTATION 유동_용접업종 평가결과품의(040510)_용접업종 평가결과품의(040510)(1)" xfId="25462"/>
    <cellStyle name="백_ROTATION 유동_용접업종 평가결과품의(040510)_주단조용접업종 평가결과품의(040510)(1)" xfId="25463"/>
    <cellStyle name="백_ROTATION 유동_주단조 업종 평가결과품의(040407)" xfId="25464"/>
    <cellStyle name="백_ROTATION 유동_주단조 업종 평가결과품의(040407)_용접업종 평가결과품의(040510)" xfId="25465"/>
    <cellStyle name="백_ROTATION 유동_주단조 업종 평가결과품의(040407)_용접업종 평가결과품의(040510)(1)" xfId="25466"/>
    <cellStyle name="백_ROTATION 유동_주단조 업종 평가결과품의(040407)_주단조용접업종 평가결과품의(040510)(1)" xfId="25467"/>
    <cellStyle name="백_ROTATION 유동_주단조 업종 평가결과품의(040416)(1)" xfId="25468"/>
    <cellStyle name="백_ROTATION 유동_주단조 업종 평가결과품의(040416)(1)_용접업종 평가결과품의(040510)" xfId="25469"/>
    <cellStyle name="백_ROTATION 유동_주단조 업종 평가결과품의(040416)(1)_용접업종 평가결과품의(040510)(1)" xfId="25470"/>
    <cellStyle name="백_ROTATION 유동_주단조 업종 평가결과품의(040416)(1)_주단조용접업종 평가결과품의(040510)(1)" xfId="25471"/>
    <cellStyle name="백_ROTATION 유동_최신-SQ인증업체현황1343사(03년평가완료031229수정)" xfId="25472"/>
    <cellStyle name="백_ROTATION 유동_최신-SQ인증업체현황1343사(03년평가완료031229수정)_용접업종 평가결과품의(040510)" xfId="25473"/>
    <cellStyle name="백_ROTATION 유동_최신-SQ인증업체현황1343사(03년평가완료031229수정)_용접업종 평가결과품의(040510)(1)" xfId="25474"/>
    <cellStyle name="백_ROTATION 유동_최신-SQ인증업체현황1343사(03년평가완료031229수정)_주단조용접업종 평가결과품의(040510)(1)" xfId="25475"/>
    <cellStyle name="백_SLIDE 폭" xfId="25476"/>
    <cellStyle name="백_SLIDE 폭_도금 열처리 주단조 평가품의(040329)" xfId="25477"/>
    <cellStyle name="백_SLIDE 폭_도금 열처리 주단조 평가품의(040329)_도금 열처리 주단조 평가품의(040329)" xfId="25478"/>
    <cellStyle name="백_SLIDE 폭_도금 열처리 주단조 평가품의(040329)업체" xfId="25479"/>
    <cellStyle name="백_SLIDE 폭_열처리결과품의(031017)개발" xfId="25480"/>
    <cellStyle name="백_SLIDE 폭_열처리결과품의(031017)개발_도금 열처리 주단조 평가품의(040329)" xfId="25481"/>
    <cellStyle name="백_SLIDE 폭_용접업종 평가결과품의(040510)" xfId="25482"/>
    <cellStyle name="백_SLIDE 폭_용접업종 평가결과품의(040510)_용접업종 평가결과품의(040510)" xfId="25483"/>
    <cellStyle name="백_SLIDE 폭_용접업종 평가결과품의(040510)_용접업종 평가결과품의(040510)(1)" xfId="25484"/>
    <cellStyle name="백_SLIDE 폭_용접업종 평가결과품의(040510)_주단조용접업종 평가결과품의(040510)(1)" xfId="25485"/>
    <cellStyle name="백_SLIDE 폭_주단조 업종 평가결과품의(040407)" xfId="25486"/>
    <cellStyle name="백_SLIDE 폭_주단조 업종 평가결과품의(040407)_용접업종 평가결과품의(040510)" xfId="25487"/>
    <cellStyle name="백_SLIDE 폭_주단조 업종 평가결과품의(040407)_용접업종 평가결과품의(040510)(1)" xfId="25488"/>
    <cellStyle name="백_SLIDE 폭_주단조 업종 평가결과품의(040407)_주단조용접업종 평가결과품의(040510)(1)" xfId="25489"/>
    <cellStyle name="백_SLIDE 폭_주단조 업종 평가결과품의(040416)(1)" xfId="25490"/>
    <cellStyle name="백_SLIDE 폭_주단조 업종 평가결과품의(040416)(1)_용접업종 평가결과품의(040510)" xfId="25491"/>
    <cellStyle name="백_SLIDE 폭_주단조 업종 평가결과품의(040416)(1)_용접업종 평가결과품의(040510)(1)" xfId="25492"/>
    <cellStyle name="백_SLIDE 폭_주단조 업종 평가결과품의(040416)(1)_주단조용접업종 평가결과품의(040510)(1)" xfId="25493"/>
    <cellStyle name="백_SLIDE 폭_최신-SQ인증업체현황1343사(03년평가완료031229수정)" xfId="25494"/>
    <cellStyle name="백_SLIDE 폭_최신-SQ인증업체현황1343사(03년평가완료031229수정)_용접업종 평가결과품의(040510)" xfId="25495"/>
    <cellStyle name="백_SLIDE 폭_최신-SQ인증업체현황1343사(03년평가완료031229수정)_용접업종 평가결과품의(040510)(1)" xfId="25496"/>
    <cellStyle name="백_SLIDE 폭_최신-SQ인증업체현황1343사(03년평가완료031229수정)_주단조용접업종 평가결과품의(040510)(1)" xfId="25497"/>
    <cellStyle name="백_도금 열처리 주단조 평가품의(040329)" xfId="25498"/>
    <cellStyle name="백_도금 열처리 주단조 평가품의(040329)_도금 열처리 주단조 평가품의(040329)" xfId="25499"/>
    <cellStyle name="백_도금 열처리 주단조 평가품의(040329)업체" xfId="25500"/>
    <cellStyle name="백_사전회의(1208)" xfId="25501"/>
    <cellStyle name="백_사전회의(1208)_ROTATION 유동" xfId="25502"/>
    <cellStyle name="백_사전회의(1208)_ROTATION 유동_도금 열처리 주단조 평가품의(040329)" xfId="25503"/>
    <cellStyle name="백_사전회의(1208)_ROTATION 유동_도금 열처리 주단조 평가품의(040329)_도금 열처리 주단조 평가품의(040329)" xfId="25504"/>
    <cellStyle name="백_사전회의(1208)_ROTATION 유동_도금 열처리 주단조 평가품의(040329)업체" xfId="25505"/>
    <cellStyle name="백_사전회의(1208)_ROTATION 유동_열처리결과품의(031017)개발" xfId="25506"/>
    <cellStyle name="백_사전회의(1208)_ROTATION 유동_열처리결과품의(031017)개발_도금 열처리 주단조 평가품의(040329)" xfId="25507"/>
    <cellStyle name="백_사전회의(1208)_ROTATION 유동_용접업종 평가결과품의(040510)" xfId="25508"/>
    <cellStyle name="백_사전회의(1208)_ROTATION 유동_용접업종 평가결과품의(040510)_용접업종 평가결과품의(040510)" xfId="25509"/>
    <cellStyle name="백_사전회의(1208)_ROTATION 유동_용접업종 평가결과품의(040510)_용접업종 평가결과품의(040510)(1)" xfId="25510"/>
    <cellStyle name="백_사전회의(1208)_ROTATION 유동_용접업종 평가결과품의(040510)_주단조용접업종 평가결과품의(040510)(1)" xfId="25511"/>
    <cellStyle name="백_사전회의(1208)_ROTATION 유동_주단조 업종 평가결과품의(040407)" xfId="25512"/>
    <cellStyle name="백_사전회의(1208)_ROTATION 유동_주단조 업종 평가결과품의(040407)_용접업종 평가결과품의(040510)" xfId="25513"/>
    <cellStyle name="백_사전회의(1208)_ROTATION 유동_주단조 업종 평가결과품의(040407)_용접업종 평가결과품의(040510)(1)" xfId="25514"/>
    <cellStyle name="백_사전회의(1208)_ROTATION 유동_주단조 업종 평가결과품의(040407)_주단조용접업종 평가결과품의(040510)(1)" xfId="25515"/>
    <cellStyle name="백_사전회의(1208)_ROTATION 유동_주단조 업종 평가결과품의(040416)(1)" xfId="25516"/>
    <cellStyle name="백_사전회의(1208)_ROTATION 유동_주단조 업종 평가결과품의(040416)(1)_용접업종 평가결과품의(040510)" xfId="25517"/>
    <cellStyle name="백_사전회의(1208)_ROTATION 유동_주단조 업종 평가결과품의(040416)(1)_용접업종 평가결과품의(040510)(1)" xfId="25518"/>
    <cellStyle name="백_사전회의(1208)_ROTATION 유동_주단조 업종 평가결과품의(040416)(1)_주단조용접업종 평가결과품의(040510)(1)" xfId="25519"/>
    <cellStyle name="백_사전회의(1208)_ROTATION 유동_최신-SQ인증업체현황1343사(03년평가완료031229수정)" xfId="25520"/>
    <cellStyle name="백_사전회의(1208)_ROTATION 유동_최신-SQ인증업체현황1343사(03년평가완료031229수정)_용접업종 평가결과품의(040510)" xfId="25521"/>
    <cellStyle name="백_사전회의(1208)_ROTATION 유동_최신-SQ인증업체현황1343사(03년평가완료031229수정)_용접업종 평가결과품의(040510)(1)" xfId="25522"/>
    <cellStyle name="백_사전회의(1208)_ROTATION 유동_최신-SQ인증업체현황1343사(03년평가완료031229수정)_주단조용접업종 평가결과품의(040510)(1)" xfId="25523"/>
    <cellStyle name="백_사전회의(1208)_SLIDE 폭" xfId="25524"/>
    <cellStyle name="백_사전회의(1208)_SLIDE 폭_도금 열처리 주단조 평가품의(040329)" xfId="25525"/>
    <cellStyle name="백_사전회의(1208)_SLIDE 폭_도금 열처리 주단조 평가품의(040329)_도금 열처리 주단조 평가품의(040329)" xfId="25526"/>
    <cellStyle name="백_사전회의(1208)_SLIDE 폭_도금 열처리 주단조 평가품의(040329)업체" xfId="25527"/>
    <cellStyle name="백_사전회의(1208)_SLIDE 폭_열처리결과품의(031017)개발" xfId="25528"/>
    <cellStyle name="백_사전회의(1208)_SLIDE 폭_열처리결과품의(031017)개발_도금 열처리 주단조 평가품의(040329)" xfId="25529"/>
    <cellStyle name="백_사전회의(1208)_SLIDE 폭_용접업종 평가결과품의(040510)" xfId="25530"/>
    <cellStyle name="백_사전회의(1208)_SLIDE 폭_용접업종 평가결과품의(040510)_용접업종 평가결과품의(040510)" xfId="25531"/>
    <cellStyle name="백_사전회의(1208)_SLIDE 폭_용접업종 평가결과품의(040510)_용접업종 평가결과품의(040510)(1)" xfId="25532"/>
    <cellStyle name="백_사전회의(1208)_SLIDE 폭_용접업종 평가결과품의(040510)_주단조용접업종 평가결과품의(040510)(1)" xfId="25533"/>
    <cellStyle name="백_사전회의(1208)_SLIDE 폭_주단조 업종 평가결과품의(040407)" xfId="25534"/>
    <cellStyle name="백_사전회의(1208)_SLIDE 폭_주단조 업종 평가결과품의(040407)_용접업종 평가결과품의(040510)" xfId="25535"/>
    <cellStyle name="백_사전회의(1208)_SLIDE 폭_주단조 업종 평가결과품의(040407)_용접업종 평가결과품의(040510)(1)" xfId="25536"/>
    <cellStyle name="백_사전회의(1208)_SLIDE 폭_주단조 업종 평가결과품의(040407)_주단조용접업종 평가결과품의(040510)(1)" xfId="25537"/>
    <cellStyle name="백_사전회의(1208)_SLIDE 폭_주단조 업종 평가결과품의(040416)(1)" xfId="25538"/>
    <cellStyle name="백_사전회의(1208)_SLIDE 폭_주단조 업종 평가결과품의(040416)(1)_용접업종 평가결과품의(040510)" xfId="25539"/>
    <cellStyle name="백_사전회의(1208)_SLIDE 폭_주단조 업종 평가결과품의(040416)(1)_용접업종 평가결과품의(040510)(1)" xfId="25540"/>
    <cellStyle name="백_사전회의(1208)_SLIDE 폭_주단조 업종 평가결과품의(040416)(1)_주단조용접업종 평가결과품의(040510)(1)" xfId="25541"/>
    <cellStyle name="백_사전회의(1208)_SLIDE 폭_최신-SQ인증업체현황1343사(03년평가완료031229수정)" xfId="25542"/>
    <cellStyle name="백_사전회의(1208)_SLIDE 폭_최신-SQ인증업체현황1343사(03년평가완료031229수정)_용접업종 평가결과품의(040510)" xfId="25543"/>
    <cellStyle name="백_사전회의(1208)_SLIDE 폭_최신-SQ인증업체현황1343사(03년평가완료031229수정)_용접업종 평가결과품의(040510)(1)" xfId="25544"/>
    <cellStyle name="백_사전회의(1208)_SLIDE 폭_최신-SQ인증업체현황1343사(03년평가완료031229수정)_주단조용접업종 평가결과품의(040510)(1)" xfId="25545"/>
    <cellStyle name="백_사전회의(1208)_도금 열처리 주단조 평가품의(040329)" xfId="25546"/>
    <cellStyle name="백_사전회의(1208)_도금 열처리 주단조 평가품의(040329)_도금 열처리 주단조 평가품의(040329)" xfId="25547"/>
    <cellStyle name="백_사전회의(1208)_도금 열처리 주단조 평가품의(040329)업체" xfId="25548"/>
    <cellStyle name="백_사전회의(1208)_새벽시장1" xfId="25549"/>
    <cellStyle name="백_사전회의(1208)_새벽시장1_도금 열처리 주단조 평가품의(040329)" xfId="25550"/>
    <cellStyle name="백_사전회의(1208)_새벽시장1_도금 열처리 주단조 평가품의(040329)_도금 열처리 주단조 평가품의(040329)" xfId="25551"/>
    <cellStyle name="백_사전회의(1208)_새벽시장1_도금 열처리 주단조 평가품의(040329)업체" xfId="25552"/>
    <cellStyle name="백_사전회의(1208)_새벽시장1_열처리결과품의(031017)개발" xfId="25553"/>
    <cellStyle name="백_사전회의(1208)_새벽시장1_열처리결과품의(031017)개발_도금 열처리 주단조 평가품의(040329)" xfId="25554"/>
    <cellStyle name="백_사전회의(1208)_새벽시장1_용접업종 평가결과품의(040510)" xfId="25555"/>
    <cellStyle name="백_사전회의(1208)_새벽시장1_용접업종 평가결과품의(040510)_용접업종 평가결과품의(040510)" xfId="25556"/>
    <cellStyle name="백_사전회의(1208)_새벽시장1_용접업종 평가결과품의(040510)_용접업종 평가결과품의(040510)(1)" xfId="25557"/>
    <cellStyle name="백_사전회의(1208)_새벽시장1_용접업종 평가결과품의(040510)_주단조용접업종 평가결과품의(040510)(1)" xfId="25558"/>
    <cellStyle name="백_사전회의(1208)_새벽시장1_주단조 업종 평가결과품의(040407)" xfId="25559"/>
    <cellStyle name="백_사전회의(1208)_새벽시장1_주단조 업종 평가결과품의(040407)_용접업종 평가결과품의(040510)" xfId="25560"/>
    <cellStyle name="백_사전회의(1208)_새벽시장1_주단조 업종 평가결과품의(040407)_용접업종 평가결과품의(040510)(1)" xfId="25561"/>
    <cellStyle name="백_사전회의(1208)_새벽시장1_주단조 업종 평가결과품의(040407)_주단조용접업종 평가결과품의(040510)(1)" xfId="25562"/>
    <cellStyle name="백_사전회의(1208)_새벽시장1_주단조 업종 평가결과품의(040416)(1)" xfId="25563"/>
    <cellStyle name="백_사전회의(1208)_새벽시장1_주단조 업종 평가결과품의(040416)(1)_용접업종 평가결과품의(040510)" xfId="25564"/>
    <cellStyle name="백_사전회의(1208)_새벽시장1_주단조 업종 평가결과품의(040416)(1)_용접업종 평가결과품의(040510)(1)" xfId="25565"/>
    <cellStyle name="백_사전회의(1208)_새벽시장1_주단조 업종 평가결과품의(040416)(1)_주단조용접업종 평가결과품의(040510)(1)" xfId="25566"/>
    <cellStyle name="백_사전회의(1208)_새벽시장1_최신-SQ인증업체현황1343사(03년평가완료031229수정)" xfId="25567"/>
    <cellStyle name="백_사전회의(1208)_새벽시장1_최신-SQ인증업체현황1343사(03년평가완료031229수정)_용접업종 평가결과품의(040510)" xfId="25568"/>
    <cellStyle name="백_사전회의(1208)_새벽시장1_최신-SQ인증업체현황1343사(03년평가완료031229수정)_용접업종 평가결과품의(040510)(1)" xfId="25569"/>
    <cellStyle name="백_사전회의(1208)_새벽시장1_최신-SQ인증업체현황1343사(03년평가완료031229수정)_주단조용접업종 평가결과품의(040510)(1)" xfId="25570"/>
    <cellStyle name="백_사전회의(1208)_새벽시장3" xfId="25571"/>
    <cellStyle name="백_사전회의(1208)_새벽시장3_도금 열처리 주단조 평가품의(040329)" xfId="25572"/>
    <cellStyle name="백_사전회의(1208)_새벽시장3_도금 열처리 주단조 평가품의(040329)_도금 열처리 주단조 평가품의(040329)" xfId="25573"/>
    <cellStyle name="백_사전회의(1208)_새벽시장3_도금 열처리 주단조 평가품의(040329)업체" xfId="25574"/>
    <cellStyle name="백_사전회의(1208)_새벽시장3_열처리결과품의(031017)개발" xfId="25575"/>
    <cellStyle name="백_사전회의(1208)_새벽시장3_열처리결과품의(031017)개발_도금 열처리 주단조 평가품의(040329)" xfId="25576"/>
    <cellStyle name="백_사전회의(1208)_새벽시장3_용접업종 평가결과품의(040510)" xfId="25577"/>
    <cellStyle name="백_사전회의(1208)_새벽시장3_용접업종 평가결과품의(040510)_용접업종 평가결과품의(040510)" xfId="25578"/>
    <cellStyle name="백_사전회의(1208)_새벽시장3_용접업종 평가결과품의(040510)_용접업종 평가결과품의(040510)(1)" xfId="25579"/>
    <cellStyle name="백_사전회의(1208)_새벽시장3_용접업종 평가결과품의(040510)_주단조용접업종 평가결과품의(040510)(1)" xfId="25580"/>
    <cellStyle name="백_사전회의(1208)_새벽시장3_주단조 업종 평가결과품의(040407)" xfId="25581"/>
    <cellStyle name="백_사전회의(1208)_새벽시장3_주단조 업종 평가결과품의(040407)_용접업종 평가결과품의(040510)" xfId="25582"/>
    <cellStyle name="백_사전회의(1208)_새벽시장3_주단조 업종 평가결과품의(040407)_용접업종 평가결과품의(040510)(1)" xfId="25583"/>
    <cellStyle name="백_사전회의(1208)_새벽시장3_주단조 업종 평가결과품의(040407)_주단조용접업종 평가결과품의(040510)(1)" xfId="25584"/>
    <cellStyle name="백_사전회의(1208)_새벽시장3_주단조 업종 평가결과품의(040416)(1)" xfId="25585"/>
    <cellStyle name="백_사전회의(1208)_새벽시장3_주단조 업종 평가결과품의(040416)(1)_용접업종 평가결과품의(040510)" xfId="25586"/>
    <cellStyle name="백_사전회의(1208)_새벽시장3_주단조 업종 평가결과품의(040416)(1)_용접업종 평가결과품의(040510)(1)" xfId="25587"/>
    <cellStyle name="백_사전회의(1208)_새벽시장3_주단조 업종 평가결과품의(040416)(1)_주단조용접업종 평가결과품의(040510)(1)" xfId="25588"/>
    <cellStyle name="백_사전회의(1208)_새벽시장3_최신-SQ인증업체현황1343사(03년평가완료031229수정)" xfId="25589"/>
    <cellStyle name="백_사전회의(1208)_새벽시장3_최신-SQ인증업체현황1343사(03년평가완료031229수정)_용접업종 평가결과품의(040510)" xfId="25590"/>
    <cellStyle name="백_사전회의(1208)_새벽시장3_최신-SQ인증업체현황1343사(03년평가완료031229수정)_용접업종 평가결과품의(040510)(1)" xfId="25591"/>
    <cellStyle name="백_사전회의(1208)_새벽시장3_최신-SQ인증업체현황1343사(03년평가완료031229수정)_주단조용접업종 평가결과품의(040510)(1)" xfId="25592"/>
    <cellStyle name="백_사전회의(1208)_새벽시장5" xfId="25593"/>
    <cellStyle name="백_사전회의(1208)_새벽시장5_도금 열처리 주단조 평가품의(040329)" xfId="25594"/>
    <cellStyle name="백_사전회의(1208)_새벽시장5_도금 열처리 주단조 평가품의(040329)_도금 열처리 주단조 평가품의(040329)" xfId="25595"/>
    <cellStyle name="백_사전회의(1208)_새벽시장5_도금 열처리 주단조 평가품의(040329)업체" xfId="25596"/>
    <cellStyle name="백_사전회의(1208)_새벽시장5_열처리결과품의(031017)개발" xfId="25597"/>
    <cellStyle name="백_사전회의(1208)_새벽시장5_열처리결과품의(031017)개발_도금 열처리 주단조 평가품의(040329)" xfId="25598"/>
    <cellStyle name="백_사전회의(1208)_새벽시장5_용접업종 평가결과품의(040510)" xfId="25599"/>
    <cellStyle name="백_사전회의(1208)_새벽시장5_용접업종 평가결과품의(040510)_용접업종 평가결과품의(040510)" xfId="25600"/>
    <cellStyle name="백_사전회의(1208)_새벽시장5_용접업종 평가결과품의(040510)_용접업종 평가결과품의(040510)(1)" xfId="25601"/>
    <cellStyle name="백_사전회의(1208)_새벽시장5_용접업종 평가결과품의(040510)_주단조용접업종 평가결과품의(040510)(1)" xfId="25602"/>
    <cellStyle name="백_사전회의(1208)_새벽시장5_주단조 업종 평가결과품의(040407)" xfId="25603"/>
    <cellStyle name="백_사전회의(1208)_새벽시장5_주단조 업종 평가결과품의(040407)_용접업종 평가결과품의(040510)" xfId="25604"/>
    <cellStyle name="백_사전회의(1208)_새벽시장5_주단조 업종 평가결과품의(040407)_용접업종 평가결과품의(040510)(1)" xfId="25605"/>
    <cellStyle name="백_사전회의(1208)_새벽시장5_주단조 업종 평가결과품의(040407)_주단조용접업종 평가결과품의(040510)(1)" xfId="25606"/>
    <cellStyle name="백_사전회의(1208)_새벽시장5_주단조 업종 평가결과품의(040416)(1)" xfId="25607"/>
    <cellStyle name="백_사전회의(1208)_새벽시장5_주단조 업종 평가결과품의(040416)(1)_용접업종 평가결과품의(040510)" xfId="25608"/>
    <cellStyle name="백_사전회의(1208)_새벽시장5_주단조 업종 평가결과품의(040416)(1)_용접업종 평가결과품의(040510)(1)" xfId="25609"/>
    <cellStyle name="백_사전회의(1208)_새벽시장5_주단조 업종 평가결과품의(040416)(1)_주단조용접업종 평가결과품의(040510)(1)" xfId="25610"/>
    <cellStyle name="백_사전회의(1208)_새벽시장5_최신-SQ인증업체현황1343사(03년평가완료031229수정)" xfId="25611"/>
    <cellStyle name="백_사전회의(1208)_새벽시장5_최신-SQ인증업체현황1343사(03년평가완료031229수정)_용접업종 평가결과품의(040510)" xfId="25612"/>
    <cellStyle name="백_사전회의(1208)_새벽시장5_최신-SQ인증업체현황1343사(03년평가완료031229수정)_용접업종 평가결과품의(040510)(1)" xfId="25613"/>
    <cellStyle name="백_사전회의(1208)_새벽시장5_최신-SQ인증업체현황1343사(03년평가완료031229수정)_주단조용접업종 평가결과품의(040510)(1)" xfId="25614"/>
    <cellStyle name="백_사전회의(1208)_새벽시장7" xfId="25615"/>
    <cellStyle name="백_사전회의(1208)_새벽시장7_도금 열처리 주단조 평가품의(040329)" xfId="25616"/>
    <cellStyle name="백_사전회의(1208)_새벽시장7_도금 열처리 주단조 평가품의(040329)_도금 열처리 주단조 평가품의(040329)" xfId="25617"/>
    <cellStyle name="백_사전회의(1208)_새벽시장7_도금 열처리 주단조 평가품의(040329)업체" xfId="25618"/>
    <cellStyle name="백_사전회의(1208)_새벽시장7_열처리결과품의(031017)개발" xfId="25619"/>
    <cellStyle name="백_사전회의(1208)_새벽시장7_열처리결과품의(031017)개발_도금 열처리 주단조 평가품의(040329)" xfId="25620"/>
    <cellStyle name="백_사전회의(1208)_새벽시장7_용접업종 평가결과품의(040510)" xfId="25621"/>
    <cellStyle name="백_사전회의(1208)_새벽시장7_용접업종 평가결과품의(040510)_용접업종 평가결과품의(040510)" xfId="25622"/>
    <cellStyle name="백_사전회의(1208)_새벽시장7_용접업종 평가결과품의(040510)_용접업종 평가결과품의(040510)(1)" xfId="25623"/>
    <cellStyle name="백_사전회의(1208)_새벽시장7_용접업종 평가결과품의(040510)_주단조용접업종 평가결과품의(040510)(1)" xfId="25624"/>
    <cellStyle name="백_사전회의(1208)_새벽시장7_주단조 업종 평가결과품의(040407)" xfId="25625"/>
    <cellStyle name="백_사전회의(1208)_새벽시장7_주단조 업종 평가결과품의(040407)_용접업종 평가결과품의(040510)" xfId="25626"/>
    <cellStyle name="백_사전회의(1208)_새벽시장7_주단조 업종 평가결과품의(040407)_용접업종 평가결과품의(040510)(1)" xfId="25627"/>
    <cellStyle name="백_사전회의(1208)_새벽시장7_주단조 업종 평가결과품의(040407)_주단조용접업종 평가결과품의(040510)(1)" xfId="25628"/>
    <cellStyle name="백_사전회의(1208)_새벽시장7_주단조 업종 평가결과품의(040416)(1)" xfId="25629"/>
    <cellStyle name="백_사전회의(1208)_새벽시장7_주단조 업종 평가결과품의(040416)(1)_용접업종 평가결과품의(040510)" xfId="25630"/>
    <cellStyle name="백_사전회의(1208)_새벽시장7_주단조 업종 평가결과품의(040416)(1)_용접업종 평가결과품의(040510)(1)" xfId="25631"/>
    <cellStyle name="백_사전회의(1208)_새벽시장7_주단조 업종 평가결과품의(040416)(1)_주단조용접업종 평가결과품의(040510)(1)" xfId="25632"/>
    <cellStyle name="백_사전회의(1208)_새벽시장7_최신-SQ인증업체현황1343사(03년평가완료031229수정)" xfId="25633"/>
    <cellStyle name="백_사전회의(1208)_새벽시장7_최신-SQ인증업체현황1343사(03년평가완료031229수정)_용접업종 평가결과품의(040510)" xfId="25634"/>
    <cellStyle name="백_사전회의(1208)_새벽시장7_최신-SQ인증업체현황1343사(03년평가완료031229수정)_용접업종 평가결과품의(040510)(1)" xfId="25635"/>
    <cellStyle name="백_사전회의(1208)_새벽시장7_최신-SQ인증업체현황1343사(03년평가완료031229수정)_주단조용접업종 평가결과품의(040510)(1)" xfId="25636"/>
    <cellStyle name="백_사전회의(1208)_새벽시장8.10xls" xfId="25637"/>
    <cellStyle name="백_사전회의(1208)_새벽시장8.10xls_도금 열처리 주단조 평가품의(040329)" xfId="25638"/>
    <cellStyle name="백_사전회의(1208)_새벽시장8.10xls_도금 열처리 주단조 평가품의(040329)_도금 열처리 주단조 평가품의(040329)" xfId="25639"/>
    <cellStyle name="백_사전회의(1208)_새벽시장8.10xls_도금 열처리 주단조 평가품의(040329)업체" xfId="25640"/>
    <cellStyle name="백_사전회의(1208)_새벽시장8.10xls_열처리결과품의(031017)개발" xfId="25641"/>
    <cellStyle name="백_사전회의(1208)_새벽시장8.10xls_열처리결과품의(031017)개발_도금 열처리 주단조 평가품의(040329)" xfId="25642"/>
    <cellStyle name="백_사전회의(1208)_새벽시장8.10xls_용접업종 평가결과품의(040510)" xfId="25643"/>
    <cellStyle name="백_사전회의(1208)_새벽시장8.10xls_용접업종 평가결과품의(040510)_용접업종 평가결과품의(040510)" xfId="25644"/>
    <cellStyle name="백_사전회의(1208)_새벽시장8.10xls_용접업종 평가결과품의(040510)_용접업종 평가결과품의(040510)(1)" xfId="25645"/>
    <cellStyle name="백_사전회의(1208)_새벽시장8.10xls_용접업종 평가결과품의(040510)_주단조용접업종 평가결과품의(040510)(1)" xfId="25646"/>
    <cellStyle name="백_사전회의(1208)_새벽시장8.10xls_주단조 업종 평가결과품의(040407)" xfId="25647"/>
    <cellStyle name="백_사전회의(1208)_새벽시장8.10xls_주단조 업종 평가결과품의(040407)_용접업종 평가결과품의(040510)" xfId="25648"/>
    <cellStyle name="백_사전회의(1208)_새벽시장8.10xls_주단조 업종 평가결과품의(040407)_용접업종 평가결과품의(040510)(1)" xfId="25649"/>
    <cellStyle name="백_사전회의(1208)_새벽시장8.10xls_주단조 업종 평가결과품의(040407)_주단조용접업종 평가결과품의(040510)(1)" xfId="25650"/>
    <cellStyle name="백_사전회의(1208)_새벽시장8.10xls_주단조 업종 평가결과품의(040416)(1)" xfId="25651"/>
    <cellStyle name="백_사전회의(1208)_새벽시장8.10xls_주단조 업종 평가결과품의(040416)(1)_용접업종 평가결과품의(040510)" xfId="25652"/>
    <cellStyle name="백_사전회의(1208)_새벽시장8.10xls_주단조 업종 평가결과품의(040416)(1)_용접업종 평가결과품의(040510)(1)" xfId="25653"/>
    <cellStyle name="백_사전회의(1208)_새벽시장8.10xls_주단조 업종 평가결과품의(040416)(1)_주단조용접업종 평가결과품의(040510)(1)" xfId="25654"/>
    <cellStyle name="백_사전회의(1208)_새벽시장8.10xls_최신-SQ인증업체현황1343사(03년평가완료031229수정)" xfId="25655"/>
    <cellStyle name="백_사전회의(1208)_새벽시장8.10xls_최신-SQ인증업체현황1343사(03년평가완료031229수정)_용접업종 평가결과품의(040510)" xfId="25656"/>
    <cellStyle name="백_사전회의(1208)_새벽시장8.10xls_최신-SQ인증업체현황1343사(03년평가완료031229수정)_용접업종 평가결과품의(040510)(1)" xfId="25657"/>
    <cellStyle name="백_사전회의(1208)_새벽시장8.10xls_최신-SQ인증업체현황1343사(03년평가완료031229수정)_주단조용접업종 평가결과품의(040510)(1)" xfId="25658"/>
    <cellStyle name="백_사전회의(1208)_새벽시장8.26xls" xfId="25659"/>
    <cellStyle name="백_사전회의(1208)_새벽시장8.26xls_도금 열처리 주단조 평가품의(040329)" xfId="25660"/>
    <cellStyle name="백_사전회의(1208)_새벽시장8.26xls_도금 열처리 주단조 평가품의(040329)_도금 열처리 주단조 평가품의(040329)" xfId="25661"/>
    <cellStyle name="백_사전회의(1208)_새벽시장8.26xls_도금 열처리 주단조 평가품의(040329)업체" xfId="25662"/>
    <cellStyle name="백_사전회의(1208)_새벽시장8.26xls_열처리결과품의(031017)개발" xfId="25663"/>
    <cellStyle name="백_사전회의(1208)_새벽시장8.26xls_열처리결과품의(031017)개발_도금 열처리 주단조 평가품의(040329)" xfId="25664"/>
    <cellStyle name="백_사전회의(1208)_새벽시장8.26xls_용접업종 평가결과품의(040510)" xfId="25665"/>
    <cellStyle name="백_사전회의(1208)_새벽시장8.26xls_용접업종 평가결과품의(040510)_용접업종 평가결과품의(040510)" xfId="25666"/>
    <cellStyle name="백_사전회의(1208)_새벽시장8.26xls_용접업종 평가결과품의(040510)_용접업종 평가결과품의(040510)(1)" xfId="25667"/>
    <cellStyle name="백_사전회의(1208)_새벽시장8.26xls_용접업종 평가결과품의(040510)_주단조용접업종 평가결과품의(040510)(1)" xfId="25668"/>
    <cellStyle name="백_사전회의(1208)_새벽시장8.26xls_주단조 업종 평가결과품의(040407)" xfId="25669"/>
    <cellStyle name="백_사전회의(1208)_새벽시장8.26xls_주단조 업종 평가결과품의(040407)_용접업종 평가결과품의(040510)" xfId="25670"/>
    <cellStyle name="백_사전회의(1208)_새벽시장8.26xls_주단조 업종 평가결과품의(040407)_용접업종 평가결과품의(040510)(1)" xfId="25671"/>
    <cellStyle name="백_사전회의(1208)_새벽시장8.26xls_주단조 업종 평가결과품의(040407)_주단조용접업종 평가결과품의(040510)(1)" xfId="25672"/>
    <cellStyle name="백_사전회의(1208)_새벽시장8.26xls_주단조 업종 평가결과품의(040416)(1)" xfId="25673"/>
    <cellStyle name="백_사전회의(1208)_새벽시장8.26xls_주단조 업종 평가결과품의(040416)(1)_용접업종 평가결과품의(040510)" xfId="25674"/>
    <cellStyle name="백_사전회의(1208)_새벽시장8.26xls_주단조 업종 평가결과품의(040416)(1)_용접업종 평가결과품의(040510)(1)" xfId="25675"/>
    <cellStyle name="백_사전회의(1208)_새벽시장8.26xls_주단조 업종 평가결과품의(040416)(1)_주단조용접업종 평가결과품의(040510)(1)" xfId="25676"/>
    <cellStyle name="백_사전회의(1208)_새벽시장8.26xls_최신-SQ인증업체현황1343사(03년평가완료031229수정)" xfId="25677"/>
    <cellStyle name="백_사전회의(1208)_새벽시장8.26xls_최신-SQ인증업체현황1343사(03년평가완료031229수정)_용접업종 평가결과품의(040510)" xfId="25678"/>
    <cellStyle name="백_사전회의(1208)_새벽시장8.26xls_최신-SQ인증업체현황1343사(03년평가완료031229수정)_용접업종 평가결과품의(040510)(1)" xfId="25679"/>
    <cellStyle name="백_사전회의(1208)_새벽시장8.26xls_최신-SQ인증업체현황1343사(03년평가완료031229수정)_주단조용접업종 평가결과품의(040510)(1)" xfId="25680"/>
    <cellStyle name="백_사전회의(1208)_새벽시장9.16" xfId="25681"/>
    <cellStyle name="백_사전회의(1208)_새벽시장9.16_도금 열처리 주단조 평가품의(040329)" xfId="25682"/>
    <cellStyle name="백_사전회의(1208)_새벽시장9.16_도금 열처리 주단조 평가품의(040329)_도금 열처리 주단조 평가품의(040329)" xfId="25683"/>
    <cellStyle name="백_사전회의(1208)_새벽시장9.16_도금 열처리 주단조 평가품의(040329)업체" xfId="25684"/>
    <cellStyle name="백_사전회의(1208)_새벽시장9.16_열처리결과품의(031017)개발" xfId="25685"/>
    <cellStyle name="백_사전회의(1208)_새벽시장9.16_열처리결과품의(031017)개발_도금 열처리 주단조 평가품의(040329)" xfId="25686"/>
    <cellStyle name="백_사전회의(1208)_새벽시장9.16_용접업종 평가결과품의(040510)" xfId="25687"/>
    <cellStyle name="백_사전회의(1208)_새벽시장9.16_용접업종 평가결과품의(040510)_용접업종 평가결과품의(040510)" xfId="25688"/>
    <cellStyle name="백_사전회의(1208)_새벽시장9.16_용접업종 평가결과품의(040510)_용접업종 평가결과품의(040510)(1)" xfId="25689"/>
    <cellStyle name="백_사전회의(1208)_새벽시장9.16_용접업종 평가결과품의(040510)_주단조용접업종 평가결과품의(040510)(1)" xfId="25690"/>
    <cellStyle name="백_사전회의(1208)_새벽시장9.16_주단조 업종 평가결과품의(040407)" xfId="25691"/>
    <cellStyle name="백_사전회의(1208)_새벽시장9.16_주단조 업종 평가결과품의(040407)_용접업종 평가결과품의(040510)" xfId="25692"/>
    <cellStyle name="백_사전회의(1208)_새벽시장9.16_주단조 업종 평가결과품의(040407)_용접업종 평가결과품의(040510)(1)" xfId="25693"/>
    <cellStyle name="백_사전회의(1208)_새벽시장9.16_주단조 업종 평가결과품의(040407)_주단조용접업종 평가결과품의(040510)(1)" xfId="25694"/>
    <cellStyle name="백_사전회의(1208)_새벽시장9.16_주단조 업종 평가결과품의(040416)(1)" xfId="25695"/>
    <cellStyle name="백_사전회의(1208)_새벽시장9.16_주단조 업종 평가결과품의(040416)(1)_용접업종 평가결과품의(040510)" xfId="25696"/>
    <cellStyle name="백_사전회의(1208)_새벽시장9.16_주단조 업종 평가결과품의(040416)(1)_용접업종 평가결과품의(040510)(1)" xfId="25697"/>
    <cellStyle name="백_사전회의(1208)_새벽시장9.16_주단조 업종 평가결과품의(040416)(1)_주단조용접업종 평가결과품의(040510)(1)" xfId="25698"/>
    <cellStyle name="백_사전회의(1208)_새벽시장9.16_최신-SQ인증업체현황1343사(03년평가완료031229수정)" xfId="25699"/>
    <cellStyle name="백_사전회의(1208)_새벽시장9.16_최신-SQ인증업체현황1343사(03년평가완료031229수정)_용접업종 평가결과품의(040510)" xfId="25700"/>
    <cellStyle name="백_사전회의(1208)_새벽시장9.16_최신-SQ인증업체현황1343사(03년평가완료031229수정)_용접업종 평가결과품의(040510)(1)" xfId="25701"/>
    <cellStyle name="백_사전회의(1208)_새벽시장9.16_최신-SQ인증업체현황1343사(03년평가완료031229수정)_주단조용접업종 평가결과품의(040510)(1)" xfId="25702"/>
    <cellStyle name="백_사전회의(1208)_열처리결과품의(031017)개발" xfId="25703"/>
    <cellStyle name="백_사전회의(1208)_열처리결과품의(031017)개발_도금 열처리 주단조 평가품의(040329)" xfId="25704"/>
    <cellStyle name="백_사전회의(1208)_용접업종 평가결과품의(040510)" xfId="25705"/>
    <cellStyle name="백_사전회의(1208)_용접업종 평가결과품의(040510)_용접업종 평가결과품의(040510)" xfId="25706"/>
    <cellStyle name="백_사전회의(1208)_용접업종 평가결과품의(040510)_용접업종 평가결과품의(040510)(1)" xfId="25707"/>
    <cellStyle name="백_사전회의(1208)_용접업종 평가결과품의(040510)_주단조용접업종 평가결과품의(040510)(1)" xfId="25708"/>
    <cellStyle name="백_사전회의(1208)_주단조 업종 평가결과품의(040407)" xfId="25709"/>
    <cellStyle name="백_사전회의(1208)_주단조 업종 평가결과품의(040407)_용접업종 평가결과품의(040510)" xfId="25710"/>
    <cellStyle name="백_사전회의(1208)_주단조 업종 평가결과품의(040407)_용접업종 평가결과품의(040510)(1)" xfId="25711"/>
    <cellStyle name="백_사전회의(1208)_주단조 업종 평가결과품의(040407)_주단조용접업종 평가결과품의(040510)(1)" xfId="25712"/>
    <cellStyle name="백_사전회의(1208)_주단조 업종 평가결과품의(040416)(1)" xfId="25713"/>
    <cellStyle name="백_사전회의(1208)_주단조 업종 평가결과품의(040416)(1)_용접업종 평가결과품의(040510)" xfId="25714"/>
    <cellStyle name="백_사전회의(1208)_주단조 업종 평가결과품의(040416)(1)_용접업종 평가결과품의(040510)(1)" xfId="25715"/>
    <cellStyle name="백_사전회의(1208)_주단조 업종 평가결과품의(040416)(1)_주단조용접업종 평가결과품의(040510)(1)" xfId="25716"/>
    <cellStyle name="백_사전회의(1208)_최신-SQ인증업체현황1343사(03년평가완료031229수정)" xfId="25717"/>
    <cellStyle name="백_사전회의(1208)_최신-SQ인증업체현황1343사(03년평가완료031229수정)_용접업종 평가결과품의(040510)" xfId="25718"/>
    <cellStyle name="백_사전회의(1208)_최신-SQ인증업체현황1343사(03년평가완료031229수정)_용접업종 평가결과품의(040510)(1)" xfId="25719"/>
    <cellStyle name="백_사전회의(1208)_최신-SQ인증업체현황1343사(03년평가완료031229수정)_주단조용접업종 평가결과품의(040510)(1)" xfId="25720"/>
    <cellStyle name="백_새벽시장1" xfId="25721"/>
    <cellStyle name="백_새벽시장1_도금 열처리 주단조 평가품의(040329)" xfId="25722"/>
    <cellStyle name="백_새벽시장1_도금 열처리 주단조 평가품의(040329)_도금 열처리 주단조 평가품의(040329)" xfId="25723"/>
    <cellStyle name="백_새벽시장1_도금 열처리 주단조 평가품의(040329)업체" xfId="25724"/>
    <cellStyle name="백_새벽시장1_열처리결과품의(031017)개발" xfId="25725"/>
    <cellStyle name="백_새벽시장1_열처리결과품의(031017)개발_도금 열처리 주단조 평가품의(040329)" xfId="25726"/>
    <cellStyle name="백_새벽시장1_용접업종 평가결과품의(040510)" xfId="25727"/>
    <cellStyle name="백_새벽시장1_용접업종 평가결과품의(040510)_용접업종 평가결과품의(040510)" xfId="25728"/>
    <cellStyle name="백_새벽시장1_용접업종 평가결과품의(040510)_용접업종 평가결과품의(040510)(1)" xfId="25729"/>
    <cellStyle name="백_새벽시장1_용접업종 평가결과품의(040510)_주단조용접업종 평가결과품의(040510)(1)" xfId="25730"/>
    <cellStyle name="백_새벽시장1_주단조 업종 평가결과품의(040407)" xfId="25731"/>
    <cellStyle name="백_새벽시장1_주단조 업종 평가결과품의(040407)_용접업종 평가결과품의(040510)" xfId="25732"/>
    <cellStyle name="백_새벽시장1_주단조 업종 평가결과품의(040407)_용접업종 평가결과품의(040510)(1)" xfId="25733"/>
    <cellStyle name="백_새벽시장1_주단조 업종 평가결과품의(040407)_주단조용접업종 평가결과품의(040510)(1)" xfId="25734"/>
    <cellStyle name="백_새벽시장1_주단조 업종 평가결과품의(040416)(1)" xfId="25735"/>
    <cellStyle name="백_새벽시장1_주단조 업종 평가결과품의(040416)(1)_용접업종 평가결과품의(040510)" xfId="25736"/>
    <cellStyle name="백_새벽시장1_주단조 업종 평가결과품의(040416)(1)_용접업종 평가결과품의(040510)(1)" xfId="25737"/>
    <cellStyle name="백_새벽시장1_주단조 업종 평가결과품의(040416)(1)_주단조용접업종 평가결과품의(040510)(1)" xfId="25738"/>
    <cellStyle name="백_새벽시장1_최신-SQ인증업체현황1343사(03년평가완료031229수정)" xfId="25739"/>
    <cellStyle name="백_새벽시장1_최신-SQ인증업체현황1343사(03년평가완료031229수정)_용접업종 평가결과품의(040510)" xfId="25740"/>
    <cellStyle name="백_새벽시장1_최신-SQ인증업체현황1343사(03년평가완료031229수정)_용접업종 평가결과품의(040510)(1)" xfId="25741"/>
    <cellStyle name="백_새벽시장1_최신-SQ인증업체현황1343사(03년평가완료031229수정)_주단조용접업종 평가결과품의(040510)(1)" xfId="25742"/>
    <cellStyle name="백_새벽시장3" xfId="25743"/>
    <cellStyle name="백_새벽시장3_도금 열처리 주단조 평가품의(040329)" xfId="25744"/>
    <cellStyle name="백_새벽시장3_도금 열처리 주단조 평가품의(040329)_도금 열처리 주단조 평가품의(040329)" xfId="25745"/>
    <cellStyle name="백_새벽시장3_도금 열처리 주단조 평가품의(040329)업체" xfId="25746"/>
    <cellStyle name="백_새벽시장3_열처리결과품의(031017)개발" xfId="25747"/>
    <cellStyle name="백_새벽시장3_열처리결과품의(031017)개발_도금 열처리 주단조 평가품의(040329)" xfId="25748"/>
    <cellStyle name="백_새벽시장3_용접업종 평가결과품의(040510)" xfId="25749"/>
    <cellStyle name="백_새벽시장3_용접업종 평가결과품의(040510)_용접업종 평가결과품의(040510)" xfId="25750"/>
    <cellStyle name="백_새벽시장3_용접업종 평가결과품의(040510)_용접업종 평가결과품의(040510)(1)" xfId="25751"/>
    <cellStyle name="백_새벽시장3_용접업종 평가결과품의(040510)_주단조용접업종 평가결과품의(040510)(1)" xfId="25752"/>
    <cellStyle name="백_새벽시장3_주단조 업종 평가결과품의(040407)" xfId="25753"/>
    <cellStyle name="백_새벽시장3_주단조 업종 평가결과품의(040407)_용접업종 평가결과품의(040510)" xfId="25754"/>
    <cellStyle name="백_새벽시장3_주단조 업종 평가결과품의(040407)_용접업종 평가결과품의(040510)(1)" xfId="25755"/>
    <cellStyle name="백_새벽시장3_주단조 업종 평가결과품의(040407)_주단조용접업종 평가결과품의(040510)(1)" xfId="25756"/>
    <cellStyle name="백_새벽시장3_주단조 업종 평가결과품의(040416)(1)" xfId="25757"/>
    <cellStyle name="백_새벽시장3_주단조 업종 평가결과품의(040416)(1)_용접업종 평가결과품의(040510)" xfId="25758"/>
    <cellStyle name="백_새벽시장3_주단조 업종 평가결과품의(040416)(1)_용접업종 평가결과품의(040510)(1)" xfId="25759"/>
    <cellStyle name="백_새벽시장3_주단조 업종 평가결과품의(040416)(1)_주단조용접업종 평가결과품의(040510)(1)" xfId="25760"/>
    <cellStyle name="백_새벽시장3_최신-SQ인증업체현황1343사(03년평가완료031229수정)" xfId="25761"/>
    <cellStyle name="백_새벽시장3_최신-SQ인증업체현황1343사(03년평가완료031229수정)_용접업종 평가결과품의(040510)" xfId="25762"/>
    <cellStyle name="백_새벽시장3_최신-SQ인증업체현황1343사(03년평가완료031229수정)_용접업종 평가결과품의(040510)(1)" xfId="25763"/>
    <cellStyle name="백_새벽시장3_최신-SQ인증업체현황1343사(03년평가완료031229수정)_주단조용접업종 평가결과품의(040510)(1)" xfId="25764"/>
    <cellStyle name="백_새벽시장5" xfId="25765"/>
    <cellStyle name="백_새벽시장5_도금 열처리 주단조 평가품의(040329)" xfId="25766"/>
    <cellStyle name="백_새벽시장5_도금 열처리 주단조 평가품의(040329)_도금 열처리 주단조 평가품의(040329)" xfId="25767"/>
    <cellStyle name="백_새벽시장5_도금 열처리 주단조 평가품의(040329)업체" xfId="25768"/>
    <cellStyle name="백_새벽시장5_열처리결과품의(031017)개발" xfId="25769"/>
    <cellStyle name="백_새벽시장5_열처리결과품의(031017)개발_도금 열처리 주단조 평가품의(040329)" xfId="25770"/>
    <cellStyle name="백_새벽시장5_용접업종 평가결과품의(040510)" xfId="25771"/>
    <cellStyle name="백_새벽시장5_용접업종 평가결과품의(040510)_용접업종 평가결과품의(040510)" xfId="25772"/>
    <cellStyle name="백_새벽시장5_용접업종 평가결과품의(040510)_용접업종 평가결과품의(040510)(1)" xfId="25773"/>
    <cellStyle name="백_새벽시장5_용접업종 평가결과품의(040510)_주단조용접업종 평가결과품의(040510)(1)" xfId="25774"/>
    <cellStyle name="백_새벽시장5_주단조 업종 평가결과품의(040407)" xfId="25775"/>
    <cellStyle name="백_새벽시장5_주단조 업종 평가결과품의(040407)_용접업종 평가결과품의(040510)" xfId="25776"/>
    <cellStyle name="백_새벽시장5_주단조 업종 평가결과품의(040407)_용접업종 평가결과품의(040510)(1)" xfId="25777"/>
    <cellStyle name="백_새벽시장5_주단조 업종 평가결과품의(040407)_주단조용접업종 평가결과품의(040510)(1)" xfId="25778"/>
    <cellStyle name="백_새벽시장5_주단조 업종 평가결과품의(040416)(1)" xfId="25779"/>
    <cellStyle name="백_새벽시장5_주단조 업종 평가결과품의(040416)(1)_용접업종 평가결과품의(040510)" xfId="25780"/>
    <cellStyle name="백_새벽시장5_주단조 업종 평가결과품의(040416)(1)_용접업종 평가결과품의(040510)(1)" xfId="25781"/>
    <cellStyle name="백_새벽시장5_주단조 업종 평가결과품의(040416)(1)_주단조용접업종 평가결과품의(040510)(1)" xfId="25782"/>
    <cellStyle name="백_새벽시장5_최신-SQ인증업체현황1343사(03년평가완료031229수정)" xfId="25783"/>
    <cellStyle name="백_새벽시장5_최신-SQ인증업체현황1343사(03년평가완료031229수정)_용접업종 평가결과품의(040510)" xfId="25784"/>
    <cellStyle name="백_새벽시장5_최신-SQ인증업체현황1343사(03년평가완료031229수정)_용접업종 평가결과품의(040510)(1)" xfId="25785"/>
    <cellStyle name="백_새벽시장5_최신-SQ인증업체현황1343사(03년평가완료031229수정)_주단조용접업종 평가결과품의(040510)(1)" xfId="25786"/>
    <cellStyle name="백_새벽시장7" xfId="25787"/>
    <cellStyle name="백_새벽시장7_도금 열처리 주단조 평가품의(040329)" xfId="25788"/>
    <cellStyle name="백_새벽시장7_도금 열처리 주단조 평가품의(040329)_도금 열처리 주단조 평가품의(040329)" xfId="25789"/>
    <cellStyle name="백_새벽시장7_도금 열처리 주단조 평가품의(040329)업체" xfId="25790"/>
    <cellStyle name="백_새벽시장7_열처리결과품의(031017)개발" xfId="25791"/>
    <cellStyle name="백_새벽시장7_열처리결과품의(031017)개발_도금 열처리 주단조 평가품의(040329)" xfId="25792"/>
    <cellStyle name="백_새벽시장7_용접업종 평가결과품의(040510)" xfId="25793"/>
    <cellStyle name="백_새벽시장7_용접업종 평가결과품의(040510)_용접업종 평가결과품의(040510)" xfId="25794"/>
    <cellStyle name="백_새벽시장7_용접업종 평가결과품의(040510)_용접업종 평가결과품의(040510)(1)" xfId="25795"/>
    <cellStyle name="백_새벽시장7_용접업종 평가결과품의(040510)_주단조용접업종 평가결과품의(040510)(1)" xfId="25796"/>
    <cellStyle name="백_새벽시장7_주단조 업종 평가결과품의(040407)" xfId="25797"/>
    <cellStyle name="백_새벽시장7_주단조 업종 평가결과품의(040407)_용접업종 평가결과품의(040510)" xfId="25798"/>
    <cellStyle name="백_새벽시장7_주단조 업종 평가결과품의(040407)_용접업종 평가결과품의(040510)(1)" xfId="25799"/>
    <cellStyle name="백_새벽시장7_주단조 업종 평가결과품의(040407)_주단조용접업종 평가결과품의(040510)(1)" xfId="25800"/>
    <cellStyle name="백_새벽시장7_주단조 업종 평가결과품의(040416)(1)" xfId="25801"/>
    <cellStyle name="백_새벽시장7_주단조 업종 평가결과품의(040416)(1)_용접업종 평가결과품의(040510)" xfId="25802"/>
    <cellStyle name="백_새벽시장7_주단조 업종 평가결과품의(040416)(1)_용접업종 평가결과품의(040510)(1)" xfId="25803"/>
    <cellStyle name="백_새벽시장7_주단조 업종 평가결과품의(040416)(1)_주단조용접업종 평가결과품의(040510)(1)" xfId="25804"/>
    <cellStyle name="백_새벽시장7_최신-SQ인증업체현황1343사(03년평가완료031229수정)" xfId="25805"/>
    <cellStyle name="백_새벽시장7_최신-SQ인증업체현황1343사(03년평가완료031229수정)_용접업종 평가결과품의(040510)" xfId="25806"/>
    <cellStyle name="백_새벽시장7_최신-SQ인증업체현황1343사(03년평가완료031229수정)_용접업종 평가결과품의(040510)(1)" xfId="25807"/>
    <cellStyle name="백_새벽시장7_최신-SQ인증업체현황1343사(03년평가완료031229수정)_주단조용접업종 평가결과품의(040510)(1)" xfId="25808"/>
    <cellStyle name="백_새벽시장8.10xls" xfId="25809"/>
    <cellStyle name="백_새벽시장8.10xls_도금 열처리 주단조 평가품의(040329)" xfId="25810"/>
    <cellStyle name="백_새벽시장8.10xls_도금 열처리 주단조 평가품의(040329)_도금 열처리 주단조 평가품의(040329)" xfId="25811"/>
    <cellStyle name="백_새벽시장8.10xls_도금 열처리 주단조 평가품의(040329)업체" xfId="25812"/>
    <cellStyle name="백_새벽시장8.10xls_열처리결과품의(031017)개발" xfId="25813"/>
    <cellStyle name="백_새벽시장8.10xls_열처리결과품의(031017)개발_도금 열처리 주단조 평가품의(040329)" xfId="25814"/>
    <cellStyle name="백_새벽시장8.10xls_용접업종 평가결과품의(040510)" xfId="25815"/>
    <cellStyle name="백_새벽시장8.10xls_용접업종 평가결과품의(040510)_용접업종 평가결과품의(040510)" xfId="25816"/>
    <cellStyle name="백_새벽시장8.10xls_용접업종 평가결과품의(040510)_용접업종 평가결과품의(040510)(1)" xfId="25817"/>
    <cellStyle name="백_새벽시장8.10xls_용접업종 평가결과품의(040510)_주단조용접업종 평가결과품의(040510)(1)" xfId="25818"/>
    <cellStyle name="백_새벽시장8.10xls_주단조 업종 평가결과품의(040407)" xfId="25819"/>
    <cellStyle name="백_새벽시장8.10xls_주단조 업종 평가결과품의(040407)_용접업종 평가결과품의(040510)" xfId="25820"/>
    <cellStyle name="백_새벽시장8.10xls_주단조 업종 평가결과품의(040407)_용접업종 평가결과품의(040510)(1)" xfId="25821"/>
    <cellStyle name="백_새벽시장8.10xls_주단조 업종 평가결과품의(040407)_주단조용접업종 평가결과품의(040510)(1)" xfId="25822"/>
    <cellStyle name="백_새벽시장8.10xls_주단조 업종 평가결과품의(040416)(1)" xfId="25823"/>
    <cellStyle name="백_새벽시장8.10xls_주단조 업종 평가결과품의(040416)(1)_용접업종 평가결과품의(040510)" xfId="25824"/>
    <cellStyle name="백_새벽시장8.10xls_주단조 업종 평가결과품의(040416)(1)_용접업종 평가결과품의(040510)(1)" xfId="25825"/>
    <cellStyle name="백_새벽시장8.10xls_주단조 업종 평가결과품의(040416)(1)_주단조용접업종 평가결과품의(040510)(1)" xfId="25826"/>
    <cellStyle name="백_새벽시장8.10xls_최신-SQ인증업체현황1343사(03년평가완료031229수정)" xfId="25827"/>
    <cellStyle name="백_새벽시장8.10xls_최신-SQ인증업체현황1343사(03년평가완료031229수정)_용접업종 평가결과품의(040510)" xfId="25828"/>
    <cellStyle name="백_새벽시장8.10xls_최신-SQ인증업체현황1343사(03년평가완료031229수정)_용접업종 평가결과품의(040510)(1)" xfId="25829"/>
    <cellStyle name="백_새벽시장8.10xls_최신-SQ인증업체현황1343사(03년평가완료031229수정)_주단조용접업종 평가결과품의(040510)(1)" xfId="25830"/>
    <cellStyle name="백_새벽시장8.26xls" xfId="25831"/>
    <cellStyle name="백_새벽시장8.26xls_도금 열처리 주단조 평가품의(040329)" xfId="25832"/>
    <cellStyle name="백_새벽시장8.26xls_도금 열처리 주단조 평가품의(040329)_도금 열처리 주단조 평가품의(040329)" xfId="25833"/>
    <cellStyle name="백_새벽시장8.26xls_도금 열처리 주단조 평가품의(040329)업체" xfId="25834"/>
    <cellStyle name="백_새벽시장8.26xls_열처리결과품의(031017)개발" xfId="25835"/>
    <cellStyle name="백_새벽시장8.26xls_열처리결과품의(031017)개발_도금 열처리 주단조 평가품의(040329)" xfId="25836"/>
    <cellStyle name="백_새벽시장8.26xls_용접업종 평가결과품의(040510)" xfId="25837"/>
    <cellStyle name="백_새벽시장8.26xls_용접업종 평가결과품의(040510)_용접업종 평가결과품의(040510)" xfId="25838"/>
    <cellStyle name="백_새벽시장8.26xls_용접업종 평가결과품의(040510)_용접업종 평가결과품의(040510)(1)" xfId="25839"/>
    <cellStyle name="백_새벽시장8.26xls_용접업종 평가결과품의(040510)_주단조용접업종 평가결과품의(040510)(1)" xfId="25840"/>
    <cellStyle name="백_새벽시장8.26xls_주단조 업종 평가결과품의(040407)" xfId="25841"/>
    <cellStyle name="백_새벽시장8.26xls_주단조 업종 평가결과품의(040407)_용접업종 평가결과품의(040510)" xfId="25842"/>
    <cellStyle name="백_새벽시장8.26xls_주단조 업종 평가결과품의(040407)_용접업종 평가결과품의(040510)(1)" xfId="25843"/>
    <cellStyle name="백_새벽시장8.26xls_주단조 업종 평가결과품의(040407)_주단조용접업종 평가결과품의(040510)(1)" xfId="25844"/>
    <cellStyle name="백_새벽시장8.26xls_주단조 업종 평가결과품의(040416)(1)" xfId="25845"/>
    <cellStyle name="백_새벽시장8.26xls_주단조 업종 평가결과품의(040416)(1)_용접업종 평가결과품의(040510)" xfId="25846"/>
    <cellStyle name="백_새벽시장8.26xls_주단조 업종 평가결과품의(040416)(1)_용접업종 평가결과품의(040510)(1)" xfId="25847"/>
    <cellStyle name="백_새벽시장8.26xls_주단조 업종 평가결과품의(040416)(1)_주단조용접업종 평가결과품의(040510)(1)" xfId="25848"/>
    <cellStyle name="백_새벽시장8.26xls_최신-SQ인증업체현황1343사(03년평가완료031229수정)" xfId="25849"/>
    <cellStyle name="백_새벽시장8.26xls_최신-SQ인증업체현황1343사(03년평가완료031229수정)_용접업종 평가결과품의(040510)" xfId="25850"/>
    <cellStyle name="백_새벽시장8.26xls_최신-SQ인증업체현황1343사(03년평가완료031229수정)_용접업종 평가결과품의(040510)(1)" xfId="25851"/>
    <cellStyle name="백_새벽시장8.26xls_최신-SQ인증업체현황1343사(03년평가완료031229수정)_주단조용접업종 평가결과품의(040510)(1)" xfId="25852"/>
    <cellStyle name="백_새벽시장9.16" xfId="25853"/>
    <cellStyle name="백_새벽시장9.16_도금 열처리 주단조 평가품의(040329)" xfId="25854"/>
    <cellStyle name="백_새벽시장9.16_도금 열처리 주단조 평가품의(040329)_도금 열처리 주단조 평가품의(040329)" xfId="25855"/>
    <cellStyle name="백_새벽시장9.16_도금 열처리 주단조 평가품의(040329)업체" xfId="25856"/>
    <cellStyle name="백_새벽시장9.16_열처리결과품의(031017)개발" xfId="25857"/>
    <cellStyle name="백_새벽시장9.16_열처리결과품의(031017)개발_도금 열처리 주단조 평가품의(040329)" xfId="25858"/>
    <cellStyle name="백_새벽시장9.16_용접업종 평가결과품의(040510)" xfId="25859"/>
    <cellStyle name="백_새벽시장9.16_용접업종 평가결과품의(040510)_용접업종 평가결과품의(040510)" xfId="25860"/>
    <cellStyle name="백_새벽시장9.16_용접업종 평가결과품의(040510)_용접업종 평가결과품의(040510)(1)" xfId="25861"/>
    <cellStyle name="백_새벽시장9.16_용접업종 평가결과품의(040510)_주단조용접업종 평가결과품의(040510)(1)" xfId="25862"/>
    <cellStyle name="백_새벽시장9.16_주단조 업종 평가결과품의(040407)" xfId="25863"/>
    <cellStyle name="백_새벽시장9.16_주단조 업종 평가결과품의(040407)_용접업종 평가결과품의(040510)" xfId="25864"/>
    <cellStyle name="백_새벽시장9.16_주단조 업종 평가결과품의(040407)_용접업종 평가결과품의(040510)(1)" xfId="25865"/>
    <cellStyle name="백_새벽시장9.16_주단조 업종 평가결과품의(040407)_주단조용접업종 평가결과품의(040510)(1)" xfId="25866"/>
    <cellStyle name="백_새벽시장9.16_주단조 업종 평가결과품의(040416)(1)" xfId="25867"/>
    <cellStyle name="백_새벽시장9.16_주단조 업종 평가결과품의(040416)(1)_용접업종 평가결과품의(040510)" xfId="25868"/>
    <cellStyle name="백_새벽시장9.16_주단조 업종 평가결과품의(040416)(1)_용접업종 평가결과품의(040510)(1)" xfId="25869"/>
    <cellStyle name="백_새벽시장9.16_주단조 업종 평가결과품의(040416)(1)_주단조용접업종 평가결과품의(040510)(1)" xfId="25870"/>
    <cellStyle name="백_새벽시장9.16_최신-SQ인증업체현황1343사(03년평가완료031229수정)" xfId="25871"/>
    <cellStyle name="백_새벽시장9.16_최신-SQ인증업체현황1343사(03년평가완료031229수정)_용접업종 평가결과품의(040510)" xfId="25872"/>
    <cellStyle name="백_새벽시장9.16_최신-SQ인증업체현황1343사(03년평가완료031229수정)_용접업종 평가결과품의(040510)(1)" xfId="25873"/>
    <cellStyle name="백_새벽시장9.16_최신-SQ인증업체현황1343사(03년평가완료031229수정)_주단조용접업종 평가결과품의(040510)(1)" xfId="25874"/>
    <cellStyle name="백_열처리결과품의(031017)개발" xfId="25875"/>
    <cellStyle name="백_열처리결과품의(031017)개발_도금 열처리 주단조 평가품의(040329)" xfId="25876"/>
    <cellStyle name="백_용접업종 평가결과품의(040510)" xfId="25877"/>
    <cellStyle name="백_용접업종 평가결과품의(040510)_용접업종 평가결과품의(040510)" xfId="25878"/>
    <cellStyle name="백_용접업종 평가결과품의(040510)_용접업종 평가결과품의(040510)(1)" xfId="25879"/>
    <cellStyle name="백_용접업종 평가결과품의(040510)_주단조용접업종 평가결과품의(040510)(1)" xfId="25880"/>
    <cellStyle name="백_주단조 업종 평가결과품의(040407)" xfId="25881"/>
    <cellStyle name="백_주단조 업종 평가결과품의(040407)_용접업종 평가결과품의(040510)" xfId="25882"/>
    <cellStyle name="백_주단조 업종 평가결과품의(040407)_용접업종 평가결과품의(040510)(1)" xfId="25883"/>
    <cellStyle name="백_주단조 업종 평가결과품의(040407)_주단조용접업종 평가결과품의(040510)(1)" xfId="25884"/>
    <cellStyle name="백_주단조 업종 평가결과품의(040416)(1)" xfId="25885"/>
    <cellStyle name="백_주단조 업종 평가결과품의(040416)(1)_용접업종 평가결과품의(040510)" xfId="25886"/>
    <cellStyle name="백_주단조 업종 평가결과품의(040416)(1)_용접업종 평가결과품의(040510)(1)" xfId="25887"/>
    <cellStyle name="백_주단조 업종 평가결과품의(040416)(1)_주단조용접업종 평가결과품의(040510)(1)" xfId="25888"/>
    <cellStyle name="백_최신-SQ인증업체현황1343사(03년평가완료031229수정)" xfId="25889"/>
    <cellStyle name="백_최신-SQ인증업체현황1343사(03년평가완료031229수정)_용접업종 평가결과품의(040510)" xfId="25890"/>
    <cellStyle name="백_최신-SQ인증업체현황1343사(03년평가완료031229수정)_용접업종 평가결과품의(040510)(1)" xfId="25891"/>
    <cellStyle name="백_최신-SQ인증업체현황1343사(03년평가완료031229수정)_주단조용접업종 평가결과품의(040510)(1)" xfId="25892"/>
    <cellStyle name="백_출장계획서" xfId="25893"/>
    <cellStyle name="백_출장계획서_ROTATION 유동" xfId="25894"/>
    <cellStyle name="백_출장계획서_ROTATION 유동_도금 열처리 주단조 평가품의(040329)" xfId="25895"/>
    <cellStyle name="백_출장계획서_ROTATION 유동_도금 열처리 주단조 평가품의(040329)_도금 열처리 주단조 평가품의(040329)" xfId="25896"/>
    <cellStyle name="백_출장계획서_ROTATION 유동_도금 열처리 주단조 평가품의(040329)업체" xfId="25897"/>
    <cellStyle name="백_출장계획서_ROTATION 유동_열처리결과품의(031017)개발" xfId="25898"/>
    <cellStyle name="백_출장계획서_ROTATION 유동_열처리결과품의(031017)개발_도금 열처리 주단조 평가품의(040329)" xfId="25899"/>
    <cellStyle name="백_출장계획서_ROTATION 유동_용접업종 평가결과품의(040510)" xfId="25900"/>
    <cellStyle name="백_출장계획서_ROTATION 유동_용접업종 평가결과품의(040510)_용접업종 평가결과품의(040510)" xfId="25901"/>
    <cellStyle name="백_출장계획서_ROTATION 유동_용접업종 평가결과품의(040510)_용접업종 평가결과품의(040510)(1)" xfId="25902"/>
    <cellStyle name="백_출장계획서_ROTATION 유동_용접업종 평가결과품의(040510)_주단조용접업종 평가결과품의(040510)(1)" xfId="25903"/>
    <cellStyle name="백_출장계획서_ROTATION 유동_주단조 업종 평가결과품의(040407)" xfId="25904"/>
    <cellStyle name="백_출장계획서_ROTATION 유동_주단조 업종 평가결과품의(040407)_용접업종 평가결과품의(040510)" xfId="25905"/>
    <cellStyle name="백_출장계획서_ROTATION 유동_주단조 업종 평가결과품의(040407)_용접업종 평가결과품의(040510)(1)" xfId="25906"/>
    <cellStyle name="백_출장계획서_ROTATION 유동_주단조 업종 평가결과품의(040407)_주단조용접업종 평가결과품의(040510)(1)" xfId="25907"/>
    <cellStyle name="백_출장계획서_ROTATION 유동_주단조 업종 평가결과품의(040416)(1)" xfId="25908"/>
    <cellStyle name="백_출장계획서_ROTATION 유동_주단조 업종 평가결과품의(040416)(1)_용접업종 평가결과품의(040510)" xfId="25909"/>
    <cellStyle name="백_출장계획서_ROTATION 유동_주단조 업종 평가결과품의(040416)(1)_용접업종 평가결과품의(040510)(1)" xfId="25910"/>
    <cellStyle name="백_출장계획서_ROTATION 유동_주단조 업종 평가결과품의(040416)(1)_주단조용접업종 평가결과품의(040510)(1)" xfId="25911"/>
    <cellStyle name="백_출장계획서_ROTATION 유동_최신-SQ인증업체현황1343사(03년평가완료031229수정)" xfId="25912"/>
    <cellStyle name="백_출장계획서_ROTATION 유동_최신-SQ인증업체현황1343사(03년평가완료031229수정)_용접업종 평가결과품의(040510)" xfId="25913"/>
    <cellStyle name="백_출장계획서_ROTATION 유동_최신-SQ인증업체현황1343사(03년평가완료031229수정)_용접업종 평가결과품의(040510)(1)" xfId="25914"/>
    <cellStyle name="백_출장계획서_ROTATION 유동_최신-SQ인증업체현황1343사(03년평가완료031229수정)_주단조용접업종 평가결과품의(040510)(1)" xfId="25915"/>
    <cellStyle name="백_출장계획서_SLIDE 폭" xfId="25916"/>
    <cellStyle name="백_출장계획서_SLIDE 폭_도금 열처리 주단조 평가품의(040329)" xfId="25917"/>
    <cellStyle name="백_출장계획서_SLIDE 폭_도금 열처리 주단조 평가품의(040329)_도금 열처리 주단조 평가품의(040329)" xfId="25918"/>
    <cellStyle name="백_출장계획서_SLIDE 폭_도금 열처리 주단조 평가품의(040329)업체" xfId="25919"/>
    <cellStyle name="백_출장계획서_SLIDE 폭_열처리결과품의(031017)개발" xfId="25920"/>
    <cellStyle name="백_출장계획서_SLIDE 폭_열처리결과품의(031017)개발_도금 열처리 주단조 평가품의(040329)" xfId="25921"/>
    <cellStyle name="백_출장계획서_SLIDE 폭_용접업종 평가결과품의(040510)" xfId="25922"/>
    <cellStyle name="백_출장계획서_SLIDE 폭_용접업종 평가결과품의(040510)_용접업종 평가결과품의(040510)" xfId="25923"/>
    <cellStyle name="백_출장계획서_SLIDE 폭_용접업종 평가결과품의(040510)_용접업종 평가결과품의(040510)(1)" xfId="25924"/>
    <cellStyle name="백_출장계획서_SLIDE 폭_용접업종 평가결과품의(040510)_주단조용접업종 평가결과품의(040510)(1)" xfId="25925"/>
    <cellStyle name="백_출장계획서_SLIDE 폭_주단조 업종 평가결과품의(040407)" xfId="25926"/>
    <cellStyle name="백_출장계획서_SLIDE 폭_주단조 업종 평가결과품의(040407)_용접업종 평가결과품의(040510)" xfId="25927"/>
    <cellStyle name="백_출장계획서_SLIDE 폭_주단조 업종 평가결과품의(040407)_용접업종 평가결과품의(040510)(1)" xfId="25928"/>
    <cellStyle name="백_출장계획서_SLIDE 폭_주단조 업종 평가결과품의(040407)_주단조용접업종 평가결과품의(040510)(1)" xfId="25929"/>
    <cellStyle name="백_출장계획서_SLIDE 폭_주단조 업종 평가결과품의(040416)(1)" xfId="25930"/>
    <cellStyle name="백_출장계획서_SLIDE 폭_주단조 업종 평가결과품의(040416)(1)_용접업종 평가결과품의(040510)" xfId="25931"/>
    <cellStyle name="백_출장계획서_SLIDE 폭_주단조 업종 평가결과품의(040416)(1)_용접업종 평가결과품의(040510)(1)" xfId="25932"/>
    <cellStyle name="백_출장계획서_SLIDE 폭_주단조 업종 평가결과품의(040416)(1)_주단조용접업종 평가결과품의(040510)(1)" xfId="25933"/>
    <cellStyle name="백_출장계획서_SLIDE 폭_최신-SQ인증업체현황1343사(03년평가완료031229수정)" xfId="25934"/>
    <cellStyle name="백_출장계획서_SLIDE 폭_최신-SQ인증업체현황1343사(03년평가완료031229수정)_용접업종 평가결과품의(040510)" xfId="25935"/>
    <cellStyle name="백_출장계획서_SLIDE 폭_최신-SQ인증업체현황1343사(03년평가완료031229수정)_용접업종 평가결과품의(040510)(1)" xfId="25936"/>
    <cellStyle name="백_출장계획서_SLIDE 폭_최신-SQ인증업체현황1343사(03년평가완료031229수정)_주단조용접업종 평가결과품의(040510)(1)" xfId="25937"/>
    <cellStyle name="백_출장계획서_도금 열처리 주단조 평가품의(040329)" xfId="25938"/>
    <cellStyle name="백_출장계획서_도금 열처리 주단조 평가품의(040329)_도금 열처리 주단조 평가품의(040329)" xfId="25939"/>
    <cellStyle name="백_출장계획서_도금 열처리 주단조 평가품의(040329)업체" xfId="25940"/>
    <cellStyle name="백_출장계획서_새벽시장1" xfId="25941"/>
    <cellStyle name="백_출장계획서_새벽시장1_도금 열처리 주단조 평가품의(040329)" xfId="25942"/>
    <cellStyle name="백_출장계획서_새벽시장1_도금 열처리 주단조 평가품의(040329)_도금 열처리 주단조 평가품의(040329)" xfId="25943"/>
    <cellStyle name="백_출장계획서_새벽시장1_도금 열처리 주단조 평가품의(040329)업체" xfId="25944"/>
    <cellStyle name="백_출장계획서_새벽시장1_열처리결과품의(031017)개발" xfId="25945"/>
    <cellStyle name="백_출장계획서_새벽시장1_열처리결과품의(031017)개발_도금 열처리 주단조 평가품의(040329)" xfId="25946"/>
    <cellStyle name="백_출장계획서_새벽시장1_용접업종 평가결과품의(040510)" xfId="25947"/>
    <cellStyle name="백_출장계획서_새벽시장1_용접업종 평가결과품의(040510)_용접업종 평가결과품의(040510)" xfId="25948"/>
    <cellStyle name="백_출장계획서_새벽시장1_용접업종 평가결과품의(040510)_용접업종 평가결과품의(040510)(1)" xfId="25949"/>
    <cellStyle name="백_출장계획서_새벽시장1_용접업종 평가결과품의(040510)_주단조용접업종 평가결과품의(040510)(1)" xfId="25950"/>
    <cellStyle name="백_출장계획서_새벽시장1_주단조 업종 평가결과품의(040407)" xfId="25951"/>
    <cellStyle name="백_출장계획서_새벽시장1_주단조 업종 평가결과품의(040407)_용접업종 평가결과품의(040510)" xfId="25952"/>
    <cellStyle name="백_출장계획서_새벽시장1_주단조 업종 평가결과품의(040407)_용접업종 평가결과품의(040510)(1)" xfId="25953"/>
    <cellStyle name="백_출장계획서_새벽시장1_주단조 업종 평가결과품의(040407)_주단조용접업종 평가결과품의(040510)(1)" xfId="25954"/>
    <cellStyle name="백_출장계획서_새벽시장1_주단조 업종 평가결과품의(040416)(1)" xfId="25955"/>
    <cellStyle name="백_출장계획서_새벽시장1_주단조 업종 평가결과품의(040416)(1)_용접업종 평가결과품의(040510)" xfId="25956"/>
    <cellStyle name="백_출장계획서_새벽시장1_주단조 업종 평가결과품의(040416)(1)_용접업종 평가결과품의(040510)(1)" xfId="25957"/>
    <cellStyle name="백_출장계획서_새벽시장1_주단조 업종 평가결과품의(040416)(1)_주단조용접업종 평가결과품의(040510)(1)" xfId="25958"/>
    <cellStyle name="백_출장계획서_새벽시장1_최신-SQ인증업체현황1343사(03년평가완료031229수정)" xfId="25959"/>
    <cellStyle name="백_출장계획서_새벽시장1_최신-SQ인증업체현황1343사(03년평가완료031229수정)_용접업종 평가결과품의(040510)" xfId="25960"/>
    <cellStyle name="백_출장계획서_새벽시장1_최신-SQ인증업체현황1343사(03년평가완료031229수정)_용접업종 평가결과품의(040510)(1)" xfId="25961"/>
    <cellStyle name="백_출장계획서_새벽시장1_최신-SQ인증업체현황1343사(03년평가완료031229수정)_주단조용접업종 평가결과품의(040510)(1)" xfId="25962"/>
    <cellStyle name="백_출장계획서_새벽시장3" xfId="25963"/>
    <cellStyle name="백_출장계획서_새벽시장3_도금 열처리 주단조 평가품의(040329)" xfId="25964"/>
    <cellStyle name="백_출장계획서_새벽시장3_도금 열처리 주단조 평가품의(040329)_도금 열처리 주단조 평가품의(040329)" xfId="25965"/>
    <cellStyle name="백_출장계획서_새벽시장3_도금 열처리 주단조 평가품의(040329)업체" xfId="25966"/>
    <cellStyle name="백_출장계획서_새벽시장3_열처리결과품의(031017)개발" xfId="25967"/>
    <cellStyle name="백_출장계획서_새벽시장3_열처리결과품의(031017)개발_도금 열처리 주단조 평가품의(040329)" xfId="25968"/>
    <cellStyle name="백_출장계획서_새벽시장3_용접업종 평가결과품의(040510)" xfId="25969"/>
    <cellStyle name="백_출장계획서_새벽시장3_용접업종 평가결과품의(040510)_용접업종 평가결과품의(040510)" xfId="25970"/>
    <cellStyle name="백_출장계획서_새벽시장3_용접업종 평가결과품의(040510)_용접업종 평가결과품의(040510)(1)" xfId="25971"/>
    <cellStyle name="백_출장계획서_새벽시장3_용접업종 평가결과품의(040510)_주단조용접업종 평가결과품의(040510)(1)" xfId="25972"/>
    <cellStyle name="백_출장계획서_새벽시장3_주단조 업종 평가결과품의(040407)" xfId="25973"/>
    <cellStyle name="백_출장계획서_새벽시장3_주단조 업종 평가결과품의(040407)_용접업종 평가결과품의(040510)" xfId="25974"/>
    <cellStyle name="백_출장계획서_새벽시장3_주단조 업종 평가결과품의(040407)_용접업종 평가결과품의(040510)(1)" xfId="25975"/>
    <cellStyle name="백_출장계획서_새벽시장3_주단조 업종 평가결과품의(040407)_주단조용접업종 평가결과품의(040510)(1)" xfId="25976"/>
    <cellStyle name="백_출장계획서_새벽시장3_주단조 업종 평가결과품의(040416)(1)" xfId="25977"/>
    <cellStyle name="백_출장계획서_새벽시장3_주단조 업종 평가결과품의(040416)(1)_용접업종 평가결과품의(040510)" xfId="25978"/>
    <cellStyle name="백_출장계획서_새벽시장3_주단조 업종 평가결과품의(040416)(1)_용접업종 평가결과품의(040510)(1)" xfId="25979"/>
    <cellStyle name="백_출장계획서_새벽시장3_주단조 업종 평가결과품의(040416)(1)_주단조용접업종 평가결과품의(040510)(1)" xfId="25980"/>
    <cellStyle name="백_출장계획서_새벽시장3_최신-SQ인증업체현황1343사(03년평가완료031229수정)" xfId="25981"/>
    <cellStyle name="백_출장계획서_새벽시장3_최신-SQ인증업체현황1343사(03년평가완료031229수정)_용접업종 평가결과품의(040510)" xfId="25982"/>
    <cellStyle name="백_출장계획서_새벽시장3_최신-SQ인증업체현황1343사(03년평가완료031229수정)_용접업종 평가결과품의(040510)(1)" xfId="25983"/>
    <cellStyle name="백_출장계획서_새벽시장3_최신-SQ인증업체현황1343사(03년평가완료031229수정)_주단조용접업종 평가결과품의(040510)(1)" xfId="25984"/>
    <cellStyle name="백_출장계획서_새벽시장5" xfId="25985"/>
    <cellStyle name="백_출장계획서_새벽시장5_도금 열처리 주단조 평가품의(040329)" xfId="25986"/>
    <cellStyle name="백_출장계획서_새벽시장5_도금 열처리 주단조 평가품의(040329)_도금 열처리 주단조 평가품의(040329)" xfId="25987"/>
    <cellStyle name="백_출장계획서_새벽시장5_도금 열처리 주단조 평가품의(040329)업체" xfId="25988"/>
    <cellStyle name="백_출장계획서_새벽시장5_열처리결과품의(031017)개발" xfId="25989"/>
    <cellStyle name="백_출장계획서_새벽시장5_열처리결과품의(031017)개발_도금 열처리 주단조 평가품의(040329)" xfId="25990"/>
    <cellStyle name="백_출장계획서_새벽시장5_용접업종 평가결과품의(040510)" xfId="25991"/>
    <cellStyle name="백_출장계획서_새벽시장5_용접업종 평가결과품의(040510)_용접업종 평가결과품의(040510)" xfId="25992"/>
    <cellStyle name="백_출장계획서_새벽시장5_용접업종 평가결과품의(040510)_용접업종 평가결과품의(040510)(1)" xfId="25993"/>
    <cellStyle name="백_출장계획서_새벽시장5_용접업종 평가결과품의(040510)_주단조용접업종 평가결과품의(040510)(1)" xfId="25994"/>
    <cellStyle name="백_출장계획서_새벽시장5_주단조 업종 평가결과품의(040407)" xfId="25995"/>
    <cellStyle name="백_출장계획서_새벽시장5_주단조 업종 평가결과품의(040407)_용접업종 평가결과품의(040510)" xfId="25996"/>
    <cellStyle name="백_출장계획서_새벽시장5_주단조 업종 평가결과품의(040407)_용접업종 평가결과품의(040510)(1)" xfId="25997"/>
    <cellStyle name="백_출장계획서_새벽시장5_주단조 업종 평가결과품의(040407)_주단조용접업종 평가결과품의(040510)(1)" xfId="25998"/>
    <cellStyle name="백_출장계획서_새벽시장5_주단조 업종 평가결과품의(040416)(1)" xfId="25999"/>
    <cellStyle name="백_출장계획서_새벽시장5_주단조 업종 평가결과품의(040416)(1)_용접업종 평가결과품의(040510)" xfId="26000"/>
    <cellStyle name="백_출장계획서_새벽시장5_주단조 업종 평가결과품의(040416)(1)_용접업종 평가결과품의(040510)(1)" xfId="26001"/>
    <cellStyle name="백_출장계획서_새벽시장5_주단조 업종 평가결과품의(040416)(1)_주단조용접업종 평가결과품의(040510)(1)" xfId="26002"/>
    <cellStyle name="백_출장계획서_새벽시장5_최신-SQ인증업체현황1343사(03년평가완료031229수정)" xfId="26003"/>
    <cellStyle name="백_출장계획서_새벽시장5_최신-SQ인증업체현황1343사(03년평가완료031229수정)_용접업종 평가결과품의(040510)" xfId="26004"/>
    <cellStyle name="백_출장계획서_새벽시장5_최신-SQ인증업체현황1343사(03년평가완료031229수정)_용접업종 평가결과품의(040510)(1)" xfId="26005"/>
    <cellStyle name="백_출장계획서_새벽시장5_최신-SQ인증업체현황1343사(03년평가완료031229수정)_주단조용접업종 평가결과품의(040510)(1)" xfId="26006"/>
    <cellStyle name="백_출장계획서_새벽시장7" xfId="26007"/>
    <cellStyle name="백_출장계획서_새벽시장7_도금 열처리 주단조 평가품의(040329)" xfId="26008"/>
    <cellStyle name="백_출장계획서_새벽시장7_도금 열처리 주단조 평가품의(040329)_도금 열처리 주단조 평가품의(040329)" xfId="26009"/>
    <cellStyle name="백_출장계획서_새벽시장7_도금 열처리 주단조 평가품의(040329)업체" xfId="26010"/>
    <cellStyle name="백_출장계획서_새벽시장7_열처리결과품의(031017)개발" xfId="26011"/>
    <cellStyle name="백_출장계획서_새벽시장7_열처리결과품의(031017)개발_도금 열처리 주단조 평가품의(040329)" xfId="26012"/>
    <cellStyle name="백_출장계획서_새벽시장7_용접업종 평가결과품의(040510)" xfId="26013"/>
    <cellStyle name="백_출장계획서_새벽시장7_용접업종 평가결과품의(040510)_용접업종 평가결과품의(040510)" xfId="26014"/>
    <cellStyle name="백_출장계획서_새벽시장7_용접업종 평가결과품의(040510)_용접업종 평가결과품의(040510)(1)" xfId="26015"/>
    <cellStyle name="백_출장계획서_새벽시장7_용접업종 평가결과품의(040510)_주단조용접업종 평가결과품의(040510)(1)" xfId="26016"/>
    <cellStyle name="백_출장계획서_새벽시장7_주단조 업종 평가결과품의(040407)" xfId="26017"/>
    <cellStyle name="백_출장계획서_새벽시장7_주단조 업종 평가결과품의(040407)_용접업종 평가결과품의(040510)" xfId="26018"/>
    <cellStyle name="백_출장계획서_새벽시장7_주단조 업종 평가결과품의(040407)_용접업종 평가결과품의(040510)(1)" xfId="26019"/>
    <cellStyle name="백_출장계획서_새벽시장7_주단조 업종 평가결과품의(040407)_주단조용접업종 평가결과품의(040510)(1)" xfId="26020"/>
    <cellStyle name="백_출장계획서_새벽시장7_주단조 업종 평가결과품의(040416)(1)" xfId="26021"/>
    <cellStyle name="백_출장계획서_새벽시장7_주단조 업종 평가결과품의(040416)(1)_용접업종 평가결과품의(040510)" xfId="26022"/>
    <cellStyle name="백_출장계획서_새벽시장7_주단조 업종 평가결과품의(040416)(1)_용접업종 평가결과품의(040510)(1)" xfId="26023"/>
    <cellStyle name="백_출장계획서_새벽시장7_주단조 업종 평가결과품의(040416)(1)_주단조용접업종 평가결과품의(040510)(1)" xfId="26024"/>
    <cellStyle name="백_출장계획서_새벽시장7_최신-SQ인증업체현황1343사(03년평가완료031229수정)" xfId="26025"/>
    <cellStyle name="백_출장계획서_새벽시장7_최신-SQ인증업체현황1343사(03년평가완료031229수정)_용접업종 평가결과품의(040510)" xfId="26026"/>
    <cellStyle name="백_출장계획서_새벽시장7_최신-SQ인증업체현황1343사(03년평가완료031229수정)_용접업종 평가결과품의(040510)(1)" xfId="26027"/>
    <cellStyle name="백_출장계획서_새벽시장7_최신-SQ인증업체현황1343사(03년평가완료031229수정)_주단조용접업종 평가결과품의(040510)(1)" xfId="26028"/>
    <cellStyle name="백_출장계획서_새벽시장8.10xls" xfId="26029"/>
    <cellStyle name="백_출장계획서_새벽시장8.10xls_도금 열처리 주단조 평가품의(040329)" xfId="26030"/>
    <cellStyle name="백_출장계획서_새벽시장8.10xls_도금 열처리 주단조 평가품의(040329)_도금 열처리 주단조 평가품의(040329)" xfId="26031"/>
    <cellStyle name="백_출장계획서_새벽시장8.10xls_도금 열처리 주단조 평가품의(040329)업체" xfId="26032"/>
    <cellStyle name="백_출장계획서_새벽시장8.10xls_열처리결과품의(031017)개발" xfId="26033"/>
    <cellStyle name="백_출장계획서_새벽시장8.10xls_열처리결과품의(031017)개발_도금 열처리 주단조 평가품의(040329)" xfId="26034"/>
    <cellStyle name="백_출장계획서_새벽시장8.10xls_용접업종 평가결과품의(040510)" xfId="26035"/>
    <cellStyle name="백_출장계획서_새벽시장8.10xls_용접업종 평가결과품의(040510)_용접업종 평가결과품의(040510)" xfId="26036"/>
    <cellStyle name="백_출장계획서_새벽시장8.10xls_용접업종 평가결과품의(040510)_용접업종 평가결과품의(040510)(1)" xfId="26037"/>
    <cellStyle name="백_출장계획서_새벽시장8.10xls_용접업종 평가결과품의(040510)_주단조용접업종 평가결과품의(040510)(1)" xfId="26038"/>
    <cellStyle name="백_출장계획서_새벽시장8.10xls_주단조 업종 평가결과품의(040407)" xfId="26039"/>
    <cellStyle name="백_출장계획서_새벽시장8.10xls_주단조 업종 평가결과품의(040407)_용접업종 평가결과품의(040510)" xfId="26040"/>
    <cellStyle name="백_출장계획서_새벽시장8.10xls_주단조 업종 평가결과품의(040407)_용접업종 평가결과품의(040510)(1)" xfId="26041"/>
    <cellStyle name="백_출장계획서_새벽시장8.10xls_주단조 업종 평가결과품의(040407)_주단조용접업종 평가결과품의(040510)(1)" xfId="26042"/>
    <cellStyle name="백_출장계획서_새벽시장8.10xls_주단조 업종 평가결과품의(040416)(1)" xfId="26043"/>
    <cellStyle name="백_출장계획서_새벽시장8.10xls_주단조 업종 평가결과품의(040416)(1)_용접업종 평가결과품의(040510)" xfId="26044"/>
    <cellStyle name="백_출장계획서_새벽시장8.10xls_주단조 업종 평가결과품의(040416)(1)_용접업종 평가결과품의(040510)(1)" xfId="26045"/>
    <cellStyle name="백_출장계획서_새벽시장8.10xls_주단조 업종 평가결과품의(040416)(1)_주단조용접업종 평가결과품의(040510)(1)" xfId="26046"/>
    <cellStyle name="백_출장계획서_새벽시장8.10xls_최신-SQ인증업체현황1343사(03년평가완료031229수정)" xfId="26047"/>
    <cellStyle name="백_출장계획서_새벽시장8.10xls_최신-SQ인증업체현황1343사(03년평가완료031229수정)_용접업종 평가결과품의(040510)" xfId="26048"/>
    <cellStyle name="백_출장계획서_새벽시장8.10xls_최신-SQ인증업체현황1343사(03년평가완료031229수정)_용접업종 평가결과품의(040510)(1)" xfId="26049"/>
    <cellStyle name="백_출장계획서_새벽시장8.10xls_최신-SQ인증업체현황1343사(03년평가완료031229수정)_주단조용접업종 평가결과품의(040510)(1)" xfId="26050"/>
    <cellStyle name="백_출장계획서_새벽시장8.26xls" xfId="26051"/>
    <cellStyle name="백_출장계획서_새벽시장8.26xls_도금 열처리 주단조 평가품의(040329)" xfId="26052"/>
    <cellStyle name="백_출장계획서_새벽시장8.26xls_도금 열처리 주단조 평가품의(040329)_도금 열처리 주단조 평가품의(040329)" xfId="26053"/>
    <cellStyle name="백_출장계획서_새벽시장8.26xls_도금 열처리 주단조 평가품의(040329)업체" xfId="26054"/>
    <cellStyle name="백_출장계획서_새벽시장8.26xls_열처리결과품의(031017)개발" xfId="26055"/>
    <cellStyle name="백_출장계획서_새벽시장8.26xls_열처리결과품의(031017)개발_도금 열처리 주단조 평가품의(040329)" xfId="26056"/>
    <cellStyle name="백_출장계획서_새벽시장8.26xls_용접업종 평가결과품의(040510)" xfId="26057"/>
    <cellStyle name="백_출장계획서_새벽시장8.26xls_용접업종 평가결과품의(040510)_용접업종 평가결과품의(040510)" xfId="26058"/>
    <cellStyle name="백_출장계획서_새벽시장8.26xls_용접업종 평가결과품의(040510)_용접업종 평가결과품의(040510)(1)" xfId="26059"/>
    <cellStyle name="백_출장계획서_새벽시장8.26xls_용접업종 평가결과품의(040510)_주단조용접업종 평가결과품의(040510)(1)" xfId="26060"/>
    <cellStyle name="백_출장계획서_새벽시장8.26xls_주단조 업종 평가결과품의(040407)" xfId="26061"/>
    <cellStyle name="백_출장계획서_새벽시장8.26xls_주단조 업종 평가결과품의(040407)_용접업종 평가결과품의(040510)" xfId="26062"/>
    <cellStyle name="백_출장계획서_새벽시장8.26xls_주단조 업종 평가결과품의(040407)_용접업종 평가결과품의(040510)(1)" xfId="26063"/>
    <cellStyle name="백_출장계획서_새벽시장8.26xls_주단조 업종 평가결과품의(040407)_주단조용접업종 평가결과품의(040510)(1)" xfId="26064"/>
    <cellStyle name="백_출장계획서_새벽시장8.26xls_주단조 업종 평가결과품의(040416)(1)" xfId="26065"/>
    <cellStyle name="백_출장계획서_새벽시장8.26xls_주단조 업종 평가결과품의(040416)(1)_용접업종 평가결과품의(040510)" xfId="26066"/>
    <cellStyle name="백_출장계획서_새벽시장8.26xls_주단조 업종 평가결과품의(040416)(1)_용접업종 평가결과품의(040510)(1)" xfId="26067"/>
    <cellStyle name="백_출장계획서_새벽시장8.26xls_주단조 업종 평가결과품의(040416)(1)_주단조용접업종 평가결과품의(040510)(1)" xfId="26068"/>
    <cellStyle name="백_출장계획서_새벽시장8.26xls_최신-SQ인증업체현황1343사(03년평가완료031229수정)" xfId="26069"/>
    <cellStyle name="백_출장계획서_새벽시장8.26xls_최신-SQ인증업체현황1343사(03년평가완료031229수정)_용접업종 평가결과품의(040510)" xfId="26070"/>
    <cellStyle name="백_출장계획서_새벽시장8.26xls_최신-SQ인증업체현황1343사(03년평가완료031229수정)_용접업종 평가결과품의(040510)(1)" xfId="26071"/>
    <cellStyle name="백_출장계획서_새벽시장8.26xls_최신-SQ인증업체현황1343사(03년평가완료031229수정)_주단조용접업종 평가결과품의(040510)(1)" xfId="26072"/>
    <cellStyle name="백_출장계획서_새벽시장9.16" xfId="26073"/>
    <cellStyle name="백_출장계획서_새벽시장9.16_도금 열처리 주단조 평가품의(040329)" xfId="26074"/>
    <cellStyle name="백_출장계획서_새벽시장9.16_도금 열처리 주단조 평가품의(040329)_도금 열처리 주단조 평가품의(040329)" xfId="26075"/>
    <cellStyle name="백_출장계획서_새벽시장9.16_도금 열처리 주단조 평가품의(040329)업체" xfId="26076"/>
    <cellStyle name="백_출장계획서_새벽시장9.16_열처리결과품의(031017)개발" xfId="26077"/>
    <cellStyle name="백_출장계획서_새벽시장9.16_열처리결과품의(031017)개발_도금 열처리 주단조 평가품의(040329)" xfId="26078"/>
    <cellStyle name="백_출장계획서_새벽시장9.16_용접업종 평가결과품의(040510)" xfId="26079"/>
    <cellStyle name="백_출장계획서_새벽시장9.16_용접업종 평가결과품의(040510)_용접업종 평가결과품의(040510)" xfId="26080"/>
    <cellStyle name="백_출장계획서_새벽시장9.16_용접업종 평가결과품의(040510)_용접업종 평가결과품의(040510)(1)" xfId="26081"/>
    <cellStyle name="백_출장계획서_새벽시장9.16_용접업종 평가결과품의(040510)_주단조용접업종 평가결과품의(040510)(1)" xfId="26082"/>
    <cellStyle name="백_출장계획서_새벽시장9.16_주단조 업종 평가결과품의(040407)" xfId="26083"/>
    <cellStyle name="백_출장계획서_새벽시장9.16_주단조 업종 평가결과품의(040407)_용접업종 평가결과품의(040510)" xfId="26084"/>
    <cellStyle name="백_출장계획서_새벽시장9.16_주단조 업종 평가결과품의(040407)_용접업종 평가결과품의(040510)(1)" xfId="26085"/>
    <cellStyle name="백_출장계획서_새벽시장9.16_주단조 업종 평가결과품의(040407)_주단조용접업종 평가결과품의(040510)(1)" xfId="26086"/>
    <cellStyle name="백_출장계획서_새벽시장9.16_주단조 업종 평가결과품의(040416)(1)" xfId="26087"/>
    <cellStyle name="백_출장계획서_새벽시장9.16_주단조 업종 평가결과품의(040416)(1)_용접업종 평가결과품의(040510)" xfId="26088"/>
    <cellStyle name="백_출장계획서_새벽시장9.16_주단조 업종 평가결과품의(040416)(1)_용접업종 평가결과품의(040510)(1)" xfId="26089"/>
    <cellStyle name="백_출장계획서_새벽시장9.16_주단조 업종 평가결과품의(040416)(1)_주단조용접업종 평가결과품의(040510)(1)" xfId="26090"/>
    <cellStyle name="백_출장계획서_새벽시장9.16_최신-SQ인증업체현황1343사(03년평가완료031229수정)" xfId="26091"/>
    <cellStyle name="백_출장계획서_새벽시장9.16_최신-SQ인증업체현황1343사(03년평가완료031229수정)_용접업종 평가결과품의(040510)" xfId="26092"/>
    <cellStyle name="백_출장계획서_새벽시장9.16_최신-SQ인증업체현황1343사(03년평가완료031229수정)_용접업종 평가결과품의(040510)(1)" xfId="26093"/>
    <cellStyle name="백_출장계획서_새벽시장9.16_최신-SQ인증업체현황1343사(03년평가완료031229수정)_주단조용접업종 평가결과품의(040510)(1)" xfId="26094"/>
    <cellStyle name="백_출장계획서_열처리결과품의(031017)개발" xfId="26095"/>
    <cellStyle name="백_출장계획서_열처리결과품의(031017)개발_도금 열처리 주단조 평가품의(040329)" xfId="26096"/>
    <cellStyle name="백_출장계획서_용접업종 평가결과품의(040510)" xfId="26097"/>
    <cellStyle name="백_출장계획서_용접업종 평가결과품의(040510)_용접업종 평가결과품의(040510)" xfId="26098"/>
    <cellStyle name="백_출장계획서_용접업종 평가결과품의(040510)_용접업종 평가결과품의(040510)(1)" xfId="26099"/>
    <cellStyle name="백_출장계획서_용접업종 평가결과품의(040510)_주단조용접업종 평가결과품의(040510)(1)" xfId="26100"/>
    <cellStyle name="백_출장계획서_주단조 업종 평가결과품의(040407)" xfId="26101"/>
    <cellStyle name="백_출장계획서_주단조 업종 평가결과품의(040407)_용접업종 평가결과품의(040510)" xfId="26102"/>
    <cellStyle name="백_출장계획서_주단조 업종 평가결과품의(040407)_용접업종 평가결과품의(040510)(1)" xfId="26103"/>
    <cellStyle name="백_출장계획서_주단조 업종 평가결과품의(040407)_주단조용접업종 평가결과품의(040510)(1)" xfId="26104"/>
    <cellStyle name="백_출장계획서_주단조 업종 평가결과품의(040416)(1)" xfId="26105"/>
    <cellStyle name="백_출장계획서_주단조 업종 평가결과품의(040416)(1)_용접업종 평가결과품의(040510)" xfId="26106"/>
    <cellStyle name="백_출장계획서_주단조 업종 평가결과품의(040416)(1)_용접업종 평가결과품의(040510)(1)" xfId="26107"/>
    <cellStyle name="백_출장계획서_주단조 업종 평가결과품의(040416)(1)_주단조용접업종 평가결과품의(040510)(1)" xfId="26108"/>
    <cellStyle name="백_출장계획서_최신-SQ인증업체현황1343사(03년평가완료031229수정)" xfId="26109"/>
    <cellStyle name="백_출장계획서_최신-SQ인증업체현황1343사(03년평가완료031229수정)_용접업종 평가결과품의(040510)" xfId="26110"/>
    <cellStyle name="백_출장계획서_최신-SQ인증업체현황1343사(03년평가완료031229수정)_용접업종 평가결과품의(040510)(1)" xfId="26111"/>
    <cellStyle name="백_출장계획서_최신-SQ인증업체현황1343사(03년평가완료031229수정)_주단조용접업종 평가결과품의(040510)(1)" xfId="26112"/>
    <cellStyle name="백분율 2" xfId="26113"/>
    <cellStyle name="백분율 2 2" xfId="26114"/>
    <cellStyle name="백분율 2 2 2" xfId="26115"/>
    <cellStyle name="백분율 2 2 2 2" xfId="26116"/>
    <cellStyle name="백분율 2 2 2 3" xfId="26117"/>
    <cellStyle name="백분율 2 2 3" xfId="26118"/>
    <cellStyle name="백분율 2 3" xfId="26119"/>
    <cellStyle name="백분율 2 3 2" xfId="26120"/>
    <cellStyle name="백분율 2 3 3" xfId="26121"/>
    <cellStyle name="백분율 2 4" xfId="26122"/>
    <cellStyle name="백분율 2 4 2" xfId="26123"/>
    <cellStyle name="백분율 2 5" xfId="26124"/>
    <cellStyle name="백분율 3" xfId="26125"/>
    <cellStyle name="백분율 3 2" xfId="26126"/>
    <cellStyle name="백분율 4" xfId="26127"/>
    <cellStyle name="백분율 4 2" xfId="26128"/>
    <cellStyle name="백분율 5" xfId="26129"/>
    <cellStyle name="백분율 5 2" xfId="26130"/>
    <cellStyle name="백분율 6" xfId="26131"/>
    <cellStyle name="백분율 6 10" xfId="26132"/>
    <cellStyle name="백분율 6 10 2" xfId="26133"/>
    <cellStyle name="백분율 6 10 2 2" xfId="26134"/>
    <cellStyle name="백분율 6 10 2 2 2" xfId="26135"/>
    <cellStyle name="백분율 6 10 2 2 2 2" xfId="26136"/>
    <cellStyle name="백분율 6 10 2 2 2 3" xfId="26137"/>
    <cellStyle name="백분율 6 10 2 2 3" xfId="26138"/>
    <cellStyle name="백분율 6 10 2 2 4" xfId="26139"/>
    <cellStyle name="백분율 6 10 2 3" xfId="26140"/>
    <cellStyle name="백분율 6 10 2 3 2" xfId="26141"/>
    <cellStyle name="백분율 6 10 2 3 3" xfId="26142"/>
    <cellStyle name="백분율 6 10 2 4" xfId="26143"/>
    <cellStyle name="백분율 6 10 2 5" xfId="26144"/>
    <cellStyle name="백분율 6 10 3" xfId="26145"/>
    <cellStyle name="백분율 6 10 3 2" xfId="26146"/>
    <cellStyle name="백분율 6 10 3 2 2" xfId="26147"/>
    <cellStyle name="백분율 6 10 3 2 2 2" xfId="26148"/>
    <cellStyle name="백분율 6 10 3 2 2 3" xfId="26149"/>
    <cellStyle name="백분율 6 10 3 2 3" xfId="26150"/>
    <cellStyle name="백분율 6 10 3 2 4" xfId="26151"/>
    <cellStyle name="백분율 6 10 3 3" xfId="26152"/>
    <cellStyle name="백분율 6 10 3 3 2" xfId="26153"/>
    <cellStyle name="백분율 6 10 3 3 3" xfId="26154"/>
    <cellStyle name="백분율 6 10 3 4" xfId="26155"/>
    <cellStyle name="백분율 6 10 3 5" xfId="26156"/>
    <cellStyle name="백분율 6 10 4" xfId="26157"/>
    <cellStyle name="백분율 6 10 4 2" xfId="26158"/>
    <cellStyle name="백분율 6 10 4 2 2" xfId="26159"/>
    <cellStyle name="백분율 6 10 4 2 3" xfId="26160"/>
    <cellStyle name="백분율 6 10 4 3" xfId="26161"/>
    <cellStyle name="백분율 6 10 4 4" xfId="26162"/>
    <cellStyle name="백분율 6 10 5" xfId="26163"/>
    <cellStyle name="백분율 6 10 5 2" xfId="26164"/>
    <cellStyle name="백분율 6 10 5 3" xfId="26165"/>
    <cellStyle name="백분율 6 10 6" xfId="26166"/>
    <cellStyle name="백분율 6 10 7" xfId="26167"/>
    <cellStyle name="백분율 6 11" xfId="26168"/>
    <cellStyle name="백분율 6 11 2" xfId="26169"/>
    <cellStyle name="백분율 6 11 2 2" xfId="26170"/>
    <cellStyle name="백분율 6 11 2 2 2" xfId="26171"/>
    <cellStyle name="백분율 6 11 2 2 3" xfId="26172"/>
    <cellStyle name="백분율 6 11 2 3" xfId="26173"/>
    <cellStyle name="백분율 6 11 2 4" xfId="26174"/>
    <cellStyle name="백분율 6 11 3" xfId="26175"/>
    <cellStyle name="백분율 6 11 3 2" xfId="26176"/>
    <cellStyle name="백분율 6 11 3 3" xfId="26177"/>
    <cellStyle name="백분율 6 11 4" xfId="26178"/>
    <cellStyle name="백분율 6 11 5" xfId="26179"/>
    <cellStyle name="백분율 6 12" xfId="26180"/>
    <cellStyle name="백분율 6 12 2" xfId="26181"/>
    <cellStyle name="백분율 6 12 2 2" xfId="26182"/>
    <cellStyle name="백분율 6 12 2 2 2" xfId="26183"/>
    <cellStyle name="백분율 6 12 2 2 3" xfId="26184"/>
    <cellStyle name="백분율 6 12 2 3" xfId="26185"/>
    <cellStyle name="백분율 6 12 2 4" xfId="26186"/>
    <cellStyle name="백분율 6 12 3" xfId="26187"/>
    <cellStyle name="백분율 6 12 3 2" xfId="26188"/>
    <cellStyle name="백분율 6 12 3 3" xfId="26189"/>
    <cellStyle name="백분율 6 12 4" xfId="26190"/>
    <cellStyle name="백분율 6 12 5" xfId="26191"/>
    <cellStyle name="백분율 6 13" xfId="26192"/>
    <cellStyle name="백분율 6 13 2" xfId="26193"/>
    <cellStyle name="백분율 6 13 2 2" xfId="26194"/>
    <cellStyle name="백분율 6 13 2 2 2" xfId="26195"/>
    <cellStyle name="백분율 6 13 2 2 3" xfId="26196"/>
    <cellStyle name="백분율 6 13 2 3" xfId="26197"/>
    <cellStyle name="백분율 6 13 2 4" xfId="26198"/>
    <cellStyle name="백분율 6 13 3" xfId="26199"/>
    <cellStyle name="백분율 6 13 3 2" xfId="26200"/>
    <cellStyle name="백분율 6 13 3 3" xfId="26201"/>
    <cellStyle name="백분율 6 13 4" xfId="26202"/>
    <cellStyle name="백분율 6 13 5" xfId="26203"/>
    <cellStyle name="백분율 6 14" xfId="26204"/>
    <cellStyle name="백분율 6 14 2" xfId="26205"/>
    <cellStyle name="백분율 6 14 2 2" xfId="26206"/>
    <cellStyle name="백분율 6 14 2 3" xfId="26207"/>
    <cellStyle name="백분율 6 14 3" xfId="26208"/>
    <cellStyle name="백분율 6 14 4" xfId="26209"/>
    <cellStyle name="백분율 6 15" xfId="26210"/>
    <cellStyle name="백분율 6 15 2" xfId="26211"/>
    <cellStyle name="백분율 6 15 3" xfId="26212"/>
    <cellStyle name="백분율 6 16" xfId="26213"/>
    <cellStyle name="백분율 6 17" xfId="26214"/>
    <cellStyle name="백분율 6 18" xfId="26215"/>
    <cellStyle name="백분율 6 18 2" xfId="26216"/>
    <cellStyle name="백분율 6 2" xfId="26217"/>
    <cellStyle name="백분율 6 2 10" xfId="26218"/>
    <cellStyle name="백분율 6 2 10 2" xfId="26219"/>
    <cellStyle name="백분율 6 2 10 2 2" xfId="26220"/>
    <cellStyle name="백분율 6 2 10 2 2 2" xfId="26221"/>
    <cellStyle name="백분율 6 2 10 2 2 3" xfId="26222"/>
    <cellStyle name="백분율 6 2 10 2 3" xfId="26223"/>
    <cellStyle name="백분율 6 2 10 2 4" xfId="26224"/>
    <cellStyle name="백분율 6 2 10 3" xfId="26225"/>
    <cellStyle name="백분율 6 2 10 3 2" xfId="26226"/>
    <cellStyle name="백분율 6 2 10 3 3" xfId="26227"/>
    <cellStyle name="백분율 6 2 10 4" xfId="26228"/>
    <cellStyle name="백분율 6 2 10 5" xfId="26229"/>
    <cellStyle name="백분율 6 2 11" xfId="26230"/>
    <cellStyle name="백분율 6 2 11 2" xfId="26231"/>
    <cellStyle name="백분율 6 2 11 2 2" xfId="26232"/>
    <cellStyle name="백분율 6 2 11 2 3" xfId="26233"/>
    <cellStyle name="백분율 6 2 11 3" xfId="26234"/>
    <cellStyle name="백분율 6 2 11 4" xfId="26235"/>
    <cellStyle name="백분율 6 2 12" xfId="26236"/>
    <cellStyle name="백분율 6 2 12 2" xfId="26237"/>
    <cellStyle name="백분율 6 2 12 3" xfId="26238"/>
    <cellStyle name="백분율 6 2 13" xfId="26239"/>
    <cellStyle name="백분율 6 2 14" xfId="26240"/>
    <cellStyle name="백분율 6 2 2" xfId="26241"/>
    <cellStyle name="백분율 6 2 2 10" xfId="26242"/>
    <cellStyle name="백분율 6 2 2 10 2" xfId="26243"/>
    <cellStyle name="백분율 6 2 2 10 2 2" xfId="26244"/>
    <cellStyle name="백분율 6 2 2 10 2 3" xfId="26245"/>
    <cellStyle name="백분율 6 2 2 10 3" xfId="26246"/>
    <cellStyle name="백분율 6 2 2 10 4" xfId="26247"/>
    <cellStyle name="백분율 6 2 2 11" xfId="26248"/>
    <cellStyle name="백분율 6 2 2 11 2" xfId="26249"/>
    <cellStyle name="백분율 6 2 2 11 3" xfId="26250"/>
    <cellStyle name="백분율 6 2 2 12" xfId="26251"/>
    <cellStyle name="백분율 6 2 2 13" xfId="26252"/>
    <cellStyle name="백분율 6 2 2 2" xfId="26253"/>
    <cellStyle name="백분율 6 2 2 2 10" xfId="26254"/>
    <cellStyle name="백분율 6 2 2 2 2" xfId="26255"/>
    <cellStyle name="백분율 6 2 2 2 2 2" xfId="26256"/>
    <cellStyle name="백분율 6 2 2 2 2 2 2" xfId="26257"/>
    <cellStyle name="백분율 6 2 2 2 2 2 2 2" xfId="26258"/>
    <cellStyle name="백분율 6 2 2 2 2 2 2 2 2" xfId="26259"/>
    <cellStyle name="백분율 6 2 2 2 2 2 2 2 3" xfId="26260"/>
    <cellStyle name="백분율 6 2 2 2 2 2 2 3" xfId="26261"/>
    <cellStyle name="백분율 6 2 2 2 2 2 2 4" xfId="26262"/>
    <cellStyle name="백분율 6 2 2 2 2 2 3" xfId="26263"/>
    <cellStyle name="백분율 6 2 2 2 2 2 3 2" xfId="26264"/>
    <cellStyle name="백분율 6 2 2 2 2 2 3 3" xfId="26265"/>
    <cellStyle name="백분율 6 2 2 2 2 2 4" xfId="26266"/>
    <cellStyle name="백분율 6 2 2 2 2 2 5" xfId="26267"/>
    <cellStyle name="백분율 6 2 2 2 2 3" xfId="26268"/>
    <cellStyle name="백분율 6 2 2 2 2 3 2" xfId="26269"/>
    <cellStyle name="백분율 6 2 2 2 2 3 2 2" xfId="26270"/>
    <cellStyle name="백분율 6 2 2 2 2 3 2 2 2" xfId="26271"/>
    <cellStyle name="백분율 6 2 2 2 2 3 2 2 3" xfId="26272"/>
    <cellStyle name="백분율 6 2 2 2 2 3 2 3" xfId="26273"/>
    <cellStyle name="백분율 6 2 2 2 2 3 2 4" xfId="26274"/>
    <cellStyle name="백분율 6 2 2 2 2 3 3" xfId="26275"/>
    <cellStyle name="백분율 6 2 2 2 2 3 3 2" xfId="26276"/>
    <cellStyle name="백분율 6 2 2 2 2 3 3 3" xfId="26277"/>
    <cellStyle name="백분율 6 2 2 2 2 3 4" xfId="26278"/>
    <cellStyle name="백분율 6 2 2 2 2 3 5" xfId="26279"/>
    <cellStyle name="백분율 6 2 2 2 2 4" xfId="26280"/>
    <cellStyle name="백분율 6 2 2 2 2 4 2" xfId="26281"/>
    <cellStyle name="백분율 6 2 2 2 2 4 2 2" xfId="26282"/>
    <cellStyle name="백분율 6 2 2 2 2 4 2 3" xfId="26283"/>
    <cellStyle name="백분율 6 2 2 2 2 4 3" xfId="26284"/>
    <cellStyle name="백분율 6 2 2 2 2 4 4" xfId="26285"/>
    <cellStyle name="백분율 6 2 2 2 2 5" xfId="26286"/>
    <cellStyle name="백분율 6 2 2 2 2 5 2" xfId="26287"/>
    <cellStyle name="백분율 6 2 2 2 2 5 3" xfId="26288"/>
    <cellStyle name="백분율 6 2 2 2 2 6" xfId="26289"/>
    <cellStyle name="백분율 6 2 2 2 2 7" xfId="26290"/>
    <cellStyle name="백분율 6 2 2 2 3" xfId="26291"/>
    <cellStyle name="백분율 6 2 2 2 3 2" xfId="26292"/>
    <cellStyle name="백분율 6 2 2 2 3 2 2" xfId="26293"/>
    <cellStyle name="백분율 6 2 2 2 3 2 2 2" xfId="26294"/>
    <cellStyle name="백분율 6 2 2 2 3 2 2 2 2" xfId="26295"/>
    <cellStyle name="백분율 6 2 2 2 3 2 2 2 3" xfId="26296"/>
    <cellStyle name="백분율 6 2 2 2 3 2 2 3" xfId="26297"/>
    <cellStyle name="백분율 6 2 2 2 3 2 2 4" xfId="26298"/>
    <cellStyle name="백분율 6 2 2 2 3 2 3" xfId="26299"/>
    <cellStyle name="백분율 6 2 2 2 3 2 3 2" xfId="26300"/>
    <cellStyle name="백분율 6 2 2 2 3 2 3 3" xfId="26301"/>
    <cellStyle name="백분율 6 2 2 2 3 2 4" xfId="26302"/>
    <cellStyle name="백분율 6 2 2 2 3 2 5" xfId="26303"/>
    <cellStyle name="백분율 6 2 2 2 3 3" xfId="26304"/>
    <cellStyle name="백분율 6 2 2 2 3 3 2" xfId="26305"/>
    <cellStyle name="백분율 6 2 2 2 3 3 2 2" xfId="26306"/>
    <cellStyle name="백분율 6 2 2 2 3 3 2 2 2" xfId="26307"/>
    <cellStyle name="백분율 6 2 2 2 3 3 2 2 3" xfId="26308"/>
    <cellStyle name="백분율 6 2 2 2 3 3 2 3" xfId="26309"/>
    <cellStyle name="백분율 6 2 2 2 3 3 2 4" xfId="26310"/>
    <cellStyle name="백분율 6 2 2 2 3 3 3" xfId="26311"/>
    <cellStyle name="백분율 6 2 2 2 3 3 3 2" xfId="26312"/>
    <cellStyle name="백분율 6 2 2 2 3 3 3 3" xfId="26313"/>
    <cellStyle name="백분율 6 2 2 2 3 3 4" xfId="26314"/>
    <cellStyle name="백분율 6 2 2 2 3 3 5" xfId="26315"/>
    <cellStyle name="백분율 6 2 2 2 3 4" xfId="26316"/>
    <cellStyle name="백분율 6 2 2 2 3 4 2" xfId="26317"/>
    <cellStyle name="백분율 6 2 2 2 3 4 2 2" xfId="26318"/>
    <cellStyle name="백분율 6 2 2 2 3 4 2 3" xfId="26319"/>
    <cellStyle name="백분율 6 2 2 2 3 4 3" xfId="26320"/>
    <cellStyle name="백분율 6 2 2 2 3 4 4" xfId="26321"/>
    <cellStyle name="백분율 6 2 2 2 3 5" xfId="26322"/>
    <cellStyle name="백분율 6 2 2 2 3 5 2" xfId="26323"/>
    <cellStyle name="백분율 6 2 2 2 3 5 3" xfId="26324"/>
    <cellStyle name="백분율 6 2 2 2 3 6" xfId="26325"/>
    <cellStyle name="백분율 6 2 2 2 3 7" xfId="26326"/>
    <cellStyle name="백분율 6 2 2 2 4" xfId="26327"/>
    <cellStyle name="백분율 6 2 2 2 4 2" xfId="26328"/>
    <cellStyle name="백분율 6 2 2 2 4 2 2" xfId="26329"/>
    <cellStyle name="백분율 6 2 2 2 4 2 2 2" xfId="26330"/>
    <cellStyle name="백분율 6 2 2 2 4 2 2 3" xfId="26331"/>
    <cellStyle name="백분율 6 2 2 2 4 2 3" xfId="26332"/>
    <cellStyle name="백분율 6 2 2 2 4 2 4" xfId="26333"/>
    <cellStyle name="백분율 6 2 2 2 4 3" xfId="26334"/>
    <cellStyle name="백분율 6 2 2 2 4 3 2" xfId="26335"/>
    <cellStyle name="백분율 6 2 2 2 4 3 3" xfId="26336"/>
    <cellStyle name="백분율 6 2 2 2 4 4" xfId="26337"/>
    <cellStyle name="백분율 6 2 2 2 4 5" xfId="26338"/>
    <cellStyle name="백분율 6 2 2 2 5" xfId="26339"/>
    <cellStyle name="백분율 6 2 2 2 5 2" xfId="26340"/>
    <cellStyle name="백분율 6 2 2 2 5 2 2" xfId="26341"/>
    <cellStyle name="백분율 6 2 2 2 5 2 2 2" xfId="26342"/>
    <cellStyle name="백분율 6 2 2 2 5 2 2 3" xfId="26343"/>
    <cellStyle name="백분율 6 2 2 2 5 2 3" xfId="26344"/>
    <cellStyle name="백분율 6 2 2 2 5 2 4" xfId="26345"/>
    <cellStyle name="백분율 6 2 2 2 5 3" xfId="26346"/>
    <cellStyle name="백분율 6 2 2 2 5 3 2" xfId="26347"/>
    <cellStyle name="백분율 6 2 2 2 5 3 3" xfId="26348"/>
    <cellStyle name="백분율 6 2 2 2 5 4" xfId="26349"/>
    <cellStyle name="백분율 6 2 2 2 5 5" xfId="26350"/>
    <cellStyle name="백분율 6 2 2 2 6" xfId="26351"/>
    <cellStyle name="백분율 6 2 2 2 6 2" xfId="26352"/>
    <cellStyle name="백분율 6 2 2 2 6 2 2" xfId="26353"/>
    <cellStyle name="백분율 6 2 2 2 6 2 2 2" xfId="26354"/>
    <cellStyle name="백분율 6 2 2 2 6 2 2 3" xfId="26355"/>
    <cellStyle name="백분율 6 2 2 2 6 2 3" xfId="26356"/>
    <cellStyle name="백분율 6 2 2 2 6 2 4" xfId="26357"/>
    <cellStyle name="백분율 6 2 2 2 6 3" xfId="26358"/>
    <cellStyle name="백분율 6 2 2 2 6 3 2" xfId="26359"/>
    <cellStyle name="백분율 6 2 2 2 6 3 3" xfId="26360"/>
    <cellStyle name="백분율 6 2 2 2 6 4" xfId="26361"/>
    <cellStyle name="백분율 6 2 2 2 6 5" xfId="26362"/>
    <cellStyle name="백분율 6 2 2 2 7" xfId="26363"/>
    <cellStyle name="백분율 6 2 2 2 7 2" xfId="26364"/>
    <cellStyle name="백분율 6 2 2 2 7 2 2" xfId="26365"/>
    <cellStyle name="백분율 6 2 2 2 7 2 3" xfId="26366"/>
    <cellStyle name="백분율 6 2 2 2 7 3" xfId="26367"/>
    <cellStyle name="백분율 6 2 2 2 7 4" xfId="26368"/>
    <cellStyle name="백분율 6 2 2 2 8" xfId="26369"/>
    <cellStyle name="백분율 6 2 2 2 8 2" xfId="26370"/>
    <cellStyle name="백분율 6 2 2 2 8 3" xfId="26371"/>
    <cellStyle name="백분율 6 2 2 2 9" xfId="26372"/>
    <cellStyle name="백분율 6 2 2 3" xfId="26373"/>
    <cellStyle name="백분율 6 2 2 3 10" xfId="26374"/>
    <cellStyle name="백분율 6 2 2 3 2" xfId="26375"/>
    <cellStyle name="백분율 6 2 2 3 2 2" xfId="26376"/>
    <cellStyle name="백분율 6 2 2 3 2 2 2" xfId="26377"/>
    <cellStyle name="백분율 6 2 2 3 2 2 2 2" xfId="26378"/>
    <cellStyle name="백분율 6 2 2 3 2 2 2 2 2" xfId="26379"/>
    <cellStyle name="백분율 6 2 2 3 2 2 2 2 3" xfId="26380"/>
    <cellStyle name="백분율 6 2 2 3 2 2 2 3" xfId="26381"/>
    <cellStyle name="백분율 6 2 2 3 2 2 2 4" xfId="26382"/>
    <cellStyle name="백분율 6 2 2 3 2 2 3" xfId="26383"/>
    <cellStyle name="백분율 6 2 2 3 2 2 3 2" xfId="26384"/>
    <cellStyle name="백분율 6 2 2 3 2 2 3 3" xfId="26385"/>
    <cellStyle name="백분율 6 2 2 3 2 2 4" xfId="26386"/>
    <cellStyle name="백분율 6 2 2 3 2 2 5" xfId="26387"/>
    <cellStyle name="백분율 6 2 2 3 2 3" xfId="26388"/>
    <cellStyle name="백분율 6 2 2 3 2 3 2" xfId="26389"/>
    <cellStyle name="백분율 6 2 2 3 2 3 2 2" xfId="26390"/>
    <cellStyle name="백분율 6 2 2 3 2 3 2 2 2" xfId="26391"/>
    <cellStyle name="백분율 6 2 2 3 2 3 2 2 3" xfId="26392"/>
    <cellStyle name="백분율 6 2 2 3 2 3 2 3" xfId="26393"/>
    <cellStyle name="백분율 6 2 2 3 2 3 2 4" xfId="26394"/>
    <cellStyle name="백분율 6 2 2 3 2 3 3" xfId="26395"/>
    <cellStyle name="백분율 6 2 2 3 2 3 3 2" xfId="26396"/>
    <cellStyle name="백분율 6 2 2 3 2 3 3 3" xfId="26397"/>
    <cellStyle name="백분율 6 2 2 3 2 3 4" xfId="26398"/>
    <cellStyle name="백분율 6 2 2 3 2 3 5" xfId="26399"/>
    <cellStyle name="백분율 6 2 2 3 2 4" xfId="26400"/>
    <cellStyle name="백분율 6 2 2 3 2 4 2" xfId="26401"/>
    <cellStyle name="백분율 6 2 2 3 2 4 2 2" xfId="26402"/>
    <cellStyle name="백분율 6 2 2 3 2 4 2 3" xfId="26403"/>
    <cellStyle name="백분율 6 2 2 3 2 4 3" xfId="26404"/>
    <cellStyle name="백분율 6 2 2 3 2 4 4" xfId="26405"/>
    <cellStyle name="백분율 6 2 2 3 2 5" xfId="26406"/>
    <cellStyle name="백분율 6 2 2 3 2 5 2" xfId="26407"/>
    <cellStyle name="백분율 6 2 2 3 2 5 3" xfId="26408"/>
    <cellStyle name="백분율 6 2 2 3 2 6" xfId="26409"/>
    <cellStyle name="백분율 6 2 2 3 2 7" xfId="26410"/>
    <cellStyle name="백분율 6 2 2 3 3" xfId="26411"/>
    <cellStyle name="백분율 6 2 2 3 3 2" xfId="26412"/>
    <cellStyle name="백분율 6 2 2 3 3 2 2" xfId="26413"/>
    <cellStyle name="백분율 6 2 2 3 3 2 2 2" xfId="26414"/>
    <cellStyle name="백분율 6 2 2 3 3 2 2 2 2" xfId="26415"/>
    <cellStyle name="백분율 6 2 2 3 3 2 2 2 3" xfId="26416"/>
    <cellStyle name="백분율 6 2 2 3 3 2 2 3" xfId="26417"/>
    <cellStyle name="백분율 6 2 2 3 3 2 2 4" xfId="26418"/>
    <cellStyle name="백분율 6 2 2 3 3 2 3" xfId="26419"/>
    <cellStyle name="백분율 6 2 2 3 3 2 3 2" xfId="26420"/>
    <cellStyle name="백분율 6 2 2 3 3 2 3 3" xfId="26421"/>
    <cellStyle name="백분율 6 2 2 3 3 2 4" xfId="26422"/>
    <cellStyle name="백분율 6 2 2 3 3 2 5" xfId="26423"/>
    <cellStyle name="백분율 6 2 2 3 3 3" xfId="26424"/>
    <cellStyle name="백분율 6 2 2 3 3 3 2" xfId="26425"/>
    <cellStyle name="백분율 6 2 2 3 3 3 2 2" xfId="26426"/>
    <cellStyle name="백분율 6 2 2 3 3 3 2 2 2" xfId="26427"/>
    <cellStyle name="백분율 6 2 2 3 3 3 2 2 3" xfId="26428"/>
    <cellStyle name="백분율 6 2 2 3 3 3 2 3" xfId="26429"/>
    <cellStyle name="백분율 6 2 2 3 3 3 2 4" xfId="26430"/>
    <cellStyle name="백분율 6 2 2 3 3 3 3" xfId="26431"/>
    <cellStyle name="백분율 6 2 2 3 3 3 3 2" xfId="26432"/>
    <cellStyle name="백분율 6 2 2 3 3 3 3 3" xfId="26433"/>
    <cellStyle name="백분율 6 2 2 3 3 3 4" xfId="26434"/>
    <cellStyle name="백분율 6 2 2 3 3 3 5" xfId="26435"/>
    <cellStyle name="백분율 6 2 2 3 3 4" xfId="26436"/>
    <cellStyle name="백분율 6 2 2 3 3 4 2" xfId="26437"/>
    <cellStyle name="백분율 6 2 2 3 3 4 2 2" xfId="26438"/>
    <cellStyle name="백분율 6 2 2 3 3 4 2 3" xfId="26439"/>
    <cellStyle name="백분율 6 2 2 3 3 4 3" xfId="26440"/>
    <cellStyle name="백분율 6 2 2 3 3 4 4" xfId="26441"/>
    <cellStyle name="백분율 6 2 2 3 3 5" xfId="26442"/>
    <cellStyle name="백분율 6 2 2 3 3 5 2" xfId="26443"/>
    <cellStyle name="백분율 6 2 2 3 3 5 3" xfId="26444"/>
    <cellStyle name="백분율 6 2 2 3 3 6" xfId="26445"/>
    <cellStyle name="백분율 6 2 2 3 3 7" xfId="26446"/>
    <cellStyle name="백분율 6 2 2 3 4" xfId="26447"/>
    <cellStyle name="백분율 6 2 2 3 4 2" xfId="26448"/>
    <cellStyle name="백분율 6 2 2 3 4 2 2" xfId="26449"/>
    <cellStyle name="백분율 6 2 2 3 4 2 2 2" xfId="26450"/>
    <cellStyle name="백분율 6 2 2 3 4 2 2 3" xfId="26451"/>
    <cellStyle name="백분율 6 2 2 3 4 2 3" xfId="26452"/>
    <cellStyle name="백분율 6 2 2 3 4 2 4" xfId="26453"/>
    <cellStyle name="백분율 6 2 2 3 4 3" xfId="26454"/>
    <cellStyle name="백분율 6 2 2 3 4 3 2" xfId="26455"/>
    <cellStyle name="백분율 6 2 2 3 4 3 3" xfId="26456"/>
    <cellStyle name="백분율 6 2 2 3 4 4" xfId="26457"/>
    <cellStyle name="백분율 6 2 2 3 4 5" xfId="26458"/>
    <cellStyle name="백분율 6 2 2 3 5" xfId="26459"/>
    <cellStyle name="백분율 6 2 2 3 5 2" xfId="26460"/>
    <cellStyle name="백분율 6 2 2 3 5 2 2" xfId="26461"/>
    <cellStyle name="백분율 6 2 2 3 5 2 2 2" xfId="26462"/>
    <cellStyle name="백분율 6 2 2 3 5 2 2 3" xfId="26463"/>
    <cellStyle name="백분율 6 2 2 3 5 2 3" xfId="26464"/>
    <cellStyle name="백분율 6 2 2 3 5 2 4" xfId="26465"/>
    <cellStyle name="백분율 6 2 2 3 5 3" xfId="26466"/>
    <cellStyle name="백분율 6 2 2 3 5 3 2" xfId="26467"/>
    <cellStyle name="백분율 6 2 2 3 5 3 3" xfId="26468"/>
    <cellStyle name="백분율 6 2 2 3 5 4" xfId="26469"/>
    <cellStyle name="백분율 6 2 2 3 5 5" xfId="26470"/>
    <cellStyle name="백분율 6 2 2 3 6" xfId="26471"/>
    <cellStyle name="백분율 6 2 2 3 6 2" xfId="26472"/>
    <cellStyle name="백분율 6 2 2 3 6 2 2" xfId="26473"/>
    <cellStyle name="백분율 6 2 2 3 6 2 2 2" xfId="26474"/>
    <cellStyle name="백분율 6 2 2 3 6 2 2 3" xfId="26475"/>
    <cellStyle name="백분율 6 2 2 3 6 2 3" xfId="26476"/>
    <cellStyle name="백분율 6 2 2 3 6 2 4" xfId="26477"/>
    <cellStyle name="백분율 6 2 2 3 6 3" xfId="26478"/>
    <cellStyle name="백분율 6 2 2 3 6 3 2" xfId="26479"/>
    <cellStyle name="백분율 6 2 2 3 6 3 3" xfId="26480"/>
    <cellStyle name="백분율 6 2 2 3 6 4" xfId="26481"/>
    <cellStyle name="백분율 6 2 2 3 6 5" xfId="26482"/>
    <cellStyle name="백분율 6 2 2 3 7" xfId="26483"/>
    <cellStyle name="백분율 6 2 2 3 7 2" xfId="26484"/>
    <cellStyle name="백분율 6 2 2 3 7 2 2" xfId="26485"/>
    <cellStyle name="백분율 6 2 2 3 7 2 3" xfId="26486"/>
    <cellStyle name="백분율 6 2 2 3 7 3" xfId="26487"/>
    <cellStyle name="백분율 6 2 2 3 7 4" xfId="26488"/>
    <cellStyle name="백분율 6 2 2 3 8" xfId="26489"/>
    <cellStyle name="백분율 6 2 2 3 8 2" xfId="26490"/>
    <cellStyle name="백분율 6 2 2 3 8 3" xfId="26491"/>
    <cellStyle name="백분율 6 2 2 3 9" xfId="26492"/>
    <cellStyle name="백분율 6 2 2 4" xfId="26493"/>
    <cellStyle name="백분율 6 2 2 4 10" xfId="26494"/>
    <cellStyle name="백분율 6 2 2 4 2" xfId="26495"/>
    <cellStyle name="백분율 6 2 2 4 2 2" xfId="26496"/>
    <cellStyle name="백분율 6 2 2 4 2 2 2" xfId="26497"/>
    <cellStyle name="백분율 6 2 2 4 2 2 2 2" xfId="26498"/>
    <cellStyle name="백분율 6 2 2 4 2 2 2 2 2" xfId="26499"/>
    <cellStyle name="백분율 6 2 2 4 2 2 2 2 3" xfId="26500"/>
    <cellStyle name="백분율 6 2 2 4 2 2 2 3" xfId="26501"/>
    <cellStyle name="백분율 6 2 2 4 2 2 2 4" xfId="26502"/>
    <cellStyle name="백분율 6 2 2 4 2 2 3" xfId="26503"/>
    <cellStyle name="백분율 6 2 2 4 2 2 3 2" xfId="26504"/>
    <cellStyle name="백분율 6 2 2 4 2 2 3 3" xfId="26505"/>
    <cellStyle name="백분율 6 2 2 4 2 2 4" xfId="26506"/>
    <cellStyle name="백분율 6 2 2 4 2 2 5" xfId="26507"/>
    <cellStyle name="백분율 6 2 2 4 2 3" xfId="26508"/>
    <cellStyle name="백분율 6 2 2 4 2 3 2" xfId="26509"/>
    <cellStyle name="백분율 6 2 2 4 2 3 2 2" xfId="26510"/>
    <cellStyle name="백분율 6 2 2 4 2 3 2 2 2" xfId="26511"/>
    <cellStyle name="백분율 6 2 2 4 2 3 2 2 3" xfId="26512"/>
    <cellStyle name="백분율 6 2 2 4 2 3 2 3" xfId="26513"/>
    <cellStyle name="백분율 6 2 2 4 2 3 2 4" xfId="26514"/>
    <cellStyle name="백분율 6 2 2 4 2 3 3" xfId="26515"/>
    <cellStyle name="백분율 6 2 2 4 2 3 3 2" xfId="26516"/>
    <cellStyle name="백분율 6 2 2 4 2 3 3 3" xfId="26517"/>
    <cellStyle name="백분율 6 2 2 4 2 3 4" xfId="26518"/>
    <cellStyle name="백분율 6 2 2 4 2 3 5" xfId="26519"/>
    <cellStyle name="백분율 6 2 2 4 2 4" xfId="26520"/>
    <cellStyle name="백분율 6 2 2 4 2 4 2" xfId="26521"/>
    <cellStyle name="백분율 6 2 2 4 2 4 2 2" xfId="26522"/>
    <cellStyle name="백분율 6 2 2 4 2 4 2 3" xfId="26523"/>
    <cellStyle name="백분율 6 2 2 4 2 4 3" xfId="26524"/>
    <cellStyle name="백분율 6 2 2 4 2 4 4" xfId="26525"/>
    <cellStyle name="백분율 6 2 2 4 2 5" xfId="26526"/>
    <cellStyle name="백분율 6 2 2 4 2 5 2" xfId="26527"/>
    <cellStyle name="백분율 6 2 2 4 2 5 3" xfId="26528"/>
    <cellStyle name="백분율 6 2 2 4 2 6" xfId="26529"/>
    <cellStyle name="백분율 6 2 2 4 2 7" xfId="26530"/>
    <cellStyle name="백분율 6 2 2 4 3" xfId="26531"/>
    <cellStyle name="백분율 6 2 2 4 3 2" xfId="26532"/>
    <cellStyle name="백분율 6 2 2 4 3 2 2" xfId="26533"/>
    <cellStyle name="백분율 6 2 2 4 3 2 2 2" xfId="26534"/>
    <cellStyle name="백분율 6 2 2 4 3 2 2 2 2" xfId="26535"/>
    <cellStyle name="백분율 6 2 2 4 3 2 2 2 3" xfId="26536"/>
    <cellStyle name="백분율 6 2 2 4 3 2 2 3" xfId="26537"/>
    <cellStyle name="백분율 6 2 2 4 3 2 2 4" xfId="26538"/>
    <cellStyle name="백분율 6 2 2 4 3 2 3" xfId="26539"/>
    <cellStyle name="백분율 6 2 2 4 3 2 3 2" xfId="26540"/>
    <cellStyle name="백분율 6 2 2 4 3 2 3 3" xfId="26541"/>
    <cellStyle name="백분율 6 2 2 4 3 2 4" xfId="26542"/>
    <cellStyle name="백분율 6 2 2 4 3 2 5" xfId="26543"/>
    <cellStyle name="백분율 6 2 2 4 3 3" xfId="26544"/>
    <cellStyle name="백분율 6 2 2 4 3 3 2" xfId="26545"/>
    <cellStyle name="백분율 6 2 2 4 3 3 2 2" xfId="26546"/>
    <cellStyle name="백분율 6 2 2 4 3 3 2 2 2" xfId="26547"/>
    <cellStyle name="백분율 6 2 2 4 3 3 2 2 3" xfId="26548"/>
    <cellStyle name="백분율 6 2 2 4 3 3 2 3" xfId="26549"/>
    <cellStyle name="백분율 6 2 2 4 3 3 2 4" xfId="26550"/>
    <cellStyle name="백분율 6 2 2 4 3 3 3" xfId="26551"/>
    <cellStyle name="백분율 6 2 2 4 3 3 3 2" xfId="26552"/>
    <cellStyle name="백분율 6 2 2 4 3 3 3 3" xfId="26553"/>
    <cellStyle name="백분율 6 2 2 4 3 3 4" xfId="26554"/>
    <cellStyle name="백분율 6 2 2 4 3 3 5" xfId="26555"/>
    <cellStyle name="백분율 6 2 2 4 3 4" xfId="26556"/>
    <cellStyle name="백분율 6 2 2 4 3 4 2" xfId="26557"/>
    <cellStyle name="백분율 6 2 2 4 3 4 2 2" xfId="26558"/>
    <cellStyle name="백분율 6 2 2 4 3 4 2 3" xfId="26559"/>
    <cellStyle name="백분율 6 2 2 4 3 4 3" xfId="26560"/>
    <cellStyle name="백분율 6 2 2 4 3 4 4" xfId="26561"/>
    <cellStyle name="백분율 6 2 2 4 3 5" xfId="26562"/>
    <cellStyle name="백분율 6 2 2 4 3 5 2" xfId="26563"/>
    <cellStyle name="백분율 6 2 2 4 3 5 3" xfId="26564"/>
    <cellStyle name="백분율 6 2 2 4 3 6" xfId="26565"/>
    <cellStyle name="백분율 6 2 2 4 3 7" xfId="26566"/>
    <cellStyle name="백분율 6 2 2 4 4" xfId="26567"/>
    <cellStyle name="백분율 6 2 2 4 4 2" xfId="26568"/>
    <cellStyle name="백분율 6 2 2 4 4 2 2" xfId="26569"/>
    <cellStyle name="백분율 6 2 2 4 4 2 2 2" xfId="26570"/>
    <cellStyle name="백분율 6 2 2 4 4 2 2 3" xfId="26571"/>
    <cellStyle name="백분율 6 2 2 4 4 2 3" xfId="26572"/>
    <cellStyle name="백분율 6 2 2 4 4 2 4" xfId="26573"/>
    <cellStyle name="백분율 6 2 2 4 4 3" xfId="26574"/>
    <cellStyle name="백분율 6 2 2 4 4 3 2" xfId="26575"/>
    <cellStyle name="백분율 6 2 2 4 4 3 3" xfId="26576"/>
    <cellStyle name="백분율 6 2 2 4 4 4" xfId="26577"/>
    <cellStyle name="백분율 6 2 2 4 4 5" xfId="26578"/>
    <cellStyle name="백분율 6 2 2 4 5" xfId="26579"/>
    <cellStyle name="백분율 6 2 2 4 5 2" xfId="26580"/>
    <cellStyle name="백분율 6 2 2 4 5 2 2" xfId="26581"/>
    <cellStyle name="백분율 6 2 2 4 5 2 2 2" xfId="26582"/>
    <cellStyle name="백분율 6 2 2 4 5 2 2 3" xfId="26583"/>
    <cellStyle name="백분율 6 2 2 4 5 2 3" xfId="26584"/>
    <cellStyle name="백분율 6 2 2 4 5 2 4" xfId="26585"/>
    <cellStyle name="백분율 6 2 2 4 5 3" xfId="26586"/>
    <cellStyle name="백분율 6 2 2 4 5 3 2" xfId="26587"/>
    <cellStyle name="백분율 6 2 2 4 5 3 3" xfId="26588"/>
    <cellStyle name="백분율 6 2 2 4 5 4" xfId="26589"/>
    <cellStyle name="백분율 6 2 2 4 5 5" xfId="26590"/>
    <cellStyle name="백분율 6 2 2 4 6" xfId="26591"/>
    <cellStyle name="백분율 6 2 2 4 6 2" xfId="26592"/>
    <cellStyle name="백분율 6 2 2 4 6 2 2" xfId="26593"/>
    <cellStyle name="백분율 6 2 2 4 6 2 2 2" xfId="26594"/>
    <cellStyle name="백분율 6 2 2 4 6 2 2 3" xfId="26595"/>
    <cellStyle name="백분율 6 2 2 4 6 2 3" xfId="26596"/>
    <cellStyle name="백분율 6 2 2 4 6 2 4" xfId="26597"/>
    <cellStyle name="백분율 6 2 2 4 6 3" xfId="26598"/>
    <cellStyle name="백분율 6 2 2 4 6 3 2" xfId="26599"/>
    <cellStyle name="백분율 6 2 2 4 6 3 3" xfId="26600"/>
    <cellStyle name="백분율 6 2 2 4 6 4" xfId="26601"/>
    <cellStyle name="백분율 6 2 2 4 6 5" xfId="26602"/>
    <cellStyle name="백분율 6 2 2 4 7" xfId="26603"/>
    <cellStyle name="백분율 6 2 2 4 7 2" xfId="26604"/>
    <cellStyle name="백분율 6 2 2 4 7 2 2" xfId="26605"/>
    <cellStyle name="백분율 6 2 2 4 7 2 3" xfId="26606"/>
    <cellStyle name="백분율 6 2 2 4 7 3" xfId="26607"/>
    <cellStyle name="백분율 6 2 2 4 7 4" xfId="26608"/>
    <cellStyle name="백분율 6 2 2 4 8" xfId="26609"/>
    <cellStyle name="백분율 6 2 2 4 8 2" xfId="26610"/>
    <cellStyle name="백분율 6 2 2 4 8 3" xfId="26611"/>
    <cellStyle name="백분율 6 2 2 4 9" xfId="26612"/>
    <cellStyle name="백분율 6 2 2 5" xfId="26613"/>
    <cellStyle name="백분율 6 2 2 5 2" xfId="26614"/>
    <cellStyle name="백분율 6 2 2 5 2 2" xfId="26615"/>
    <cellStyle name="백분율 6 2 2 5 2 2 2" xfId="26616"/>
    <cellStyle name="백분율 6 2 2 5 2 2 2 2" xfId="26617"/>
    <cellStyle name="백분율 6 2 2 5 2 2 2 3" xfId="26618"/>
    <cellStyle name="백분율 6 2 2 5 2 2 3" xfId="26619"/>
    <cellStyle name="백분율 6 2 2 5 2 2 4" xfId="26620"/>
    <cellStyle name="백분율 6 2 2 5 2 3" xfId="26621"/>
    <cellStyle name="백분율 6 2 2 5 2 3 2" xfId="26622"/>
    <cellStyle name="백분율 6 2 2 5 2 3 3" xfId="26623"/>
    <cellStyle name="백분율 6 2 2 5 2 4" xfId="26624"/>
    <cellStyle name="백분율 6 2 2 5 2 5" xfId="26625"/>
    <cellStyle name="백분율 6 2 2 5 3" xfId="26626"/>
    <cellStyle name="백분율 6 2 2 5 3 2" xfId="26627"/>
    <cellStyle name="백분율 6 2 2 5 3 2 2" xfId="26628"/>
    <cellStyle name="백분율 6 2 2 5 3 2 2 2" xfId="26629"/>
    <cellStyle name="백분율 6 2 2 5 3 2 2 3" xfId="26630"/>
    <cellStyle name="백분율 6 2 2 5 3 2 3" xfId="26631"/>
    <cellStyle name="백분율 6 2 2 5 3 2 4" xfId="26632"/>
    <cellStyle name="백분율 6 2 2 5 3 3" xfId="26633"/>
    <cellStyle name="백분율 6 2 2 5 3 3 2" xfId="26634"/>
    <cellStyle name="백분율 6 2 2 5 3 3 3" xfId="26635"/>
    <cellStyle name="백분율 6 2 2 5 3 4" xfId="26636"/>
    <cellStyle name="백분율 6 2 2 5 3 5" xfId="26637"/>
    <cellStyle name="백분율 6 2 2 5 4" xfId="26638"/>
    <cellStyle name="백분율 6 2 2 5 4 2" xfId="26639"/>
    <cellStyle name="백분율 6 2 2 5 4 2 2" xfId="26640"/>
    <cellStyle name="백분율 6 2 2 5 4 2 3" xfId="26641"/>
    <cellStyle name="백분율 6 2 2 5 4 3" xfId="26642"/>
    <cellStyle name="백분율 6 2 2 5 4 4" xfId="26643"/>
    <cellStyle name="백분율 6 2 2 5 5" xfId="26644"/>
    <cellStyle name="백분율 6 2 2 5 5 2" xfId="26645"/>
    <cellStyle name="백분율 6 2 2 5 5 3" xfId="26646"/>
    <cellStyle name="백분율 6 2 2 5 6" xfId="26647"/>
    <cellStyle name="백분율 6 2 2 5 7" xfId="26648"/>
    <cellStyle name="백분율 6 2 2 6" xfId="26649"/>
    <cellStyle name="백분율 6 2 2 6 2" xfId="26650"/>
    <cellStyle name="백분율 6 2 2 6 2 2" xfId="26651"/>
    <cellStyle name="백분율 6 2 2 6 2 2 2" xfId="26652"/>
    <cellStyle name="백분율 6 2 2 6 2 2 2 2" xfId="26653"/>
    <cellStyle name="백분율 6 2 2 6 2 2 2 3" xfId="26654"/>
    <cellStyle name="백분율 6 2 2 6 2 2 3" xfId="26655"/>
    <cellStyle name="백분율 6 2 2 6 2 2 4" xfId="26656"/>
    <cellStyle name="백분율 6 2 2 6 2 3" xfId="26657"/>
    <cellStyle name="백분율 6 2 2 6 2 3 2" xfId="26658"/>
    <cellStyle name="백분율 6 2 2 6 2 3 3" xfId="26659"/>
    <cellStyle name="백분율 6 2 2 6 2 4" xfId="26660"/>
    <cellStyle name="백분율 6 2 2 6 2 5" xfId="26661"/>
    <cellStyle name="백분율 6 2 2 6 3" xfId="26662"/>
    <cellStyle name="백분율 6 2 2 6 3 2" xfId="26663"/>
    <cellStyle name="백분율 6 2 2 6 3 2 2" xfId="26664"/>
    <cellStyle name="백분율 6 2 2 6 3 2 2 2" xfId="26665"/>
    <cellStyle name="백분율 6 2 2 6 3 2 2 3" xfId="26666"/>
    <cellStyle name="백분율 6 2 2 6 3 2 3" xfId="26667"/>
    <cellStyle name="백분율 6 2 2 6 3 2 4" xfId="26668"/>
    <cellStyle name="백분율 6 2 2 6 3 3" xfId="26669"/>
    <cellStyle name="백분율 6 2 2 6 3 3 2" xfId="26670"/>
    <cellStyle name="백분율 6 2 2 6 3 3 3" xfId="26671"/>
    <cellStyle name="백분율 6 2 2 6 3 4" xfId="26672"/>
    <cellStyle name="백분율 6 2 2 6 3 5" xfId="26673"/>
    <cellStyle name="백분율 6 2 2 6 4" xfId="26674"/>
    <cellStyle name="백분율 6 2 2 6 4 2" xfId="26675"/>
    <cellStyle name="백분율 6 2 2 6 4 2 2" xfId="26676"/>
    <cellStyle name="백분율 6 2 2 6 4 2 3" xfId="26677"/>
    <cellStyle name="백분율 6 2 2 6 4 3" xfId="26678"/>
    <cellStyle name="백분율 6 2 2 6 4 4" xfId="26679"/>
    <cellStyle name="백분율 6 2 2 6 5" xfId="26680"/>
    <cellStyle name="백분율 6 2 2 6 5 2" xfId="26681"/>
    <cellStyle name="백분율 6 2 2 6 5 3" xfId="26682"/>
    <cellStyle name="백분율 6 2 2 6 6" xfId="26683"/>
    <cellStyle name="백분율 6 2 2 6 7" xfId="26684"/>
    <cellStyle name="백분율 6 2 2 7" xfId="26685"/>
    <cellStyle name="백분율 6 2 2 7 2" xfId="26686"/>
    <cellStyle name="백분율 6 2 2 7 2 2" xfId="26687"/>
    <cellStyle name="백분율 6 2 2 7 2 2 2" xfId="26688"/>
    <cellStyle name="백분율 6 2 2 7 2 2 3" xfId="26689"/>
    <cellStyle name="백분율 6 2 2 7 2 3" xfId="26690"/>
    <cellStyle name="백분율 6 2 2 7 2 4" xfId="26691"/>
    <cellStyle name="백분율 6 2 2 7 3" xfId="26692"/>
    <cellStyle name="백분율 6 2 2 7 3 2" xfId="26693"/>
    <cellStyle name="백분율 6 2 2 7 3 3" xfId="26694"/>
    <cellStyle name="백분율 6 2 2 7 4" xfId="26695"/>
    <cellStyle name="백분율 6 2 2 7 5" xfId="26696"/>
    <cellStyle name="백분율 6 2 2 8" xfId="26697"/>
    <cellStyle name="백분율 6 2 2 8 2" xfId="26698"/>
    <cellStyle name="백분율 6 2 2 8 2 2" xfId="26699"/>
    <cellStyle name="백분율 6 2 2 8 2 2 2" xfId="26700"/>
    <cellStyle name="백분율 6 2 2 8 2 2 3" xfId="26701"/>
    <cellStyle name="백분율 6 2 2 8 2 3" xfId="26702"/>
    <cellStyle name="백분율 6 2 2 8 2 4" xfId="26703"/>
    <cellStyle name="백분율 6 2 2 8 3" xfId="26704"/>
    <cellStyle name="백분율 6 2 2 8 3 2" xfId="26705"/>
    <cellStyle name="백분율 6 2 2 8 3 3" xfId="26706"/>
    <cellStyle name="백분율 6 2 2 8 4" xfId="26707"/>
    <cellStyle name="백분율 6 2 2 8 5" xfId="26708"/>
    <cellStyle name="백분율 6 2 2 9" xfId="26709"/>
    <cellStyle name="백분율 6 2 2 9 2" xfId="26710"/>
    <cellStyle name="백분율 6 2 2 9 2 2" xfId="26711"/>
    <cellStyle name="백분율 6 2 2 9 2 2 2" xfId="26712"/>
    <cellStyle name="백분율 6 2 2 9 2 2 3" xfId="26713"/>
    <cellStyle name="백분율 6 2 2 9 2 3" xfId="26714"/>
    <cellStyle name="백분율 6 2 2 9 2 4" xfId="26715"/>
    <cellStyle name="백분율 6 2 2 9 3" xfId="26716"/>
    <cellStyle name="백분율 6 2 2 9 3 2" xfId="26717"/>
    <cellStyle name="백분율 6 2 2 9 3 3" xfId="26718"/>
    <cellStyle name="백분율 6 2 2 9 4" xfId="26719"/>
    <cellStyle name="백분율 6 2 2 9 5" xfId="26720"/>
    <cellStyle name="백분율 6 2 3" xfId="26721"/>
    <cellStyle name="백분율 6 2 3 10" xfId="26722"/>
    <cellStyle name="백분율 6 2 3 2" xfId="26723"/>
    <cellStyle name="백분율 6 2 3 2 2" xfId="26724"/>
    <cellStyle name="백분율 6 2 3 2 2 2" xfId="26725"/>
    <cellStyle name="백분율 6 2 3 2 2 2 2" xfId="26726"/>
    <cellStyle name="백분율 6 2 3 2 2 2 2 2" xfId="26727"/>
    <cellStyle name="백분율 6 2 3 2 2 2 2 3" xfId="26728"/>
    <cellStyle name="백분율 6 2 3 2 2 2 3" xfId="26729"/>
    <cellStyle name="백분율 6 2 3 2 2 2 4" xfId="26730"/>
    <cellStyle name="백분율 6 2 3 2 2 3" xfId="26731"/>
    <cellStyle name="백분율 6 2 3 2 2 3 2" xfId="26732"/>
    <cellStyle name="백분율 6 2 3 2 2 3 3" xfId="26733"/>
    <cellStyle name="백분율 6 2 3 2 2 4" xfId="26734"/>
    <cellStyle name="백분율 6 2 3 2 2 5" xfId="26735"/>
    <cellStyle name="백분율 6 2 3 2 3" xfId="26736"/>
    <cellStyle name="백분율 6 2 3 2 3 2" xfId="26737"/>
    <cellStyle name="백분율 6 2 3 2 3 2 2" xfId="26738"/>
    <cellStyle name="백분율 6 2 3 2 3 2 2 2" xfId="26739"/>
    <cellStyle name="백분율 6 2 3 2 3 2 2 3" xfId="26740"/>
    <cellStyle name="백분율 6 2 3 2 3 2 3" xfId="26741"/>
    <cellStyle name="백분율 6 2 3 2 3 2 4" xfId="26742"/>
    <cellStyle name="백분율 6 2 3 2 3 3" xfId="26743"/>
    <cellStyle name="백분율 6 2 3 2 3 3 2" xfId="26744"/>
    <cellStyle name="백분율 6 2 3 2 3 3 3" xfId="26745"/>
    <cellStyle name="백분율 6 2 3 2 3 4" xfId="26746"/>
    <cellStyle name="백분율 6 2 3 2 3 5" xfId="26747"/>
    <cellStyle name="백분율 6 2 3 2 4" xfId="26748"/>
    <cellStyle name="백분율 6 2 3 2 4 2" xfId="26749"/>
    <cellStyle name="백분율 6 2 3 2 4 2 2" xfId="26750"/>
    <cellStyle name="백분율 6 2 3 2 4 2 3" xfId="26751"/>
    <cellStyle name="백분율 6 2 3 2 4 3" xfId="26752"/>
    <cellStyle name="백분율 6 2 3 2 4 4" xfId="26753"/>
    <cellStyle name="백분율 6 2 3 2 5" xfId="26754"/>
    <cellStyle name="백분율 6 2 3 2 5 2" xfId="26755"/>
    <cellStyle name="백분율 6 2 3 2 5 3" xfId="26756"/>
    <cellStyle name="백분율 6 2 3 2 6" xfId="26757"/>
    <cellStyle name="백분율 6 2 3 2 7" xfId="26758"/>
    <cellStyle name="백분율 6 2 3 3" xfId="26759"/>
    <cellStyle name="백분율 6 2 3 3 2" xfId="26760"/>
    <cellStyle name="백분율 6 2 3 3 2 2" xfId="26761"/>
    <cellStyle name="백분율 6 2 3 3 2 2 2" xfId="26762"/>
    <cellStyle name="백분율 6 2 3 3 2 2 2 2" xfId="26763"/>
    <cellStyle name="백분율 6 2 3 3 2 2 2 3" xfId="26764"/>
    <cellStyle name="백분율 6 2 3 3 2 2 3" xfId="26765"/>
    <cellStyle name="백분율 6 2 3 3 2 2 4" xfId="26766"/>
    <cellStyle name="백분율 6 2 3 3 2 3" xfId="26767"/>
    <cellStyle name="백분율 6 2 3 3 2 3 2" xfId="26768"/>
    <cellStyle name="백분율 6 2 3 3 2 3 3" xfId="26769"/>
    <cellStyle name="백분율 6 2 3 3 2 4" xfId="26770"/>
    <cellStyle name="백분율 6 2 3 3 2 5" xfId="26771"/>
    <cellStyle name="백분율 6 2 3 3 3" xfId="26772"/>
    <cellStyle name="백분율 6 2 3 3 3 2" xfId="26773"/>
    <cellStyle name="백분율 6 2 3 3 3 2 2" xfId="26774"/>
    <cellStyle name="백분율 6 2 3 3 3 2 2 2" xfId="26775"/>
    <cellStyle name="백분율 6 2 3 3 3 2 2 3" xfId="26776"/>
    <cellStyle name="백분율 6 2 3 3 3 2 3" xfId="26777"/>
    <cellStyle name="백분율 6 2 3 3 3 2 4" xfId="26778"/>
    <cellStyle name="백분율 6 2 3 3 3 3" xfId="26779"/>
    <cellStyle name="백분율 6 2 3 3 3 3 2" xfId="26780"/>
    <cellStyle name="백분율 6 2 3 3 3 3 3" xfId="26781"/>
    <cellStyle name="백분율 6 2 3 3 3 4" xfId="26782"/>
    <cellStyle name="백분율 6 2 3 3 3 5" xfId="26783"/>
    <cellStyle name="백분율 6 2 3 3 4" xfId="26784"/>
    <cellStyle name="백분율 6 2 3 3 4 2" xfId="26785"/>
    <cellStyle name="백분율 6 2 3 3 4 2 2" xfId="26786"/>
    <cellStyle name="백분율 6 2 3 3 4 2 3" xfId="26787"/>
    <cellStyle name="백분율 6 2 3 3 4 3" xfId="26788"/>
    <cellStyle name="백분율 6 2 3 3 4 4" xfId="26789"/>
    <cellStyle name="백분율 6 2 3 3 5" xfId="26790"/>
    <cellStyle name="백분율 6 2 3 3 5 2" xfId="26791"/>
    <cellStyle name="백분율 6 2 3 3 5 3" xfId="26792"/>
    <cellStyle name="백분율 6 2 3 3 6" xfId="26793"/>
    <cellStyle name="백분율 6 2 3 3 7" xfId="26794"/>
    <cellStyle name="백분율 6 2 3 4" xfId="26795"/>
    <cellStyle name="백분율 6 2 3 4 2" xfId="26796"/>
    <cellStyle name="백분율 6 2 3 4 2 2" xfId="26797"/>
    <cellStyle name="백분율 6 2 3 4 2 2 2" xfId="26798"/>
    <cellStyle name="백분율 6 2 3 4 2 2 3" xfId="26799"/>
    <cellStyle name="백분율 6 2 3 4 2 3" xfId="26800"/>
    <cellStyle name="백분율 6 2 3 4 2 4" xfId="26801"/>
    <cellStyle name="백분율 6 2 3 4 3" xfId="26802"/>
    <cellStyle name="백분율 6 2 3 4 3 2" xfId="26803"/>
    <cellStyle name="백분율 6 2 3 4 3 3" xfId="26804"/>
    <cellStyle name="백분율 6 2 3 4 4" xfId="26805"/>
    <cellStyle name="백분율 6 2 3 4 5" xfId="26806"/>
    <cellStyle name="백분율 6 2 3 5" xfId="26807"/>
    <cellStyle name="백분율 6 2 3 5 2" xfId="26808"/>
    <cellStyle name="백분율 6 2 3 5 2 2" xfId="26809"/>
    <cellStyle name="백분율 6 2 3 5 2 2 2" xfId="26810"/>
    <cellStyle name="백분율 6 2 3 5 2 2 3" xfId="26811"/>
    <cellStyle name="백분율 6 2 3 5 2 3" xfId="26812"/>
    <cellStyle name="백분율 6 2 3 5 2 4" xfId="26813"/>
    <cellStyle name="백분율 6 2 3 5 3" xfId="26814"/>
    <cellStyle name="백분율 6 2 3 5 3 2" xfId="26815"/>
    <cellStyle name="백분율 6 2 3 5 3 3" xfId="26816"/>
    <cellStyle name="백분율 6 2 3 5 4" xfId="26817"/>
    <cellStyle name="백분율 6 2 3 5 5" xfId="26818"/>
    <cellStyle name="백분율 6 2 3 6" xfId="26819"/>
    <cellStyle name="백분율 6 2 3 6 2" xfId="26820"/>
    <cellStyle name="백분율 6 2 3 6 2 2" xfId="26821"/>
    <cellStyle name="백분율 6 2 3 6 2 2 2" xfId="26822"/>
    <cellStyle name="백분율 6 2 3 6 2 2 3" xfId="26823"/>
    <cellStyle name="백분율 6 2 3 6 2 3" xfId="26824"/>
    <cellStyle name="백분율 6 2 3 6 2 4" xfId="26825"/>
    <cellStyle name="백분율 6 2 3 6 3" xfId="26826"/>
    <cellStyle name="백분율 6 2 3 6 3 2" xfId="26827"/>
    <cellStyle name="백분율 6 2 3 6 3 3" xfId="26828"/>
    <cellStyle name="백분율 6 2 3 6 4" xfId="26829"/>
    <cellStyle name="백분율 6 2 3 6 5" xfId="26830"/>
    <cellStyle name="백분율 6 2 3 7" xfId="26831"/>
    <cellStyle name="백분율 6 2 3 7 2" xfId="26832"/>
    <cellStyle name="백분율 6 2 3 7 2 2" xfId="26833"/>
    <cellStyle name="백분율 6 2 3 7 2 3" xfId="26834"/>
    <cellStyle name="백분율 6 2 3 7 3" xfId="26835"/>
    <cellStyle name="백분율 6 2 3 7 4" xfId="26836"/>
    <cellStyle name="백분율 6 2 3 8" xfId="26837"/>
    <cellStyle name="백분율 6 2 3 8 2" xfId="26838"/>
    <cellStyle name="백분율 6 2 3 8 3" xfId="26839"/>
    <cellStyle name="백분율 6 2 3 9" xfId="26840"/>
    <cellStyle name="백분율 6 2 4" xfId="26841"/>
    <cellStyle name="백분율 6 2 4 10" xfId="26842"/>
    <cellStyle name="백분율 6 2 4 2" xfId="26843"/>
    <cellStyle name="백분율 6 2 4 2 2" xfId="26844"/>
    <cellStyle name="백분율 6 2 4 2 2 2" xfId="26845"/>
    <cellStyle name="백분율 6 2 4 2 2 2 2" xfId="26846"/>
    <cellStyle name="백분율 6 2 4 2 2 2 2 2" xfId="26847"/>
    <cellStyle name="백분율 6 2 4 2 2 2 2 3" xfId="26848"/>
    <cellStyle name="백분율 6 2 4 2 2 2 3" xfId="26849"/>
    <cellStyle name="백분율 6 2 4 2 2 2 4" xfId="26850"/>
    <cellStyle name="백분율 6 2 4 2 2 3" xfId="26851"/>
    <cellStyle name="백분율 6 2 4 2 2 3 2" xfId="26852"/>
    <cellStyle name="백분율 6 2 4 2 2 3 3" xfId="26853"/>
    <cellStyle name="백분율 6 2 4 2 2 4" xfId="26854"/>
    <cellStyle name="백분율 6 2 4 2 2 5" xfId="26855"/>
    <cellStyle name="백분율 6 2 4 2 3" xfId="26856"/>
    <cellStyle name="백분율 6 2 4 2 3 2" xfId="26857"/>
    <cellStyle name="백분율 6 2 4 2 3 2 2" xfId="26858"/>
    <cellStyle name="백분율 6 2 4 2 3 2 2 2" xfId="26859"/>
    <cellStyle name="백분율 6 2 4 2 3 2 2 3" xfId="26860"/>
    <cellStyle name="백분율 6 2 4 2 3 2 3" xfId="26861"/>
    <cellStyle name="백분율 6 2 4 2 3 2 4" xfId="26862"/>
    <cellStyle name="백분율 6 2 4 2 3 3" xfId="26863"/>
    <cellStyle name="백분율 6 2 4 2 3 3 2" xfId="26864"/>
    <cellStyle name="백분율 6 2 4 2 3 3 3" xfId="26865"/>
    <cellStyle name="백분율 6 2 4 2 3 4" xfId="26866"/>
    <cellStyle name="백분율 6 2 4 2 3 5" xfId="26867"/>
    <cellStyle name="백분율 6 2 4 2 4" xfId="26868"/>
    <cellStyle name="백분율 6 2 4 2 4 2" xfId="26869"/>
    <cellStyle name="백분율 6 2 4 2 4 2 2" xfId="26870"/>
    <cellStyle name="백분율 6 2 4 2 4 2 3" xfId="26871"/>
    <cellStyle name="백분율 6 2 4 2 4 3" xfId="26872"/>
    <cellStyle name="백분율 6 2 4 2 4 4" xfId="26873"/>
    <cellStyle name="백분율 6 2 4 2 5" xfId="26874"/>
    <cellStyle name="백분율 6 2 4 2 5 2" xfId="26875"/>
    <cellStyle name="백분율 6 2 4 2 5 3" xfId="26876"/>
    <cellStyle name="백분율 6 2 4 2 6" xfId="26877"/>
    <cellStyle name="백분율 6 2 4 2 7" xfId="26878"/>
    <cellStyle name="백분율 6 2 4 3" xfId="26879"/>
    <cellStyle name="백분율 6 2 4 3 2" xfId="26880"/>
    <cellStyle name="백분율 6 2 4 3 2 2" xfId="26881"/>
    <cellStyle name="백분율 6 2 4 3 2 2 2" xfId="26882"/>
    <cellStyle name="백분율 6 2 4 3 2 2 2 2" xfId="26883"/>
    <cellStyle name="백분율 6 2 4 3 2 2 2 3" xfId="26884"/>
    <cellStyle name="백분율 6 2 4 3 2 2 3" xfId="26885"/>
    <cellStyle name="백분율 6 2 4 3 2 2 4" xfId="26886"/>
    <cellStyle name="백분율 6 2 4 3 2 3" xfId="26887"/>
    <cellStyle name="백분율 6 2 4 3 2 3 2" xfId="26888"/>
    <cellStyle name="백분율 6 2 4 3 2 3 3" xfId="26889"/>
    <cellStyle name="백분율 6 2 4 3 2 4" xfId="26890"/>
    <cellStyle name="백분율 6 2 4 3 2 5" xfId="26891"/>
    <cellStyle name="백분율 6 2 4 3 3" xfId="26892"/>
    <cellStyle name="백분율 6 2 4 3 3 2" xfId="26893"/>
    <cellStyle name="백분율 6 2 4 3 3 2 2" xfId="26894"/>
    <cellStyle name="백분율 6 2 4 3 3 2 2 2" xfId="26895"/>
    <cellStyle name="백분율 6 2 4 3 3 2 2 3" xfId="26896"/>
    <cellStyle name="백분율 6 2 4 3 3 2 3" xfId="26897"/>
    <cellStyle name="백분율 6 2 4 3 3 2 4" xfId="26898"/>
    <cellStyle name="백분율 6 2 4 3 3 3" xfId="26899"/>
    <cellStyle name="백분율 6 2 4 3 3 3 2" xfId="26900"/>
    <cellStyle name="백분율 6 2 4 3 3 3 3" xfId="26901"/>
    <cellStyle name="백분율 6 2 4 3 3 4" xfId="26902"/>
    <cellStyle name="백분율 6 2 4 3 3 5" xfId="26903"/>
    <cellStyle name="백분율 6 2 4 3 4" xfId="26904"/>
    <cellStyle name="백분율 6 2 4 3 4 2" xfId="26905"/>
    <cellStyle name="백분율 6 2 4 3 4 2 2" xfId="26906"/>
    <cellStyle name="백분율 6 2 4 3 4 2 3" xfId="26907"/>
    <cellStyle name="백분율 6 2 4 3 4 3" xfId="26908"/>
    <cellStyle name="백분율 6 2 4 3 4 4" xfId="26909"/>
    <cellStyle name="백분율 6 2 4 3 5" xfId="26910"/>
    <cellStyle name="백분율 6 2 4 3 5 2" xfId="26911"/>
    <cellStyle name="백분율 6 2 4 3 5 3" xfId="26912"/>
    <cellStyle name="백분율 6 2 4 3 6" xfId="26913"/>
    <cellStyle name="백분율 6 2 4 3 7" xfId="26914"/>
    <cellStyle name="백분율 6 2 4 4" xfId="26915"/>
    <cellStyle name="백분율 6 2 4 4 2" xfId="26916"/>
    <cellStyle name="백분율 6 2 4 4 2 2" xfId="26917"/>
    <cellStyle name="백분율 6 2 4 4 2 2 2" xfId="26918"/>
    <cellStyle name="백분율 6 2 4 4 2 2 3" xfId="26919"/>
    <cellStyle name="백분율 6 2 4 4 2 3" xfId="26920"/>
    <cellStyle name="백분율 6 2 4 4 2 4" xfId="26921"/>
    <cellStyle name="백분율 6 2 4 4 3" xfId="26922"/>
    <cellStyle name="백분율 6 2 4 4 3 2" xfId="26923"/>
    <cellStyle name="백분율 6 2 4 4 3 3" xfId="26924"/>
    <cellStyle name="백분율 6 2 4 4 4" xfId="26925"/>
    <cellStyle name="백분율 6 2 4 4 5" xfId="26926"/>
    <cellStyle name="백분율 6 2 4 5" xfId="26927"/>
    <cellStyle name="백분율 6 2 4 5 2" xfId="26928"/>
    <cellStyle name="백분율 6 2 4 5 2 2" xfId="26929"/>
    <cellStyle name="백분율 6 2 4 5 2 2 2" xfId="26930"/>
    <cellStyle name="백분율 6 2 4 5 2 2 3" xfId="26931"/>
    <cellStyle name="백분율 6 2 4 5 2 3" xfId="26932"/>
    <cellStyle name="백분율 6 2 4 5 2 4" xfId="26933"/>
    <cellStyle name="백분율 6 2 4 5 3" xfId="26934"/>
    <cellStyle name="백분율 6 2 4 5 3 2" xfId="26935"/>
    <cellStyle name="백분율 6 2 4 5 3 3" xfId="26936"/>
    <cellStyle name="백분율 6 2 4 5 4" xfId="26937"/>
    <cellStyle name="백분율 6 2 4 5 5" xfId="26938"/>
    <cellStyle name="백분율 6 2 4 6" xfId="26939"/>
    <cellStyle name="백분율 6 2 4 6 2" xfId="26940"/>
    <cellStyle name="백분율 6 2 4 6 2 2" xfId="26941"/>
    <cellStyle name="백분율 6 2 4 6 2 2 2" xfId="26942"/>
    <cellStyle name="백분율 6 2 4 6 2 2 3" xfId="26943"/>
    <cellStyle name="백분율 6 2 4 6 2 3" xfId="26944"/>
    <cellStyle name="백분율 6 2 4 6 2 4" xfId="26945"/>
    <cellStyle name="백분율 6 2 4 6 3" xfId="26946"/>
    <cellStyle name="백분율 6 2 4 6 3 2" xfId="26947"/>
    <cellStyle name="백분율 6 2 4 6 3 3" xfId="26948"/>
    <cellStyle name="백분율 6 2 4 6 4" xfId="26949"/>
    <cellStyle name="백분율 6 2 4 6 5" xfId="26950"/>
    <cellStyle name="백분율 6 2 4 7" xfId="26951"/>
    <cellStyle name="백분율 6 2 4 7 2" xfId="26952"/>
    <cellStyle name="백분율 6 2 4 7 2 2" xfId="26953"/>
    <cellStyle name="백분율 6 2 4 7 2 3" xfId="26954"/>
    <cellStyle name="백분율 6 2 4 7 3" xfId="26955"/>
    <cellStyle name="백분율 6 2 4 7 4" xfId="26956"/>
    <cellStyle name="백분율 6 2 4 8" xfId="26957"/>
    <cellStyle name="백분율 6 2 4 8 2" xfId="26958"/>
    <cellStyle name="백분율 6 2 4 8 3" xfId="26959"/>
    <cellStyle name="백분율 6 2 4 9" xfId="26960"/>
    <cellStyle name="백분율 6 2 5" xfId="26961"/>
    <cellStyle name="백분율 6 2 5 10" xfId="26962"/>
    <cellStyle name="백분율 6 2 5 2" xfId="26963"/>
    <cellStyle name="백분율 6 2 5 2 2" xfId="26964"/>
    <cellStyle name="백분율 6 2 5 2 2 2" xfId="26965"/>
    <cellStyle name="백분율 6 2 5 2 2 2 2" xfId="26966"/>
    <cellStyle name="백분율 6 2 5 2 2 2 2 2" xfId="26967"/>
    <cellStyle name="백분율 6 2 5 2 2 2 2 3" xfId="26968"/>
    <cellStyle name="백분율 6 2 5 2 2 2 3" xfId="26969"/>
    <cellStyle name="백분율 6 2 5 2 2 2 4" xfId="26970"/>
    <cellStyle name="백분율 6 2 5 2 2 3" xfId="26971"/>
    <cellStyle name="백분율 6 2 5 2 2 3 2" xfId="26972"/>
    <cellStyle name="백분율 6 2 5 2 2 3 3" xfId="26973"/>
    <cellStyle name="백분율 6 2 5 2 2 4" xfId="26974"/>
    <cellStyle name="백분율 6 2 5 2 2 5" xfId="26975"/>
    <cellStyle name="백분율 6 2 5 2 3" xfId="26976"/>
    <cellStyle name="백분율 6 2 5 2 3 2" xfId="26977"/>
    <cellStyle name="백분율 6 2 5 2 3 2 2" xfId="26978"/>
    <cellStyle name="백분율 6 2 5 2 3 2 2 2" xfId="26979"/>
    <cellStyle name="백분율 6 2 5 2 3 2 2 3" xfId="26980"/>
    <cellStyle name="백분율 6 2 5 2 3 2 3" xfId="26981"/>
    <cellStyle name="백분율 6 2 5 2 3 2 4" xfId="26982"/>
    <cellStyle name="백분율 6 2 5 2 3 3" xfId="26983"/>
    <cellStyle name="백분율 6 2 5 2 3 3 2" xfId="26984"/>
    <cellStyle name="백분율 6 2 5 2 3 3 3" xfId="26985"/>
    <cellStyle name="백분율 6 2 5 2 3 4" xfId="26986"/>
    <cellStyle name="백분율 6 2 5 2 3 5" xfId="26987"/>
    <cellStyle name="백분율 6 2 5 2 4" xfId="26988"/>
    <cellStyle name="백분율 6 2 5 2 4 2" xfId="26989"/>
    <cellStyle name="백분율 6 2 5 2 4 2 2" xfId="26990"/>
    <cellStyle name="백분율 6 2 5 2 4 2 3" xfId="26991"/>
    <cellStyle name="백분율 6 2 5 2 4 3" xfId="26992"/>
    <cellStyle name="백분율 6 2 5 2 4 4" xfId="26993"/>
    <cellStyle name="백분율 6 2 5 2 5" xfId="26994"/>
    <cellStyle name="백분율 6 2 5 2 5 2" xfId="26995"/>
    <cellStyle name="백분율 6 2 5 2 5 3" xfId="26996"/>
    <cellStyle name="백분율 6 2 5 2 6" xfId="26997"/>
    <cellStyle name="백분율 6 2 5 2 7" xfId="26998"/>
    <cellStyle name="백분율 6 2 5 3" xfId="26999"/>
    <cellStyle name="백분율 6 2 5 3 2" xfId="27000"/>
    <cellStyle name="백분율 6 2 5 3 2 2" xfId="27001"/>
    <cellStyle name="백분율 6 2 5 3 2 2 2" xfId="27002"/>
    <cellStyle name="백분율 6 2 5 3 2 2 2 2" xfId="27003"/>
    <cellStyle name="백분율 6 2 5 3 2 2 2 3" xfId="27004"/>
    <cellStyle name="백분율 6 2 5 3 2 2 3" xfId="27005"/>
    <cellStyle name="백분율 6 2 5 3 2 2 4" xfId="27006"/>
    <cellStyle name="백분율 6 2 5 3 2 3" xfId="27007"/>
    <cellStyle name="백분율 6 2 5 3 2 3 2" xfId="27008"/>
    <cellStyle name="백분율 6 2 5 3 2 3 3" xfId="27009"/>
    <cellStyle name="백분율 6 2 5 3 2 4" xfId="27010"/>
    <cellStyle name="백분율 6 2 5 3 2 5" xfId="27011"/>
    <cellStyle name="백분율 6 2 5 3 3" xfId="27012"/>
    <cellStyle name="백분율 6 2 5 3 3 2" xfId="27013"/>
    <cellStyle name="백분율 6 2 5 3 3 2 2" xfId="27014"/>
    <cellStyle name="백분율 6 2 5 3 3 2 2 2" xfId="27015"/>
    <cellStyle name="백분율 6 2 5 3 3 2 2 3" xfId="27016"/>
    <cellStyle name="백분율 6 2 5 3 3 2 3" xfId="27017"/>
    <cellStyle name="백분율 6 2 5 3 3 2 4" xfId="27018"/>
    <cellStyle name="백분율 6 2 5 3 3 3" xfId="27019"/>
    <cellStyle name="백분율 6 2 5 3 3 3 2" xfId="27020"/>
    <cellStyle name="백분율 6 2 5 3 3 3 3" xfId="27021"/>
    <cellStyle name="백분율 6 2 5 3 3 4" xfId="27022"/>
    <cellStyle name="백분율 6 2 5 3 3 5" xfId="27023"/>
    <cellStyle name="백분율 6 2 5 3 4" xfId="27024"/>
    <cellStyle name="백분율 6 2 5 3 4 2" xfId="27025"/>
    <cellStyle name="백분율 6 2 5 3 4 2 2" xfId="27026"/>
    <cellStyle name="백분율 6 2 5 3 4 2 3" xfId="27027"/>
    <cellStyle name="백분율 6 2 5 3 4 3" xfId="27028"/>
    <cellStyle name="백분율 6 2 5 3 4 4" xfId="27029"/>
    <cellStyle name="백분율 6 2 5 3 5" xfId="27030"/>
    <cellStyle name="백분율 6 2 5 3 5 2" xfId="27031"/>
    <cellStyle name="백분율 6 2 5 3 5 3" xfId="27032"/>
    <cellStyle name="백분율 6 2 5 3 6" xfId="27033"/>
    <cellStyle name="백분율 6 2 5 3 7" xfId="27034"/>
    <cellStyle name="백분율 6 2 5 4" xfId="27035"/>
    <cellStyle name="백분율 6 2 5 4 2" xfId="27036"/>
    <cellStyle name="백분율 6 2 5 4 2 2" xfId="27037"/>
    <cellStyle name="백분율 6 2 5 4 2 2 2" xfId="27038"/>
    <cellStyle name="백분율 6 2 5 4 2 2 3" xfId="27039"/>
    <cellStyle name="백분율 6 2 5 4 2 3" xfId="27040"/>
    <cellStyle name="백분율 6 2 5 4 2 4" xfId="27041"/>
    <cellStyle name="백분율 6 2 5 4 3" xfId="27042"/>
    <cellStyle name="백분율 6 2 5 4 3 2" xfId="27043"/>
    <cellStyle name="백분율 6 2 5 4 3 3" xfId="27044"/>
    <cellStyle name="백분율 6 2 5 4 4" xfId="27045"/>
    <cellStyle name="백분율 6 2 5 4 5" xfId="27046"/>
    <cellStyle name="백분율 6 2 5 5" xfId="27047"/>
    <cellStyle name="백분율 6 2 5 5 2" xfId="27048"/>
    <cellStyle name="백분율 6 2 5 5 2 2" xfId="27049"/>
    <cellStyle name="백분율 6 2 5 5 2 2 2" xfId="27050"/>
    <cellStyle name="백분율 6 2 5 5 2 2 3" xfId="27051"/>
    <cellStyle name="백분율 6 2 5 5 2 3" xfId="27052"/>
    <cellStyle name="백분율 6 2 5 5 2 4" xfId="27053"/>
    <cellStyle name="백분율 6 2 5 5 3" xfId="27054"/>
    <cellStyle name="백분율 6 2 5 5 3 2" xfId="27055"/>
    <cellStyle name="백분율 6 2 5 5 3 3" xfId="27056"/>
    <cellStyle name="백분율 6 2 5 5 4" xfId="27057"/>
    <cellStyle name="백분율 6 2 5 5 5" xfId="27058"/>
    <cellStyle name="백분율 6 2 5 6" xfId="27059"/>
    <cellStyle name="백분율 6 2 5 6 2" xfId="27060"/>
    <cellStyle name="백분율 6 2 5 6 2 2" xfId="27061"/>
    <cellStyle name="백분율 6 2 5 6 2 2 2" xfId="27062"/>
    <cellStyle name="백분율 6 2 5 6 2 2 3" xfId="27063"/>
    <cellStyle name="백분율 6 2 5 6 2 3" xfId="27064"/>
    <cellStyle name="백분율 6 2 5 6 2 4" xfId="27065"/>
    <cellStyle name="백분율 6 2 5 6 3" xfId="27066"/>
    <cellStyle name="백분율 6 2 5 6 3 2" xfId="27067"/>
    <cellStyle name="백분율 6 2 5 6 3 3" xfId="27068"/>
    <cellStyle name="백분율 6 2 5 6 4" xfId="27069"/>
    <cellStyle name="백분율 6 2 5 6 5" xfId="27070"/>
    <cellStyle name="백분율 6 2 5 7" xfId="27071"/>
    <cellStyle name="백분율 6 2 5 7 2" xfId="27072"/>
    <cellStyle name="백분율 6 2 5 7 2 2" xfId="27073"/>
    <cellStyle name="백분율 6 2 5 7 2 3" xfId="27074"/>
    <cellStyle name="백분율 6 2 5 7 3" xfId="27075"/>
    <cellStyle name="백분율 6 2 5 7 4" xfId="27076"/>
    <cellStyle name="백분율 6 2 5 8" xfId="27077"/>
    <cellStyle name="백분율 6 2 5 8 2" xfId="27078"/>
    <cellStyle name="백분율 6 2 5 8 3" xfId="27079"/>
    <cellStyle name="백분율 6 2 5 9" xfId="27080"/>
    <cellStyle name="백분율 6 2 6" xfId="27081"/>
    <cellStyle name="백분율 6 2 6 2" xfId="27082"/>
    <cellStyle name="백분율 6 2 6 2 2" xfId="27083"/>
    <cellStyle name="백분율 6 2 6 2 2 2" xfId="27084"/>
    <cellStyle name="백분율 6 2 6 2 2 2 2" xfId="27085"/>
    <cellStyle name="백분율 6 2 6 2 2 2 3" xfId="27086"/>
    <cellStyle name="백분율 6 2 6 2 2 3" xfId="27087"/>
    <cellStyle name="백분율 6 2 6 2 2 4" xfId="27088"/>
    <cellStyle name="백분율 6 2 6 2 3" xfId="27089"/>
    <cellStyle name="백분율 6 2 6 2 3 2" xfId="27090"/>
    <cellStyle name="백분율 6 2 6 2 3 3" xfId="27091"/>
    <cellStyle name="백분율 6 2 6 2 4" xfId="27092"/>
    <cellStyle name="백분율 6 2 6 2 5" xfId="27093"/>
    <cellStyle name="백분율 6 2 6 3" xfId="27094"/>
    <cellStyle name="백분율 6 2 6 3 2" xfId="27095"/>
    <cellStyle name="백분율 6 2 6 3 2 2" xfId="27096"/>
    <cellStyle name="백분율 6 2 6 3 2 2 2" xfId="27097"/>
    <cellStyle name="백분율 6 2 6 3 2 2 3" xfId="27098"/>
    <cellStyle name="백분율 6 2 6 3 2 3" xfId="27099"/>
    <cellStyle name="백분율 6 2 6 3 2 4" xfId="27100"/>
    <cellStyle name="백분율 6 2 6 3 3" xfId="27101"/>
    <cellStyle name="백분율 6 2 6 3 3 2" xfId="27102"/>
    <cellStyle name="백분율 6 2 6 3 3 3" xfId="27103"/>
    <cellStyle name="백분율 6 2 6 3 4" xfId="27104"/>
    <cellStyle name="백분율 6 2 6 3 5" xfId="27105"/>
    <cellStyle name="백분율 6 2 6 4" xfId="27106"/>
    <cellStyle name="백분율 6 2 6 4 2" xfId="27107"/>
    <cellStyle name="백분율 6 2 6 4 2 2" xfId="27108"/>
    <cellStyle name="백분율 6 2 6 4 2 3" xfId="27109"/>
    <cellStyle name="백분율 6 2 6 4 3" xfId="27110"/>
    <cellStyle name="백분율 6 2 6 4 4" xfId="27111"/>
    <cellStyle name="백분율 6 2 6 5" xfId="27112"/>
    <cellStyle name="백분율 6 2 6 5 2" xfId="27113"/>
    <cellStyle name="백분율 6 2 6 5 3" xfId="27114"/>
    <cellStyle name="백분율 6 2 6 6" xfId="27115"/>
    <cellStyle name="백분율 6 2 6 7" xfId="27116"/>
    <cellStyle name="백분율 6 2 7" xfId="27117"/>
    <cellStyle name="백분율 6 2 7 2" xfId="27118"/>
    <cellStyle name="백분율 6 2 7 2 2" xfId="27119"/>
    <cellStyle name="백분율 6 2 7 2 2 2" xfId="27120"/>
    <cellStyle name="백분율 6 2 7 2 2 2 2" xfId="27121"/>
    <cellStyle name="백분율 6 2 7 2 2 2 3" xfId="27122"/>
    <cellStyle name="백분율 6 2 7 2 2 3" xfId="27123"/>
    <cellStyle name="백분율 6 2 7 2 2 4" xfId="27124"/>
    <cellStyle name="백분율 6 2 7 2 3" xfId="27125"/>
    <cellStyle name="백분율 6 2 7 2 3 2" xfId="27126"/>
    <cellStyle name="백분율 6 2 7 2 3 3" xfId="27127"/>
    <cellStyle name="백분율 6 2 7 2 4" xfId="27128"/>
    <cellStyle name="백분율 6 2 7 2 5" xfId="27129"/>
    <cellStyle name="백분율 6 2 7 3" xfId="27130"/>
    <cellStyle name="백분율 6 2 7 3 2" xfId="27131"/>
    <cellStyle name="백분율 6 2 7 3 2 2" xfId="27132"/>
    <cellStyle name="백분율 6 2 7 3 2 2 2" xfId="27133"/>
    <cellStyle name="백분율 6 2 7 3 2 2 3" xfId="27134"/>
    <cellStyle name="백분율 6 2 7 3 2 3" xfId="27135"/>
    <cellStyle name="백분율 6 2 7 3 2 4" xfId="27136"/>
    <cellStyle name="백분율 6 2 7 3 3" xfId="27137"/>
    <cellStyle name="백분율 6 2 7 3 3 2" xfId="27138"/>
    <cellStyle name="백분율 6 2 7 3 3 3" xfId="27139"/>
    <cellStyle name="백분율 6 2 7 3 4" xfId="27140"/>
    <cellStyle name="백분율 6 2 7 3 5" xfId="27141"/>
    <cellStyle name="백분율 6 2 7 4" xfId="27142"/>
    <cellStyle name="백분율 6 2 7 4 2" xfId="27143"/>
    <cellStyle name="백분율 6 2 7 4 2 2" xfId="27144"/>
    <cellStyle name="백분율 6 2 7 4 2 3" xfId="27145"/>
    <cellStyle name="백분율 6 2 7 4 3" xfId="27146"/>
    <cellStyle name="백분율 6 2 7 4 4" xfId="27147"/>
    <cellStyle name="백분율 6 2 7 5" xfId="27148"/>
    <cellStyle name="백분율 6 2 7 5 2" xfId="27149"/>
    <cellStyle name="백분율 6 2 7 5 3" xfId="27150"/>
    <cellStyle name="백분율 6 2 7 6" xfId="27151"/>
    <cellStyle name="백분율 6 2 7 7" xfId="27152"/>
    <cellStyle name="백분율 6 2 8" xfId="27153"/>
    <cellStyle name="백분율 6 2 8 2" xfId="27154"/>
    <cellStyle name="백분율 6 2 8 2 2" xfId="27155"/>
    <cellStyle name="백분율 6 2 8 2 2 2" xfId="27156"/>
    <cellStyle name="백분율 6 2 8 2 2 3" xfId="27157"/>
    <cellStyle name="백분율 6 2 8 2 3" xfId="27158"/>
    <cellStyle name="백분율 6 2 8 2 4" xfId="27159"/>
    <cellStyle name="백분율 6 2 8 3" xfId="27160"/>
    <cellStyle name="백분율 6 2 8 3 2" xfId="27161"/>
    <cellStyle name="백분율 6 2 8 3 3" xfId="27162"/>
    <cellStyle name="백분율 6 2 8 4" xfId="27163"/>
    <cellStyle name="백분율 6 2 8 5" xfId="27164"/>
    <cellStyle name="백분율 6 2 9" xfId="27165"/>
    <cellStyle name="백분율 6 2 9 2" xfId="27166"/>
    <cellStyle name="백분율 6 2 9 2 2" xfId="27167"/>
    <cellStyle name="백분율 6 2 9 2 2 2" xfId="27168"/>
    <cellStyle name="백분율 6 2 9 2 2 3" xfId="27169"/>
    <cellStyle name="백분율 6 2 9 2 3" xfId="27170"/>
    <cellStyle name="백분율 6 2 9 2 4" xfId="27171"/>
    <cellStyle name="백분율 6 2 9 3" xfId="27172"/>
    <cellStyle name="백분율 6 2 9 3 2" xfId="27173"/>
    <cellStyle name="백분율 6 2 9 3 3" xfId="27174"/>
    <cellStyle name="백분율 6 2 9 4" xfId="27175"/>
    <cellStyle name="백분율 6 2 9 5" xfId="27176"/>
    <cellStyle name="백분율 6 3" xfId="27177"/>
    <cellStyle name="백분율 6 3 10" xfId="27178"/>
    <cellStyle name="백분율 6 3 10 2" xfId="27179"/>
    <cellStyle name="백분율 6 3 10 2 2" xfId="27180"/>
    <cellStyle name="백분율 6 3 10 2 2 2" xfId="27181"/>
    <cellStyle name="백분율 6 3 10 2 2 3" xfId="27182"/>
    <cellStyle name="백분율 6 3 10 2 3" xfId="27183"/>
    <cellStyle name="백분율 6 3 10 2 4" xfId="27184"/>
    <cellStyle name="백분율 6 3 10 3" xfId="27185"/>
    <cellStyle name="백분율 6 3 10 3 2" xfId="27186"/>
    <cellStyle name="백분율 6 3 10 3 3" xfId="27187"/>
    <cellStyle name="백분율 6 3 10 4" xfId="27188"/>
    <cellStyle name="백분율 6 3 10 5" xfId="27189"/>
    <cellStyle name="백분율 6 3 11" xfId="27190"/>
    <cellStyle name="백분율 6 3 11 2" xfId="27191"/>
    <cellStyle name="백분율 6 3 11 2 2" xfId="27192"/>
    <cellStyle name="백분율 6 3 11 2 3" xfId="27193"/>
    <cellStyle name="백분율 6 3 11 3" xfId="27194"/>
    <cellStyle name="백분율 6 3 11 4" xfId="27195"/>
    <cellStyle name="백분율 6 3 12" xfId="27196"/>
    <cellStyle name="백분율 6 3 12 2" xfId="27197"/>
    <cellStyle name="백분율 6 3 12 3" xfId="27198"/>
    <cellStyle name="백분율 6 3 13" xfId="27199"/>
    <cellStyle name="백분율 6 3 14" xfId="27200"/>
    <cellStyle name="백분율 6 3 2" xfId="27201"/>
    <cellStyle name="백분율 6 3 2 10" xfId="27202"/>
    <cellStyle name="백분율 6 3 2 10 2" xfId="27203"/>
    <cellStyle name="백분율 6 3 2 10 2 2" xfId="27204"/>
    <cellStyle name="백분율 6 3 2 10 2 3" xfId="27205"/>
    <cellStyle name="백분율 6 3 2 10 3" xfId="27206"/>
    <cellStyle name="백분율 6 3 2 10 4" xfId="27207"/>
    <cellStyle name="백분율 6 3 2 11" xfId="27208"/>
    <cellStyle name="백분율 6 3 2 11 2" xfId="27209"/>
    <cellStyle name="백분율 6 3 2 11 3" xfId="27210"/>
    <cellStyle name="백분율 6 3 2 12" xfId="27211"/>
    <cellStyle name="백분율 6 3 2 13" xfId="27212"/>
    <cellStyle name="백분율 6 3 2 2" xfId="27213"/>
    <cellStyle name="백분율 6 3 2 2 10" xfId="27214"/>
    <cellStyle name="백분율 6 3 2 2 2" xfId="27215"/>
    <cellStyle name="백분율 6 3 2 2 2 2" xfId="27216"/>
    <cellStyle name="백분율 6 3 2 2 2 2 2" xfId="27217"/>
    <cellStyle name="백분율 6 3 2 2 2 2 2 2" xfId="27218"/>
    <cellStyle name="백분율 6 3 2 2 2 2 2 2 2" xfId="27219"/>
    <cellStyle name="백분율 6 3 2 2 2 2 2 2 3" xfId="27220"/>
    <cellStyle name="백분율 6 3 2 2 2 2 2 3" xfId="27221"/>
    <cellStyle name="백분율 6 3 2 2 2 2 2 4" xfId="27222"/>
    <cellStyle name="백분율 6 3 2 2 2 2 3" xfId="27223"/>
    <cellStyle name="백분율 6 3 2 2 2 2 3 2" xfId="27224"/>
    <cellStyle name="백분율 6 3 2 2 2 2 3 3" xfId="27225"/>
    <cellStyle name="백분율 6 3 2 2 2 2 4" xfId="27226"/>
    <cellStyle name="백분율 6 3 2 2 2 2 5" xfId="27227"/>
    <cellStyle name="백분율 6 3 2 2 2 3" xfId="27228"/>
    <cellStyle name="백분율 6 3 2 2 2 3 2" xfId="27229"/>
    <cellStyle name="백분율 6 3 2 2 2 3 2 2" xfId="27230"/>
    <cellStyle name="백분율 6 3 2 2 2 3 2 2 2" xfId="27231"/>
    <cellStyle name="백분율 6 3 2 2 2 3 2 2 3" xfId="27232"/>
    <cellStyle name="백분율 6 3 2 2 2 3 2 3" xfId="27233"/>
    <cellStyle name="백분율 6 3 2 2 2 3 2 4" xfId="27234"/>
    <cellStyle name="백분율 6 3 2 2 2 3 3" xfId="27235"/>
    <cellStyle name="백분율 6 3 2 2 2 3 3 2" xfId="27236"/>
    <cellStyle name="백분율 6 3 2 2 2 3 3 3" xfId="27237"/>
    <cellStyle name="백분율 6 3 2 2 2 3 4" xfId="27238"/>
    <cellStyle name="백분율 6 3 2 2 2 3 5" xfId="27239"/>
    <cellStyle name="백분율 6 3 2 2 2 4" xfId="27240"/>
    <cellStyle name="백분율 6 3 2 2 2 4 2" xfId="27241"/>
    <cellStyle name="백분율 6 3 2 2 2 4 2 2" xfId="27242"/>
    <cellStyle name="백분율 6 3 2 2 2 4 2 3" xfId="27243"/>
    <cellStyle name="백분율 6 3 2 2 2 4 3" xfId="27244"/>
    <cellStyle name="백분율 6 3 2 2 2 4 4" xfId="27245"/>
    <cellStyle name="백분율 6 3 2 2 2 5" xfId="27246"/>
    <cellStyle name="백분율 6 3 2 2 2 5 2" xfId="27247"/>
    <cellStyle name="백분율 6 3 2 2 2 5 3" xfId="27248"/>
    <cellStyle name="백분율 6 3 2 2 2 6" xfId="27249"/>
    <cellStyle name="백분율 6 3 2 2 2 7" xfId="27250"/>
    <cellStyle name="백분율 6 3 2 2 3" xfId="27251"/>
    <cellStyle name="백분율 6 3 2 2 3 2" xfId="27252"/>
    <cellStyle name="백분율 6 3 2 2 3 2 2" xfId="27253"/>
    <cellStyle name="백분율 6 3 2 2 3 2 2 2" xfId="27254"/>
    <cellStyle name="백분율 6 3 2 2 3 2 2 2 2" xfId="27255"/>
    <cellStyle name="백분율 6 3 2 2 3 2 2 2 3" xfId="27256"/>
    <cellStyle name="백분율 6 3 2 2 3 2 2 3" xfId="27257"/>
    <cellStyle name="백분율 6 3 2 2 3 2 2 4" xfId="27258"/>
    <cellStyle name="백분율 6 3 2 2 3 2 3" xfId="27259"/>
    <cellStyle name="백분율 6 3 2 2 3 2 3 2" xfId="27260"/>
    <cellStyle name="백분율 6 3 2 2 3 2 3 3" xfId="27261"/>
    <cellStyle name="백분율 6 3 2 2 3 2 4" xfId="27262"/>
    <cellStyle name="백분율 6 3 2 2 3 2 5" xfId="27263"/>
    <cellStyle name="백분율 6 3 2 2 3 3" xfId="27264"/>
    <cellStyle name="백분율 6 3 2 2 3 3 2" xfId="27265"/>
    <cellStyle name="백분율 6 3 2 2 3 3 2 2" xfId="27266"/>
    <cellStyle name="백분율 6 3 2 2 3 3 2 2 2" xfId="27267"/>
    <cellStyle name="백분율 6 3 2 2 3 3 2 2 3" xfId="27268"/>
    <cellStyle name="백분율 6 3 2 2 3 3 2 3" xfId="27269"/>
    <cellStyle name="백분율 6 3 2 2 3 3 2 4" xfId="27270"/>
    <cellStyle name="백분율 6 3 2 2 3 3 3" xfId="27271"/>
    <cellStyle name="백분율 6 3 2 2 3 3 3 2" xfId="27272"/>
    <cellStyle name="백분율 6 3 2 2 3 3 3 3" xfId="27273"/>
    <cellStyle name="백분율 6 3 2 2 3 3 4" xfId="27274"/>
    <cellStyle name="백분율 6 3 2 2 3 3 5" xfId="27275"/>
    <cellStyle name="백분율 6 3 2 2 3 4" xfId="27276"/>
    <cellStyle name="백분율 6 3 2 2 3 4 2" xfId="27277"/>
    <cellStyle name="백분율 6 3 2 2 3 4 2 2" xfId="27278"/>
    <cellStyle name="백분율 6 3 2 2 3 4 2 3" xfId="27279"/>
    <cellStyle name="백분율 6 3 2 2 3 4 3" xfId="27280"/>
    <cellStyle name="백분율 6 3 2 2 3 4 4" xfId="27281"/>
    <cellStyle name="백분율 6 3 2 2 3 5" xfId="27282"/>
    <cellStyle name="백분율 6 3 2 2 3 5 2" xfId="27283"/>
    <cellStyle name="백분율 6 3 2 2 3 5 3" xfId="27284"/>
    <cellStyle name="백분율 6 3 2 2 3 6" xfId="27285"/>
    <cellStyle name="백분율 6 3 2 2 3 7" xfId="27286"/>
    <cellStyle name="백분율 6 3 2 2 4" xfId="27287"/>
    <cellStyle name="백분율 6 3 2 2 4 2" xfId="27288"/>
    <cellStyle name="백분율 6 3 2 2 4 2 2" xfId="27289"/>
    <cellStyle name="백분율 6 3 2 2 4 2 2 2" xfId="27290"/>
    <cellStyle name="백분율 6 3 2 2 4 2 2 3" xfId="27291"/>
    <cellStyle name="백분율 6 3 2 2 4 2 3" xfId="27292"/>
    <cellStyle name="백분율 6 3 2 2 4 2 4" xfId="27293"/>
    <cellStyle name="백분율 6 3 2 2 4 3" xfId="27294"/>
    <cellStyle name="백분율 6 3 2 2 4 3 2" xfId="27295"/>
    <cellStyle name="백분율 6 3 2 2 4 3 3" xfId="27296"/>
    <cellStyle name="백분율 6 3 2 2 4 4" xfId="27297"/>
    <cellStyle name="백분율 6 3 2 2 4 5" xfId="27298"/>
    <cellStyle name="백분율 6 3 2 2 5" xfId="27299"/>
    <cellStyle name="백분율 6 3 2 2 5 2" xfId="27300"/>
    <cellStyle name="백분율 6 3 2 2 5 2 2" xfId="27301"/>
    <cellStyle name="백분율 6 3 2 2 5 2 2 2" xfId="27302"/>
    <cellStyle name="백분율 6 3 2 2 5 2 2 3" xfId="27303"/>
    <cellStyle name="백분율 6 3 2 2 5 2 3" xfId="27304"/>
    <cellStyle name="백분율 6 3 2 2 5 2 4" xfId="27305"/>
    <cellStyle name="백분율 6 3 2 2 5 3" xfId="27306"/>
    <cellStyle name="백분율 6 3 2 2 5 3 2" xfId="27307"/>
    <cellStyle name="백분율 6 3 2 2 5 3 3" xfId="27308"/>
    <cellStyle name="백분율 6 3 2 2 5 4" xfId="27309"/>
    <cellStyle name="백분율 6 3 2 2 5 5" xfId="27310"/>
    <cellStyle name="백분율 6 3 2 2 6" xfId="27311"/>
    <cellStyle name="백분율 6 3 2 2 6 2" xfId="27312"/>
    <cellStyle name="백분율 6 3 2 2 6 2 2" xfId="27313"/>
    <cellStyle name="백분율 6 3 2 2 6 2 2 2" xfId="27314"/>
    <cellStyle name="백분율 6 3 2 2 6 2 2 3" xfId="27315"/>
    <cellStyle name="백분율 6 3 2 2 6 2 3" xfId="27316"/>
    <cellStyle name="백분율 6 3 2 2 6 2 4" xfId="27317"/>
    <cellStyle name="백분율 6 3 2 2 6 3" xfId="27318"/>
    <cellStyle name="백분율 6 3 2 2 6 3 2" xfId="27319"/>
    <cellStyle name="백분율 6 3 2 2 6 3 3" xfId="27320"/>
    <cellStyle name="백분율 6 3 2 2 6 4" xfId="27321"/>
    <cellStyle name="백분율 6 3 2 2 6 5" xfId="27322"/>
    <cellStyle name="백분율 6 3 2 2 7" xfId="27323"/>
    <cellStyle name="백분율 6 3 2 2 7 2" xfId="27324"/>
    <cellStyle name="백분율 6 3 2 2 7 2 2" xfId="27325"/>
    <cellStyle name="백분율 6 3 2 2 7 2 3" xfId="27326"/>
    <cellStyle name="백분율 6 3 2 2 7 3" xfId="27327"/>
    <cellStyle name="백분율 6 3 2 2 7 4" xfId="27328"/>
    <cellStyle name="백분율 6 3 2 2 8" xfId="27329"/>
    <cellStyle name="백분율 6 3 2 2 8 2" xfId="27330"/>
    <cellStyle name="백분율 6 3 2 2 8 3" xfId="27331"/>
    <cellStyle name="백분율 6 3 2 2 9" xfId="27332"/>
    <cellStyle name="백분율 6 3 2 3" xfId="27333"/>
    <cellStyle name="백분율 6 3 2 3 10" xfId="27334"/>
    <cellStyle name="백분율 6 3 2 3 2" xfId="27335"/>
    <cellStyle name="백분율 6 3 2 3 2 2" xfId="27336"/>
    <cellStyle name="백분율 6 3 2 3 2 2 2" xfId="27337"/>
    <cellStyle name="백분율 6 3 2 3 2 2 2 2" xfId="27338"/>
    <cellStyle name="백분율 6 3 2 3 2 2 2 2 2" xfId="27339"/>
    <cellStyle name="백분율 6 3 2 3 2 2 2 2 3" xfId="27340"/>
    <cellStyle name="백분율 6 3 2 3 2 2 2 3" xfId="27341"/>
    <cellStyle name="백분율 6 3 2 3 2 2 2 4" xfId="27342"/>
    <cellStyle name="백분율 6 3 2 3 2 2 3" xfId="27343"/>
    <cellStyle name="백분율 6 3 2 3 2 2 3 2" xfId="27344"/>
    <cellStyle name="백분율 6 3 2 3 2 2 3 3" xfId="27345"/>
    <cellStyle name="백분율 6 3 2 3 2 2 4" xfId="27346"/>
    <cellStyle name="백분율 6 3 2 3 2 2 5" xfId="27347"/>
    <cellStyle name="백분율 6 3 2 3 2 3" xfId="27348"/>
    <cellStyle name="백분율 6 3 2 3 2 3 2" xfId="27349"/>
    <cellStyle name="백분율 6 3 2 3 2 3 2 2" xfId="27350"/>
    <cellStyle name="백분율 6 3 2 3 2 3 2 2 2" xfId="27351"/>
    <cellStyle name="백분율 6 3 2 3 2 3 2 2 3" xfId="27352"/>
    <cellStyle name="백분율 6 3 2 3 2 3 2 3" xfId="27353"/>
    <cellStyle name="백분율 6 3 2 3 2 3 2 4" xfId="27354"/>
    <cellStyle name="백분율 6 3 2 3 2 3 3" xfId="27355"/>
    <cellStyle name="백분율 6 3 2 3 2 3 3 2" xfId="27356"/>
    <cellStyle name="백분율 6 3 2 3 2 3 3 3" xfId="27357"/>
    <cellStyle name="백분율 6 3 2 3 2 3 4" xfId="27358"/>
    <cellStyle name="백분율 6 3 2 3 2 3 5" xfId="27359"/>
    <cellStyle name="백분율 6 3 2 3 2 4" xfId="27360"/>
    <cellStyle name="백분율 6 3 2 3 2 4 2" xfId="27361"/>
    <cellStyle name="백분율 6 3 2 3 2 4 2 2" xfId="27362"/>
    <cellStyle name="백분율 6 3 2 3 2 4 2 3" xfId="27363"/>
    <cellStyle name="백분율 6 3 2 3 2 4 3" xfId="27364"/>
    <cellStyle name="백분율 6 3 2 3 2 4 4" xfId="27365"/>
    <cellStyle name="백분율 6 3 2 3 2 5" xfId="27366"/>
    <cellStyle name="백분율 6 3 2 3 2 5 2" xfId="27367"/>
    <cellStyle name="백분율 6 3 2 3 2 5 3" xfId="27368"/>
    <cellStyle name="백분율 6 3 2 3 2 6" xfId="27369"/>
    <cellStyle name="백분율 6 3 2 3 2 7" xfId="27370"/>
    <cellStyle name="백분율 6 3 2 3 3" xfId="27371"/>
    <cellStyle name="백분율 6 3 2 3 3 2" xfId="27372"/>
    <cellStyle name="백분율 6 3 2 3 3 2 2" xfId="27373"/>
    <cellStyle name="백분율 6 3 2 3 3 2 2 2" xfId="27374"/>
    <cellStyle name="백분율 6 3 2 3 3 2 2 2 2" xfId="27375"/>
    <cellStyle name="백분율 6 3 2 3 3 2 2 2 3" xfId="27376"/>
    <cellStyle name="백분율 6 3 2 3 3 2 2 3" xfId="27377"/>
    <cellStyle name="백분율 6 3 2 3 3 2 2 4" xfId="27378"/>
    <cellStyle name="백분율 6 3 2 3 3 2 3" xfId="27379"/>
    <cellStyle name="백분율 6 3 2 3 3 2 3 2" xfId="27380"/>
    <cellStyle name="백분율 6 3 2 3 3 2 3 3" xfId="27381"/>
    <cellStyle name="백분율 6 3 2 3 3 2 4" xfId="27382"/>
    <cellStyle name="백분율 6 3 2 3 3 2 5" xfId="27383"/>
    <cellStyle name="백분율 6 3 2 3 3 3" xfId="27384"/>
    <cellStyle name="백분율 6 3 2 3 3 3 2" xfId="27385"/>
    <cellStyle name="백분율 6 3 2 3 3 3 2 2" xfId="27386"/>
    <cellStyle name="백분율 6 3 2 3 3 3 2 2 2" xfId="27387"/>
    <cellStyle name="백분율 6 3 2 3 3 3 2 2 3" xfId="27388"/>
    <cellStyle name="백분율 6 3 2 3 3 3 2 3" xfId="27389"/>
    <cellStyle name="백분율 6 3 2 3 3 3 2 4" xfId="27390"/>
    <cellStyle name="백분율 6 3 2 3 3 3 3" xfId="27391"/>
    <cellStyle name="백분율 6 3 2 3 3 3 3 2" xfId="27392"/>
    <cellStyle name="백분율 6 3 2 3 3 3 3 3" xfId="27393"/>
    <cellStyle name="백분율 6 3 2 3 3 3 4" xfId="27394"/>
    <cellStyle name="백분율 6 3 2 3 3 3 5" xfId="27395"/>
    <cellStyle name="백분율 6 3 2 3 3 4" xfId="27396"/>
    <cellStyle name="백분율 6 3 2 3 3 4 2" xfId="27397"/>
    <cellStyle name="백분율 6 3 2 3 3 4 2 2" xfId="27398"/>
    <cellStyle name="백분율 6 3 2 3 3 4 2 3" xfId="27399"/>
    <cellStyle name="백분율 6 3 2 3 3 4 3" xfId="27400"/>
    <cellStyle name="백분율 6 3 2 3 3 4 4" xfId="27401"/>
    <cellStyle name="백분율 6 3 2 3 3 5" xfId="27402"/>
    <cellStyle name="백분율 6 3 2 3 3 5 2" xfId="27403"/>
    <cellStyle name="백분율 6 3 2 3 3 5 3" xfId="27404"/>
    <cellStyle name="백분율 6 3 2 3 3 6" xfId="27405"/>
    <cellStyle name="백분율 6 3 2 3 3 7" xfId="27406"/>
    <cellStyle name="백분율 6 3 2 3 4" xfId="27407"/>
    <cellStyle name="백분율 6 3 2 3 4 2" xfId="27408"/>
    <cellStyle name="백분율 6 3 2 3 4 2 2" xfId="27409"/>
    <cellStyle name="백분율 6 3 2 3 4 2 2 2" xfId="27410"/>
    <cellStyle name="백분율 6 3 2 3 4 2 2 3" xfId="27411"/>
    <cellStyle name="백분율 6 3 2 3 4 2 3" xfId="27412"/>
    <cellStyle name="백분율 6 3 2 3 4 2 4" xfId="27413"/>
    <cellStyle name="백분율 6 3 2 3 4 3" xfId="27414"/>
    <cellStyle name="백분율 6 3 2 3 4 3 2" xfId="27415"/>
    <cellStyle name="백분율 6 3 2 3 4 3 3" xfId="27416"/>
    <cellStyle name="백분율 6 3 2 3 4 4" xfId="27417"/>
    <cellStyle name="백분율 6 3 2 3 4 5" xfId="27418"/>
    <cellStyle name="백분율 6 3 2 3 5" xfId="27419"/>
    <cellStyle name="백분율 6 3 2 3 5 2" xfId="27420"/>
    <cellStyle name="백분율 6 3 2 3 5 2 2" xfId="27421"/>
    <cellStyle name="백분율 6 3 2 3 5 2 2 2" xfId="27422"/>
    <cellStyle name="백분율 6 3 2 3 5 2 2 3" xfId="27423"/>
    <cellStyle name="백분율 6 3 2 3 5 2 3" xfId="27424"/>
    <cellStyle name="백분율 6 3 2 3 5 2 4" xfId="27425"/>
    <cellStyle name="백분율 6 3 2 3 5 3" xfId="27426"/>
    <cellStyle name="백분율 6 3 2 3 5 3 2" xfId="27427"/>
    <cellStyle name="백분율 6 3 2 3 5 3 3" xfId="27428"/>
    <cellStyle name="백분율 6 3 2 3 5 4" xfId="27429"/>
    <cellStyle name="백분율 6 3 2 3 5 5" xfId="27430"/>
    <cellStyle name="백분율 6 3 2 3 6" xfId="27431"/>
    <cellStyle name="백분율 6 3 2 3 6 2" xfId="27432"/>
    <cellStyle name="백분율 6 3 2 3 6 2 2" xfId="27433"/>
    <cellStyle name="백분율 6 3 2 3 6 2 2 2" xfId="27434"/>
    <cellStyle name="백분율 6 3 2 3 6 2 2 3" xfId="27435"/>
    <cellStyle name="백분율 6 3 2 3 6 2 3" xfId="27436"/>
    <cellStyle name="백분율 6 3 2 3 6 2 4" xfId="27437"/>
    <cellStyle name="백분율 6 3 2 3 6 3" xfId="27438"/>
    <cellStyle name="백분율 6 3 2 3 6 3 2" xfId="27439"/>
    <cellStyle name="백분율 6 3 2 3 6 3 3" xfId="27440"/>
    <cellStyle name="백분율 6 3 2 3 6 4" xfId="27441"/>
    <cellStyle name="백분율 6 3 2 3 6 5" xfId="27442"/>
    <cellStyle name="백분율 6 3 2 3 7" xfId="27443"/>
    <cellStyle name="백분율 6 3 2 3 7 2" xfId="27444"/>
    <cellStyle name="백분율 6 3 2 3 7 2 2" xfId="27445"/>
    <cellStyle name="백분율 6 3 2 3 7 2 3" xfId="27446"/>
    <cellStyle name="백분율 6 3 2 3 7 3" xfId="27447"/>
    <cellStyle name="백분율 6 3 2 3 7 4" xfId="27448"/>
    <cellStyle name="백분율 6 3 2 3 8" xfId="27449"/>
    <cellStyle name="백분율 6 3 2 3 8 2" xfId="27450"/>
    <cellStyle name="백분율 6 3 2 3 8 3" xfId="27451"/>
    <cellStyle name="백분율 6 3 2 3 9" xfId="27452"/>
    <cellStyle name="백분율 6 3 2 4" xfId="27453"/>
    <cellStyle name="백분율 6 3 2 4 10" xfId="27454"/>
    <cellStyle name="백분율 6 3 2 4 2" xfId="27455"/>
    <cellStyle name="백분율 6 3 2 4 2 2" xfId="27456"/>
    <cellStyle name="백분율 6 3 2 4 2 2 2" xfId="27457"/>
    <cellStyle name="백분율 6 3 2 4 2 2 2 2" xfId="27458"/>
    <cellStyle name="백분율 6 3 2 4 2 2 2 2 2" xfId="27459"/>
    <cellStyle name="백분율 6 3 2 4 2 2 2 2 3" xfId="27460"/>
    <cellStyle name="백분율 6 3 2 4 2 2 2 3" xfId="27461"/>
    <cellStyle name="백분율 6 3 2 4 2 2 2 4" xfId="27462"/>
    <cellStyle name="백분율 6 3 2 4 2 2 3" xfId="27463"/>
    <cellStyle name="백분율 6 3 2 4 2 2 3 2" xfId="27464"/>
    <cellStyle name="백분율 6 3 2 4 2 2 3 3" xfId="27465"/>
    <cellStyle name="백분율 6 3 2 4 2 2 4" xfId="27466"/>
    <cellStyle name="백분율 6 3 2 4 2 2 5" xfId="27467"/>
    <cellStyle name="백분율 6 3 2 4 2 3" xfId="27468"/>
    <cellStyle name="백분율 6 3 2 4 2 3 2" xfId="27469"/>
    <cellStyle name="백분율 6 3 2 4 2 3 2 2" xfId="27470"/>
    <cellStyle name="백분율 6 3 2 4 2 3 2 2 2" xfId="27471"/>
    <cellStyle name="백분율 6 3 2 4 2 3 2 2 3" xfId="27472"/>
    <cellStyle name="백분율 6 3 2 4 2 3 2 3" xfId="27473"/>
    <cellStyle name="백분율 6 3 2 4 2 3 2 4" xfId="27474"/>
    <cellStyle name="백분율 6 3 2 4 2 3 3" xfId="27475"/>
    <cellStyle name="백분율 6 3 2 4 2 3 3 2" xfId="27476"/>
    <cellStyle name="백분율 6 3 2 4 2 3 3 3" xfId="27477"/>
    <cellStyle name="백분율 6 3 2 4 2 3 4" xfId="27478"/>
    <cellStyle name="백분율 6 3 2 4 2 3 5" xfId="27479"/>
    <cellStyle name="백분율 6 3 2 4 2 4" xfId="27480"/>
    <cellStyle name="백분율 6 3 2 4 2 4 2" xfId="27481"/>
    <cellStyle name="백분율 6 3 2 4 2 4 2 2" xfId="27482"/>
    <cellStyle name="백분율 6 3 2 4 2 4 2 3" xfId="27483"/>
    <cellStyle name="백분율 6 3 2 4 2 4 3" xfId="27484"/>
    <cellStyle name="백분율 6 3 2 4 2 4 4" xfId="27485"/>
    <cellStyle name="백분율 6 3 2 4 2 5" xfId="27486"/>
    <cellStyle name="백분율 6 3 2 4 2 5 2" xfId="27487"/>
    <cellStyle name="백분율 6 3 2 4 2 5 3" xfId="27488"/>
    <cellStyle name="백분율 6 3 2 4 2 6" xfId="27489"/>
    <cellStyle name="백분율 6 3 2 4 2 7" xfId="27490"/>
    <cellStyle name="백분율 6 3 2 4 3" xfId="27491"/>
    <cellStyle name="백분율 6 3 2 4 3 2" xfId="27492"/>
    <cellStyle name="백분율 6 3 2 4 3 2 2" xfId="27493"/>
    <cellStyle name="백분율 6 3 2 4 3 2 2 2" xfId="27494"/>
    <cellStyle name="백분율 6 3 2 4 3 2 2 2 2" xfId="27495"/>
    <cellStyle name="백분율 6 3 2 4 3 2 2 2 3" xfId="27496"/>
    <cellStyle name="백분율 6 3 2 4 3 2 2 3" xfId="27497"/>
    <cellStyle name="백분율 6 3 2 4 3 2 2 4" xfId="27498"/>
    <cellStyle name="백분율 6 3 2 4 3 2 3" xfId="27499"/>
    <cellStyle name="백분율 6 3 2 4 3 2 3 2" xfId="27500"/>
    <cellStyle name="백분율 6 3 2 4 3 2 3 3" xfId="27501"/>
    <cellStyle name="백분율 6 3 2 4 3 2 4" xfId="27502"/>
    <cellStyle name="백분율 6 3 2 4 3 2 5" xfId="27503"/>
    <cellStyle name="백분율 6 3 2 4 3 3" xfId="27504"/>
    <cellStyle name="백분율 6 3 2 4 3 3 2" xfId="27505"/>
    <cellStyle name="백분율 6 3 2 4 3 3 2 2" xfId="27506"/>
    <cellStyle name="백분율 6 3 2 4 3 3 2 2 2" xfId="27507"/>
    <cellStyle name="백분율 6 3 2 4 3 3 2 2 3" xfId="27508"/>
    <cellStyle name="백분율 6 3 2 4 3 3 2 3" xfId="27509"/>
    <cellStyle name="백분율 6 3 2 4 3 3 2 4" xfId="27510"/>
    <cellStyle name="백분율 6 3 2 4 3 3 3" xfId="27511"/>
    <cellStyle name="백분율 6 3 2 4 3 3 3 2" xfId="27512"/>
    <cellStyle name="백분율 6 3 2 4 3 3 3 3" xfId="27513"/>
    <cellStyle name="백분율 6 3 2 4 3 3 4" xfId="27514"/>
    <cellStyle name="백분율 6 3 2 4 3 3 5" xfId="27515"/>
    <cellStyle name="백분율 6 3 2 4 3 4" xfId="27516"/>
    <cellStyle name="백분율 6 3 2 4 3 4 2" xfId="27517"/>
    <cellStyle name="백분율 6 3 2 4 3 4 2 2" xfId="27518"/>
    <cellStyle name="백분율 6 3 2 4 3 4 2 3" xfId="27519"/>
    <cellStyle name="백분율 6 3 2 4 3 4 3" xfId="27520"/>
    <cellStyle name="백분율 6 3 2 4 3 4 4" xfId="27521"/>
    <cellStyle name="백분율 6 3 2 4 3 5" xfId="27522"/>
    <cellStyle name="백분율 6 3 2 4 3 5 2" xfId="27523"/>
    <cellStyle name="백분율 6 3 2 4 3 5 3" xfId="27524"/>
    <cellStyle name="백분율 6 3 2 4 3 6" xfId="27525"/>
    <cellStyle name="백분율 6 3 2 4 3 7" xfId="27526"/>
    <cellStyle name="백분율 6 3 2 4 4" xfId="27527"/>
    <cellStyle name="백분율 6 3 2 4 4 2" xfId="27528"/>
    <cellStyle name="백분율 6 3 2 4 4 2 2" xfId="27529"/>
    <cellStyle name="백분율 6 3 2 4 4 2 2 2" xfId="27530"/>
    <cellStyle name="백분율 6 3 2 4 4 2 2 3" xfId="27531"/>
    <cellStyle name="백분율 6 3 2 4 4 2 3" xfId="27532"/>
    <cellStyle name="백분율 6 3 2 4 4 2 4" xfId="27533"/>
    <cellStyle name="백분율 6 3 2 4 4 3" xfId="27534"/>
    <cellStyle name="백분율 6 3 2 4 4 3 2" xfId="27535"/>
    <cellStyle name="백분율 6 3 2 4 4 3 3" xfId="27536"/>
    <cellStyle name="백분율 6 3 2 4 4 4" xfId="27537"/>
    <cellStyle name="백분율 6 3 2 4 4 5" xfId="27538"/>
    <cellStyle name="백분율 6 3 2 4 5" xfId="27539"/>
    <cellStyle name="백분율 6 3 2 4 5 2" xfId="27540"/>
    <cellStyle name="백분율 6 3 2 4 5 2 2" xfId="27541"/>
    <cellStyle name="백분율 6 3 2 4 5 2 2 2" xfId="27542"/>
    <cellStyle name="백분율 6 3 2 4 5 2 2 3" xfId="27543"/>
    <cellStyle name="백분율 6 3 2 4 5 2 3" xfId="27544"/>
    <cellStyle name="백분율 6 3 2 4 5 2 4" xfId="27545"/>
    <cellStyle name="백분율 6 3 2 4 5 3" xfId="27546"/>
    <cellStyle name="백분율 6 3 2 4 5 3 2" xfId="27547"/>
    <cellStyle name="백분율 6 3 2 4 5 3 3" xfId="27548"/>
    <cellStyle name="백분율 6 3 2 4 5 4" xfId="27549"/>
    <cellStyle name="백분율 6 3 2 4 5 5" xfId="27550"/>
    <cellStyle name="백분율 6 3 2 4 6" xfId="27551"/>
    <cellStyle name="백분율 6 3 2 4 6 2" xfId="27552"/>
    <cellStyle name="백분율 6 3 2 4 6 2 2" xfId="27553"/>
    <cellStyle name="백분율 6 3 2 4 6 2 2 2" xfId="27554"/>
    <cellStyle name="백분율 6 3 2 4 6 2 2 3" xfId="27555"/>
    <cellStyle name="백분율 6 3 2 4 6 2 3" xfId="27556"/>
    <cellStyle name="백분율 6 3 2 4 6 2 4" xfId="27557"/>
    <cellStyle name="백분율 6 3 2 4 6 3" xfId="27558"/>
    <cellStyle name="백분율 6 3 2 4 6 3 2" xfId="27559"/>
    <cellStyle name="백분율 6 3 2 4 6 3 3" xfId="27560"/>
    <cellStyle name="백분율 6 3 2 4 6 4" xfId="27561"/>
    <cellStyle name="백분율 6 3 2 4 6 5" xfId="27562"/>
    <cellStyle name="백분율 6 3 2 4 7" xfId="27563"/>
    <cellStyle name="백분율 6 3 2 4 7 2" xfId="27564"/>
    <cellStyle name="백분율 6 3 2 4 7 2 2" xfId="27565"/>
    <cellStyle name="백분율 6 3 2 4 7 2 3" xfId="27566"/>
    <cellStyle name="백분율 6 3 2 4 7 3" xfId="27567"/>
    <cellStyle name="백분율 6 3 2 4 7 4" xfId="27568"/>
    <cellStyle name="백분율 6 3 2 4 8" xfId="27569"/>
    <cellStyle name="백분율 6 3 2 4 8 2" xfId="27570"/>
    <cellStyle name="백분율 6 3 2 4 8 3" xfId="27571"/>
    <cellStyle name="백분율 6 3 2 4 9" xfId="27572"/>
    <cellStyle name="백분율 6 3 2 5" xfId="27573"/>
    <cellStyle name="백분율 6 3 2 5 2" xfId="27574"/>
    <cellStyle name="백분율 6 3 2 5 2 2" xfId="27575"/>
    <cellStyle name="백분율 6 3 2 5 2 2 2" xfId="27576"/>
    <cellStyle name="백분율 6 3 2 5 2 2 2 2" xfId="27577"/>
    <cellStyle name="백분율 6 3 2 5 2 2 2 3" xfId="27578"/>
    <cellStyle name="백분율 6 3 2 5 2 2 3" xfId="27579"/>
    <cellStyle name="백분율 6 3 2 5 2 2 4" xfId="27580"/>
    <cellStyle name="백분율 6 3 2 5 2 3" xfId="27581"/>
    <cellStyle name="백분율 6 3 2 5 2 3 2" xfId="27582"/>
    <cellStyle name="백분율 6 3 2 5 2 3 3" xfId="27583"/>
    <cellStyle name="백분율 6 3 2 5 2 4" xfId="27584"/>
    <cellStyle name="백분율 6 3 2 5 2 5" xfId="27585"/>
    <cellStyle name="백분율 6 3 2 5 3" xfId="27586"/>
    <cellStyle name="백분율 6 3 2 5 3 2" xfId="27587"/>
    <cellStyle name="백분율 6 3 2 5 3 2 2" xfId="27588"/>
    <cellStyle name="백분율 6 3 2 5 3 2 2 2" xfId="27589"/>
    <cellStyle name="백분율 6 3 2 5 3 2 2 3" xfId="27590"/>
    <cellStyle name="백분율 6 3 2 5 3 2 3" xfId="27591"/>
    <cellStyle name="백분율 6 3 2 5 3 2 4" xfId="27592"/>
    <cellStyle name="백분율 6 3 2 5 3 3" xfId="27593"/>
    <cellStyle name="백분율 6 3 2 5 3 3 2" xfId="27594"/>
    <cellStyle name="백분율 6 3 2 5 3 3 3" xfId="27595"/>
    <cellStyle name="백분율 6 3 2 5 3 4" xfId="27596"/>
    <cellStyle name="백분율 6 3 2 5 3 5" xfId="27597"/>
    <cellStyle name="백분율 6 3 2 5 4" xfId="27598"/>
    <cellStyle name="백분율 6 3 2 5 4 2" xfId="27599"/>
    <cellStyle name="백분율 6 3 2 5 4 2 2" xfId="27600"/>
    <cellStyle name="백분율 6 3 2 5 4 2 3" xfId="27601"/>
    <cellStyle name="백분율 6 3 2 5 4 3" xfId="27602"/>
    <cellStyle name="백분율 6 3 2 5 4 4" xfId="27603"/>
    <cellStyle name="백분율 6 3 2 5 5" xfId="27604"/>
    <cellStyle name="백분율 6 3 2 5 5 2" xfId="27605"/>
    <cellStyle name="백분율 6 3 2 5 5 3" xfId="27606"/>
    <cellStyle name="백분율 6 3 2 5 6" xfId="27607"/>
    <cellStyle name="백분율 6 3 2 5 7" xfId="27608"/>
    <cellStyle name="백분율 6 3 2 6" xfId="27609"/>
    <cellStyle name="백분율 6 3 2 6 2" xfId="27610"/>
    <cellStyle name="백분율 6 3 2 6 2 2" xfId="27611"/>
    <cellStyle name="백분율 6 3 2 6 2 2 2" xfId="27612"/>
    <cellStyle name="백분율 6 3 2 6 2 2 2 2" xfId="27613"/>
    <cellStyle name="백분율 6 3 2 6 2 2 2 3" xfId="27614"/>
    <cellStyle name="백분율 6 3 2 6 2 2 3" xfId="27615"/>
    <cellStyle name="백분율 6 3 2 6 2 2 4" xfId="27616"/>
    <cellStyle name="백분율 6 3 2 6 2 3" xfId="27617"/>
    <cellStyle name="백분율 6 3 2 6 2 3 2" xfId="27618"/>
    <cellStyle name="백분율 6 3 2 6 2 3 3" xfId="27619"/>
    <cellStyle name="백분율 6 3 2 6 2 4" xfId="27620"/>
    <cellStyle name="백분율 6 3 2 6 2 5" xfId="27621"/>
    <cellStyle name="백분율 6 3 2 6 3" xfId="27622"/>
    <cellStyle name="백분율 6 3 2 6 3 2" xfId="27623"/>
    <cellStyle name="백분율 6 3 2 6 3 2 2" xfId="27624"/>
    <cellStyle name="백분율 6 3 2 6 3 2 2 2" xfId="27625"/>
    <cellStyle name="백분율 6 3 2 6 3 2 2 3" xfId="27626"/>
    <cellStyle name="백분율 6 3 2 6 3 2 3" xfId="27627"/>
    <cellStyle name="백분율 6 3 2 6 3 2 4" xfId="27628"/>
    <cellStyle name="백분율 6 3 2 6 3 3" xfId="27629"/>
    <cellStyle name="백분율 6 3 2 6 3 3 2" xfId="27630"/>
    <cellStyle name="백분율 6 3 2 6 3 3 3" xfId="27631"/>
    <cellStyle name="백분율 6 3 2 6 3 4" xfId="27632"/>
    <cellStyle name="백분율 6 3 2 6 3 5" xfId="27633"/>
    <cellStyle name="백분율 6 3 2 6 4" xfId="27634"/>
    <cellStyle name="백분율 6 3 2 6 4 2" xfId="27635"/>
    <cellStyle name="백분율 6 3 2 6 4 2 2" xfId="27636"/>
    <cellStyle name="백분율 6 3 2 6 4 2 3" xfId="27637"/>
    <cellStyle name="백분율 6 3 2 6 4 3" xfId="27638"/>
    <cellStyle name="백분율 6 3 2 6 4 4" xfId="27639"/>
    <cellStyle name="백분율 6 3 2 6 5" xfId="27640"/>
    <cellStyle name="백분율 6 3 2 6 5 2" xfId="27641"/>
    <cellStyle name="백분율 6 3 2 6 5 3" xfId="27642"/>
    <cellStyle name="백분율 6 3 2 6 6" xfId="27643"/>
    <cellStyle name="백분율 6 3 2 6 7" xfId="27644"/>
    <cellStyle name="백분율 6 3 2 7" xfId="27645"/>
    <cellStyle name="백분율 6 3 2 7 2" xfId="27646"/>
    <cellStyle name="백분율 6 3 2 7 2 2" xfId="27647"/>
    <cellStyle name="백분율 6 3 2 7 2 2 2" xfId="27648"/>
    <cellStyle name="백분율 6 3 2 7 2 2 3" xfId="27649"/>
    <cellStyle name="백분율 6 3 2 7 2 3" xfId="27650"/>
    <cellStyle name="백분율 6 3 2 7 2 4" xfId="27651"/>
    <cellStyle name="백분율 6 3 2 7 3" xfId="27652"/>
    <cellStyle name="백분율 6 3 2 7 3 2" xfId="27653"/>
    <cellStyle name="백분율 6 3 2 7 3 3" xfId="27654"/>
    <cellStyle name="백분율 6 3 2 7 4" xfId="27655"/>
    <cellStyle name="백분율 6 3 2 7 5" xfId="27656"/>
    <cellStyle name="백분율 6 3 2 8" xfId="27657"/>
    <cellStyle name="백분율 6 3 2 8 2" xfId="27658"/>
    <cellStyle name="백분율 6 3 2 8 2 2" xfId="27659"/>
    <cellStyle name="백분율 6 3 2 8 2 2 2" xfId="27660"/>
    <cellStyle name="백분율 6 3 2 8 2 2 3" xfId="27661"/>
    <cellStyle name="백분율 6 3 2 8 2 3" xfId="27662"/>
    <cellStyle name="백분율 6 3 2 8 2 4" xfId="27663"/>
    <cellStyle name="백분율 6 3 2 8 3" xfId="27664"/>
    <cellStyle name="백분율 6 3 2 8 3 2" xfId="27665"/>
    <cellStyle name="백분율 6 3 2 8 3 3" xfId="27666"/>
    <cellStyle name="백분율 6 3 2 8 4" xfId="27667"/>
    <cellStyle name="백분율 6 3 2 8 5" xfId="27668"/>
    <cellStyle name="백분율 6 3 2 9" xfId="27669"/>
    <cellStyle name="백분율 6 3 2 9 2" xfId="27670"/>
    <cellStyle name="백분율 6 3 2 9 2 2" xfId="27671"/>
    <cellStyle name="백분율 6 3 2 9 2 2 2" xfId="27672"/>
    <cellStyle name="백분율 6 3 2 9 2 2 3" xfId="27673"/>
    <cellStyle name="백분율 6 3 2 9 2 3" xfId="27674"/>
    <cellStyle name="백분율 6 3 2 9 2 4" xfId="27675"/>
    <cellStyle name="백분율 6 3 2 9 3" xfId="27676"/>
    <cellStyle name="백분율 6 3 2 9 3 2" xfId="27677"/>
    <cellStyle name="백분율 6 3 2 9 3 3" xfId="27678"/>
    <cellStyle name="백분율 6 3 2 9 4" xfId="27679"/>
    <cellStyle name="백분율 6 3 2 9 5" xfId="27680"/>
    <cellStyle name="백분율 6 3 3" xfId="27681"/>
    <cellStyle name="백분율 6 3 3 10" xfId="27682"/>
    <cellStyle name="백분율 6 3 3 2" xfId="27683"/>
    <cellStyle name="백분율 6 3 3 2 2" xfId="27684"/>
    <cellStyle name="백분율 6 3 3 2 2 2" xfId="27685"/>
    <cellStyle name="백분율 6 3 3 2 2 2 2" xfId="27686"/>
    <cellStyle name="백분율 6 3 3 2 2 2 2 2" xfId="27687"/>
    <cellStyle name="백분율 6 3 3 2 2 2 2 3" xfId="27688"/>
    <cellStyle name="백분율 6 3 3 2 2 2 3" xfId="27689"/>
    <cellStyle name="백분율 6 3 3 2 2 2 4" xfId="27690"/>
    <cellStyle name="백분율 6 3 3 2 2 3" xfId="27691"/>
    <cellStyle name="백분율 6 3 3 2 2 3 2" xfId="27692"/>
    <cellStyle name="백분율 6 3 3 2 2 3 3" xfId="27693"/>
    <cellStyle name="백분율 6 3 3 2 2 4" xfId="27694"/>
    <cellStyle name="백분율 6 3 3 2 2 5" xfId="27695"/>
    <cellStyle name="백분율 6 3 3 2 3" xfId="27696"/>
    <cellStyle name="백분율 6 3 3 2 3 2" xfId="27697"/>
    <cellStyle name="백분율 6 3 3 2 3 2 2" xfId="27698"/>
    <cellStyle name="백분율 6 3 3 2 3 2 2 2" xfId="27699"/>
    <cellStyle name="백분율 6 3 3 2 3 2 2 3" xfId="27700"/>
    <cellStyle name="백분율 6 3 3 2 3 2 3" xfId="27701"/>
    <cellStyle name="백분율 6 3 3 2 3 2 4" xfId="27702"/>
    <cellStyle name="백분율 6 3 3 2 3 3" xfId="27703"/>
    <cellStyle name="백분율 6 3 3 2 3 3 2" xfId="27704"/>
    <cellStyle name="백분율 6 3 3 2 3 3 3" xfId="27705"/>
    <cellStyle name="백분율 6 3 3 2 3 4" xfId="27706"/>
    <cellStyle name="백분율 6 3 3 2 3 5" xfId="27707"/>
    <cellStyle name="백분율 6 3 3 2 4" xfId="27708"/>
    <cellStyle name="백분율 6 3 3 2 4 2" xfId="27709"/>
    <cellStyle name="백분율 6 3 3 2 4 2 2" xfId="27710"/>
    <cellStyle name="백분율 6 3 3 2 4 2 3" xfId="27711"/>
    <cellStyle name="백분율 6 3 3 2 4 3" xfId="27712"/>
    <cellStyle name="백분율 6 3 3 2 4 4" xfId="27713"/>
    <cellStyle name="백분율 6 3 3 2 5" xfId="27714"/>
    <cellStyle name="백분율 6 3 3 2 5 2" xfId="27715"/>
    <cellStyle name="백분율 6 3 3 2 5 3" xfId="27716"/>
    <cellStyle name="백분율 6 3 3 2 6" xfId="27717"/>
    <cellStyle name="백분율 6 3 3 2 7" xfId="27718"/>
    <cellStyle name="백분율 6 3 3 3" xfId="27719"/>
    <cellStyle name="백분율 6 3 3 3 2" xfId="27720"/>
    <cellStyle name="백분율 6 3 3 3 2 2" xfId="27721"/>
    <cellStyle name="백분율 6 3 3 3 2 2 2" xfId="27722"/>
    <cellStyle name="백분율 6 3 3 3 2 2 2 2" xfId="27723"/>
    <cellStyle name="백분율 6 3 3 3 2 2 2 3" xfId="27724"/>
    <cellStyle name="백분율 6 3 3 3 2 2 3" xfId="27725"/>
    <cellStyle name="백분율 6 3 3 3 2 2 4" xfId="27726"/>
    <cellStyle name="백분율 6 3 3 3 2 3" xfId="27727"/>
    <cellStyle name="백분율 6 3 3 3 2 3 2" xfId="27728"/>
    <cellStyle name="백분율 6 3 3 3 2 3 3" xfId="27729"/>
    <cellStyle name="백분율 6 3 3 3 2 4" xfId="27730"/>
    <cellStyle name="백분율 6 3 3 3 2 5" xfId="27731"/>
    <cellStyle name="백분율 6 3 3 3 3" xfId="27732"/>
    <cellStyle name="백분율 6 3 3 3 3 2" xfId="27733"/>
    <cellStyle name="백분율 6 3 3 3 3 2 2" xfId="27734"/>
    <cellStyle name="백분율 6 3 3 3 3 2 2 2" xfId="27735"/>
    <cellStyle name="백분율 6 3 3 3 3 2 2 3" xfId="27736"/>
    <cellStyle name="백분율 6 3 3 3 3 2 3" xfId="27737"/>
    <cellStyle name="백분율 6 3 3 3 3 2 4" xfId="27738"/>
    <cellStyle name="백분율 6 3 3 3 3 3" xfId="27739"/>
    <cellStyle name="백분율 6 3 3 3 3 3 2" xfId="27740"/>
    <cellStyle name="백분율 6 3 3 3 3 3 3" xfId="27741"/>
    <cellStyle name="백분율 6 3 3 3 3 4" xfId="27742"/>
    <cellStyle name="백분율 6 3 3 3 3 5" xfId="27743"/>
    <cellStyle name="백분율 6 3 3 3 4" xfId="27744"/>
    <cellStyle name="백분율 6 3 3 3 4 2" xfId="27745"/>
    <cellStyle name="백분율 6 3 3 3 4 2 2" xfId="27746"/>
    <cellStyle name="백분율 6 3 3 3 4 2 3" xfId="27747"/>
    <cellStyle name="백분율 6 3 3 3 4 3" xfId="27748"/>
    <cellStyle name="백분율 6 3 3 3 4 4" xfId="27749"/>
    <cellStyle name="백분율 6 3 3 3 5" xfId="27750"/>
    <cellStyle name="백분율 6 3 3 3 5 2" xfId="27751"/>
    <cellStyle name="백분율 6 3 3 3 5 3" xfId="27752"/>
    <cellStyle name="백분율 6 3 3 3 6" xfId="27753"/>
    <cellStyle name="백분율 6 3 3 3 7" xfId="27754"/>
    <cellStyle name="백분율 6 3 3 4" xfId="27755"/>
    <cellStyle name="백분율 6 3 3 4 2" xfId="27756"/>
    <cellStyle name="백분율 6 3 3 4 2 2" xfId="27757"/>
    <cellStyle name="백분율 6 3 3 4 2 2 2" xfId="27758"/>
    <cellStyle name="백분율 6 3 3 4 2 2 3" xfId="27759"/>
    <cellStyle name="백분율 6 3 3 4 2 3" xfId="27760"/>
    <cellStyle name="백분율 6 3 3 4 2 4" xfId="27761"/>
    <cellStyle name="백분율 6 3 3 4 3" xfId="27762"/>
    <cellStyle name="백분율 6 3 3 4 3 2" xfId="27763"/>
    <cellStyle name="백분율 6 3 3 4 3 3" xfId="27764"/>
    <cellStyle name="백분율 6 3 3 4 4" xfId="27765"/>
    <cellStyle name="백분율 6 3 3 4 5" xfId="27766"/>
    <cellStyle name="백분율 6 3 3 5" xfId="27767"/>
    <cellStyle name="백분율 6 3 3 5 2" xfId="27768"/>
    <cellStyle name="백분율 6 3 3 5 2 2" xfId="27769"/>
    <cellStyle name="백분율 6 3 3 5 2 2 2" xfId="27770"/>
    <cellStyle name="백분율 6 3 3 5 2 2 3" xfId="27771"/>
    <cellStyle name="백분율 6 3 3 5 2 3" xfId="27772"/>
    <cellStyle name="백분율 6 3 3 5 2 4" xfId="27773"/>
    <cellStyle name="백분율 6 3 3 5 3" xfId="27774"/>
    <cellStyle name="백분율 6 3 3 5 3 2" xfId="27775"/>
    <cellStyle name="백분율 6 3 3 5 3 3" xfId="27776"/>
    <cellStyle name="백분율 6 3 3 5 4" xfId="27777"/>
    <cellStyle name="백분율 6 3 3 5 5" xfId="27778"/>
    <cellStyle name="백분율 6 3 3 6" xfId="27779"/>
    <cellStyle name="백분율 6 3 3 6 2" xfId="27780"/>
    <cellStyle name="백분율 6 3 3 6 2 2" xfId="27781"/>
    <cellStyle name="백분율 6 3 3 6 2 2 2" xfId="27782"/>
    <cellStyle name="백분율 6 3 3 6 2 2 3" xfId="27783"/>
    <cellStyle name="백분율 6 3 3 6 2 3" xfId="27784"/>
    <cellStyle name="백분율 6 3 3 6 2 4" xfId="27785"/>
    <cellStyle name="백분율 6 3 3 6 3" xfId="27786"/>
    <cellStyle name="백분율 6 3 3 6 3 2" xfId="27787"/>
    <cellStyle name="백분율 6 3 3 6 3 3" xfId="27788"/>
    <cellStyle name="백분율 6 3 3 6 4" xfId="27789"/>
    <cellStyle name="백분율 6 3 3 6 5" xfId="27790"/>
    <cellStyle name="백분율 6 3 3 7" xfId="27791"/>
    <cellStyle name="백분율 6 3 3 7 2" xfId="27792"/>
    <cellStyle name="백분율 6 3 3 7 2 2" xfId="27793"/>
    <cellStyle name="백분율 6 3 3 7 2 3" xfId="27794"/>
    <cellStyle name="백분율 6 3 3 7 3" xfId="27795"/>
    <cellStyle name="백분율 6 3 3 7 4" xfId="27796"/>
    <cellStyle name="백분율 6 3 3 8" xfId="27797"/>
    <cellStyle name="백분율 6 3 3 8 2" xfId="27798"/>
    <cellStyle name="백분율 6 3 3 8 3" xfId="27799"/>
    <cellStyle name="백분율 6 3 3 9" xfId="27800"/>
    <cellStyle name="백분율 6 3 4" xfId="27801"/>
    <cellStyle name="백분율 6 3 4 10" xfId="27802"/>
    <cellStyle name="백분율 6 3 4 2" xfId="27803"/>
    <cellStyle name="백분율 6 3 4 2 2" xfId="27804"/>
    <cellStyle name="백분율 6 3 4 2 2 2" xfId="27805"/>
    <cellStyle name="백분율 6 3 4 2 2 2 2" xfId="27806"/>
    <cellStyle name="백분율 6 3 4 2 2 2 2 2" xfId="27807"/>
    <cellStyle name="백분율 6 3 4 2 2 2 2 3" xfId="27808"/>
    <cellStyle name="백분율 6 3 4 2 2 2 3" xfId="27809"/>
    <cellStyle name="백분율 6 3 4 2 2 2 4" xfId="27810"/>
    <cellStyle name="백분율 6 3 4 2 2 3" xfId="27811"/>
    <cellStyle name="백분율 6 3 4 2 2 3 2" xfId="27812"/>
    <cellStyle name="백분율 6 3 4 2 2 3 3" xfId="27813"/>
    <cellStyle name="백분율 6 3 4 2 2 4" xfId="27814"/>
    <cellStyle name="백분율 6 3 4 2 2 5" xfId="27815"/>
    <cellStyle name="백분율 6 3 4 2 3" xfId="27816"/>
    <cellStyle name="백분율 6 3 4 2 3 2" xfId="27817"/>
    <cellStyle name="백분율 6 3 4 2 3 2 2" xfId="27818"/>
    <cellStyle name="백분율 6 3 4 2 3 2 2 2" xfId="27819"/>
    <cellStyle name="백분율 6 3 4 2 3 2 2 3" xfId="27820"/>
    <cellStyle name="백분율 6 3 4 2 3 2 3" xfId="27821"/>
    <cellStyle name="백분율 6 3 4 2 3 2 4" xfId="27822"/>
    <cellStyle name="백분율 6 3 4 2 3 3" xfId="27823"/>
    <cellStyle name="백분율 6 3 4 2 3 3 2" xfId="27824"/>
    <cellStyle name="백분율 6 3 4 2 3 3 3" xfId="27825"/>
    <cellStyle name="백분율 6 3 4 2 3 4" xfId="27826"/>
    <cellStyle name="백분율 6 3 4 2 3 5" xfId="27827"/>
    <cellStyle name="백분율 6 3 4 2 4" xfId="27828"/>
    <cellStyle name="백분율 6 3 4 2 4 2" xfId="27829"/>
    <cellStyle name="백분율 6 3 4 2 4 2 2" xfId="27830"/>
    <cellStyle name="백분율 6 3 4 2 4 2 3" xfId="27831"/>
    <cellStyle name="백분율 6 3 4 2 4 3" xfId="27832"/>
    <cellStyle name="백분율 6 3 4 2 4 4" xfId="27833"/>
    <cellStyle name="백분율 6 3 4 2 5" xfId="27834"/>
    <cellStyle name="백분율 6 3 4 2 5 2" xfId="27835"/>
    <cellStyle name="백분율 6 3 4 2 5 3" xfId="27836"/>
    <cellStyle name="백분율 6 3 4 2 6" xfId="27837"/>
    <cellStyle name="백분율 6 3 4 2 7" xfId="27838"/>
    <cellStyle name="백분율 6 3 4 3" xfId="27839"/>
    <cellStyle name="백분율 6 3 4 3 2" xfId="27840"/>
    <cellStyle name="백분율 6 3 4 3 2 2" xfId="27841"/>
    <cellStyle name="백분율 6 3 4 3 2 2 2" xfId="27842"/>
    <cellStyle name="백분율 6 3 4 3 2 2 2 2" xfId="27843"/>
    <cellStyle name="백분율 6 3 4 3 2 2 2 3" xfId="27844"/>
    <cellStyle name="백분율 6 3 4 3 2 2 3" xfId="27845"/>
    <cellStyle name="백분율 6 3 4 3 2 2 4" xfId="27846"/>
    <cellStyle name="백분율 6 3 4 3 2 3" xfId="27847"/>
    <cellStyle name="백분율 6 3 4 3 2 3 2" xfId="27848"/>
    <cellStyle name="백분율 6 3 4 3 2 3 3" xfId="27849"/>
    <cellStyle name="백분율 6 3 4 3 2 4" xfId="27850"/>
    <cellStyle name="백분율 6 3 4 3 2 5" xfId="27851"/>
    <cellStyle name="백분율 6 3 4 3 3" xfId="27852"/>
    <cellStyle name="백분율 6 3 4 3 3 2" xfId="27853"/>
    <cellStyle name="백분율 6 3 4 3 3 2 2" xfId="27854"/>
    <cellStyle name="백분율 6 3 4 3 3 2 2 2" xfId="27855"/>
    <cellStyle name="백분율 6 3 4 3 3 2 2 3" xfId="27856"/>
    <cellStyle name="백분율 6 3 4 3 3 2 3" xfId="27857"/>
    <cellStyle name="백분율 6 3 4 3 3 2 4" xfId="27858"/>
    <cellStyle name="백분율 6 3 4 3 3 3" xfId="27859"/>
    <cellStyle name="백분율 6 3 4 3 3 3 2" xfId="27860"/>
    <cellStyle name="백분율 6 3 4 3 3 3 3" xfId="27861"/>
    <cellStyle name="백분율 6 3 4 3 3 4" xfId="27862"/>
    <cellStyle name="백분율 6 3 4 3 3 5" xfId="27863"/>
    <cellStyle name="백분율 6 3 4 3 4" xfId="27864"/>
    <cellStyle name="백분율 6 3 4 3 4 2" xfId="27865"/>
    <cellStyle name="백분율 6 3 4 3 4 2 2" xfId="27866"/>
    <cellStyle name="백분율 6 3 4 3 4 2 3" xfId="27867"/>
    <cellStyle name="백분율 6 3 4 3 4 3" xfId="27868"/>
    <cellStyle name="백분율 6 3 4 3 4 4" xfId="27869"/>
    <cellStyle name="백분율 6 3 4 3 5" xfId="27870"/>
    <cellStyle name="백분율 6 3 4 3 5 2" xfId="27871"/>
    <cellStyle name="백분율 6 3 4 3 5 3" xfId="27872"/>
    <cellStyle name="백분율 6 3 4 3 6" xfId="27873"/>
    <cellStyle name="백분율 6 3 4 3 7" xfId="27874"/>
    <cellStyle name="백분율 6 3 4 4" xfId="27875"/>
    <cellStyle name="백분율 6 3 4 4 2" xfId="27876"/>
    <cellStyle name="백분율 6 3 4 4 2 2" xfId="27877"/>
    <cellStyle name="백분율 6 3 4 4 2 2 2" xfId="27878"/>
    <cellStyle name="백분율 6 3 4 4 2 2 3" xfId="27879"/>
    <cellStyle name="백분율 6 3 4 4 2 3" xfId="27880"/>
    <cellStyle name="백분율 6 3 4 4 2 4" xfId="27881"/>
    <cellStyle name="백분율 6 3 4 4 3" xfId="27882"/>
    <cellStyle name="백분율 6 3 4 4 3 2" xfId="27883"/>
    <cellStyle name="백분율 6 3 4 4 3 3" xfId="27884"/>
    <cellStyle name="백분율 6 3 4 4 4" xfId="27885"/>
    <cellStyle name="백분율 6 3 4 4 5" xfId="27886"/>
    <cellStyle name="백분율 6 3 4 5" xfId="27887"/>
    <cellStyle name="백분율 6 3 4 5 2" xfId="27888"/>
    <cellStyle name="백분율 6 3 4 5 2 2" xfId="27889"/>
    <cellStyle name="백분율 6 3 4 5 2 2 2" xfId="27890"/>
    <cellStyle name="백분율 6 3 4 5 2 2 3" xfId="27891"/>
    <cellStyle name="백분율 6 3 4 5 2 3" xfId="27892"/>
    <cellStyle name="백분율 6 3 4 5 2 4" xfId="27893"/>
    <cellStyle name="백분율 6 3 4 5 3" xfId="27894"/>
    <cellStyle name="백분율 6 3 4 5 3 2" xfId="27895"/>
    <cellStyle name="백분율 6 3 4 5 3 3" xfId="27896"/>
    <cellStyle name="백분율 6 3 4 5 4" xfId="27897"/>
    <cellStyle name="백분율 6 3 4 5 5" xfId="27898"/>
    <cellStyle name="백분율 6 3 4 6" xfId="27899"/>
    <cellStyle name="백분율 6 3 4 6 2" xfId="27900"/>
    <cellStyle name="백분율 6 3 4 6 2 2" xfId="27901"/>
    <cellStyle name="백분율 6 3 4 6 2 2 2" xfId="27902"/>
    <cellStyle name="백분율 6 3 4 6 2 2 3" xfId="27903"/>
    <cellStyle name="백분율 6 3 4 6 2 3" xfId="27904"/>
    <cellStyle name="백분율 6 3 4 6 2 4" xfId="27905"/>
    <cellStyle name="백분율 6 3 4 6 3" xfId="27906"/>
    <cellStyle name="백분율 6 3 4 6 3 2" xfId="27907"/>
    <cellStyle name="백분율 6 3 4 6 3 3" xfId="27908"/>
    <cellStyle name="백분율 6 3 4 6 4" xfId="27909"/>
    <cellStyle name="백분율 6 3 4 6 5" xfId="27910"/>
    <cellStyle name="백분율 6 3 4 7" xfId="27911"/>
    <cellStyle name="백분율 6 3 4 7 2" xfId="27912"/>
    <cellStyle name="백분율 6 3 4 7 2 2" xfId="27913"/>
    <cellStyle name="백분율 6 3 4 7 2 3" xfId="27914"/>
    <cellStyle name="백분율 6 3 4 7 3" xfId="27915"/>
    <cellStyle name="백분율 6 3 4 7 4" xfId="27916"/>
    <cellStyle name="백분율 6 3 4 8" xfId="27917"/>
    <cellStyle name="백분율 6 3 4 8 2" xfId="27918"/>
    <cellStyle name="백분율 6 3 4 8 3" xfId="27919"/>
    <cellStyle name="백분율 6 3 4 9" xfId="27920"/>
    <cellStyle name="백분율 6 3 5" xfId="27921"/>
    <cellStyle name="백분율 6 3 5 10" xfId="27922"/>
    <cellStyle name="백분율 6 3 5 2" xfId="27923"/>
    <cellStyle name="백분율 6 3 5 2 2" xfId="27924"/>
    <cellStyle name="백분율 6 3 5 2 2 2" xfId="27925"/>
    <cellStyle name="백분율 6 3 5 2 2 2 2" xfId="27926"/>
    <cellStyle name="백분율 6 3 5 2 2 2 2 2" xfId="27927"/>
    <cellStyle name="백분율 6 3 5 2 2 2 2 3" xfId="27928"/>
    <cellStyle name="백분율 6 3 5 2 2 2 3" xfId="27929"/>
    <cellStyle name="백분율 6 3 5 2 2 2 4" xfId="27930"/>
    <cellStyle name="백분율 6 3 5 2 2 3" xfId="27931"/>
    <cellStyle name="백분율 6 3 5 2 2 3 2" xfId="27932"/>
    <cellStyle name="백분율 6 3 5 2 2 3 3" xfId="27933"/>
    <cellStyle name="백분율 6 3 5 2 2 4" xfId="27934"/>
    <cellStyle name="백분율 6 3 5 2 2 5" xfId="27935"/>
    <cellStyle name="백분율 6 3 5 2 3" xfId="27936"/>
    <cellStyle name="백분율 6 3 5 2 3 2" xfId="27937"/>
    <cellStyle name="백분율 6 3 5 2 3 2 2" xfId="27938"/>
    <cellStyle name="백분율 6 3 5 2 3 2 2 2" xfId="27939"/>
    <cellStyle name="백분율 6 3 5 2 3 2 2 3" xfId="27940"/>
    <cellStyle name="백분율 6 3 5 2 3 2 3" xfId="27941"/>
    <cellStyle name="백분율 6 3 5 2 3 2 4" xfId="27942"/>
    <cellStyle name="백분율 6 3 5 2 3 3" xfId="27943"/>
    <cellStyle name="백분율 6 3 5 2 3 3 2" xfId="27944"/>
    <cellStyle name="백분율 6 3 5 2 3 3 3" xfId="27945"/>
    <cellStyle name="백분율 6 3 5 2 3 4" xfId="27946"/>
    <cellStyle name="백분율 6 3 5 2 3 5" xfId="27947"/>
    <cellStyle name="백분율 6 3 5 2 4" xfId="27948"/>
    <cellStyle name="백분율 6 3 5 2 4 2" xfId="27949"/>
    <cellStyle name="백분율 6 3 5 2 4 2 2" xfId="27950"/>
    <cellStyle name="백분율 6 3 5 2 4 2 3" xfId="27951"/>
    <cellStyle name="백분율 6 3 5 2 4 3" xfId="27952"/>
    <cellStyle name="백분율 6 3 5 2 4 4" xfId="27953"/>
    <cellStyle name="백분율 6 3 5 2 5" xfId="27954"/>
    <cellStyle name="백분율 6 3 5 2 5 2" xfId="27955"/>
    <cellStyle name="백분율 6 3 5 2 5 3" xfId="27956"/>
    <cellStyle name="백분율 6 3 5 2 6" xfId="27957"/>
    <cellStyle name="백분율 6 3 5 2 7" xfId="27958"/>
    <cellStyle name="백분율 6 3 5 3" xfId="27959"/>
    <cellStyle name="백분율 6 3 5 3 2" xfId="27960"/>
    <cellStyle name="백분율 6 3 5 3 2 2" xfId="27961"/>
    <cellStyle name="백분율 6 3 5 3 2 2 2" xfId="27962"/>
    <cellStyle name="백분율 6 3 5 3 2 2 2 2" xfId="27963"/>
    <cellStyle name="백분율 6 3 5 3 2 2 2 3" xfId="27964"/>
    <cellStyle name="백분율 6 3 5 3 2 2 3" xfId="27965"/>
    <cellStyle name="백분율 6 3 5 3 2 2 4" xfId="27966"/>
    <cellStyle name="백분율 6 3 5 3 2 3" xfId="27967"/>
    <cellStyle name="백분율 6 3 5 3 2 3 2" xfId="27968"/>
    <cellStyle name="백분율 6 3 5 3 2 3 3" xfId="27969"/>
    <cellStyle name="백분율 6 3 5 3 2 4" xfId="27970"/>
    <cellStyle name="백분율 6 3 5 3 2 5" xfId="27971"/>
    <cellStyle name="백분율 6 3 5 3 3" xfId="27972"/>
    <cellStyle name="백분율 6 3 5 3 3 2" xfId="27973"/>
    <cellStyle name="백분율 6 3 5 3 3 2 2" xfId="27974"/>
    <cellStyle name="백분율 6 3 5 3 3 2 2 2" xfId="27975"/>
    <cellStyle name="백분율 6 3 5 3 3 2 2 3" xfId="27976"/>
    <cellStyle name="백분율 6 3 5 3 3 2 3" xfId="27977"/>
    <cellStyle name="백분율 6 3 5 3 3 2 4" xfId="27978"/>
    <cellStyle name="백분율 6 3 5 3 3 3" xfId="27979"/>
    <cellStyle name="백분율 6 3 5 3 3 3 2" xfId="27980"/>
    <cellStyle name="백분율 6 3 5 3 3 3 3" xfId="27981"/>
    <cellStyle name="백분율 6 3 5 3 3 4" xfId="27982"/>
    <cellStyle name="백분율 6 3 5 3 3 5" xfId="27983"/>
    <cellStyle name="백분율 6 3 5 3 4" xfId="27984"/>
    <cellStyle name="백분율 6 3 5 3 4 2" xfId="27985"/>
    <cellStyle name="백분율 6 3 5 3 4 2 2" xfId="27986"/>
    <cellStyle name="백분율 6 3 5 3 4 2 3" xfId="27987"/>
    <cellStyle name="백분율 6 3 5 3 4 3" xfId="27988"/>
    <cellStyle name="백분율 6 3 5 3 4 4" xfId="27989"/>
    <cellStyle name="백분율 6 3 5 3 5" xfId="27990"/>
    <cellStyle name="백분율 6 3 5 3 5 2" xfId="27991"/>
    <cellStyle name="백분율 6 3 5 3 5 3" xfId="27992"/>
    <cellStyle name="백분율 6 3 5 3 6" xfId="27993"/>
    <cellStyle name="백분율 6 3 5 3 7" xfId="27994"/>
    <cellStyle name="백분율 6 3 5 4" xfId="27995"/>
    <cellStyle name="백분율 6 3 5 4 2" xfId="27996"/>
    <cellStyle name="백분율 6 3 5 4 2 2" xfId="27997"/>
    <cellStyle name="백분율 6 3 5 4 2 2 2" xfId="27998"/>
    <cellStyle name="백분율 6 3 5 4 2 2 3" xfId="27999"/>
    <cellStyle name="백분율 6 3 5 4 2 3" xfId="28000"/>
    <cellStyle name="백분율 6 3 5 4 2 4" xfId="28001"/>
    <cellStyle name="백분율 6 3 5 4 3" xfId="28002"/>
    <cellStyle name="백분율 6 3 5 4 3 2" xfId="28003"/>
    <cellStyle name="백분율 6 3 5 4 3 3" xfId="28004"/>
    <cellStyle name="백분율 6 3 5 4 4" xfId="28005"/>
    <cellStyle name="백분율 6 3 5 4 5" xfId="28006"/>
    <cellStyle name="백분율 6 3 5 5" xfId="28007"/>
    <cellStyle name="백분율 6 3 5 5 2" xfId="28008"/>
    <cellStyle name="백분율 6 3 5 5 2 2" xfId="28009"/>
    <cellStyle name="백분율 6 3 5 5 2 2 2" xfId="28010"/>
    <cellStyle name="백분율 6 3 5 5 2 2 3" xfId="28011"/>
    <cellStyle name="백분율 6 3 5 5 2 3" xfId="28012"/>
    <cellStyle name="백분율 6 3 5 5 2 4" xfId="28013"/>
    <cellStyle name="백분율 6 3 5 5 3" xfId="28014"/>
    <cellStyle name="백분율 6 3 5 5 3 2" xfId="28015"/>
    <cellStyle name="백분율 6 3 5 5 3 3" xfId="28016"/>
    <cellStyle name="백분율 6 3 5 5 4" xfId="28017"/>
    <cellStyle name="백분율 6 3 5 5 5" xfId="28018"/>
    <cellStyle name="백분율 6 3 5 6" xfId="28019"/>
    <cellStyle name="백분율 6 3 5 6 2" xfId="28020"/>
    <cellStyle name="백분율 6 3 5 6 2 2" xfId="28021"/>
    <cellStyle name="백분율 6 3 5 6 2 2 2" xfId="28022"/>
    <cellStyle name="백분율 6 3 5 6 2 2 3" xfId="28023"/>
    <cellStyle name="백분율 6 3 5 6 2 3" xfId="28024"/>
    <cellStyle name="백분율 6 3 5 6 2 4" xfId="28025"/>
    <cellStyle name="백분율 6 3 5 6 3" xfId="28026"/>
    <cellStyle name="백분율 6 3 5 6 3 2" xfId="28027"/>
    <cellStyle name="백분율 6 3 5 6 3 3" xfId="28028"/>
    <cellStyle name="백분율 6 3 5 6 4" xfId="28029"/>
    <cellStyle name="백분율 6 3 5 6 5" xfId="28030"/>
    <cellStyle name="백분율 6 3 5 7" xfId="28031"/>
    <cellStyle name="백분율 6 3 5 7 2" xfId="28032"/>
    <cellStyle name="백분율 6 3 5 7 2 2" xfId="28033"/>
    <cellStyle name="백분율 6 3 5 7 2 3" xfId="28034"/>
    <cellStyle name="백분율 6 3 5 7 3" xfId="28035"/>
    <cellStyle name="백분율 6 3 5 7 4" xfId="28036"/>
    <cellStyle name="백분율 6 3 5 8" xfId="28037"/>
    <cellStyle name="백분율 6 3 5 8 2" xfId="28038"/>
    <cellStyle name="백분율 6 3 5 8 3" xfId="28039"/>
    <cellStyle name="백분율 6 3 5 9" xfId="28040"/>
    <cellStyle name="백분율 6 3 6" xfId="28041"/>
    <cellStyle name="백분율 6 3 6 2" xfId="28042"/>
    <cellStyle name="백분율 6 3 6 2 2" xfId="28043"/>
    <cellStyle name="백분율 6 3 6 2 2 2" xfId="28044"/>
    <cellStyle name="백분율 6 3 6 2 2 2 2" xfId="28045"/>
    <cellStyle name="백분율 6 3 6 2 2 2 3" xfId="28046"/>
    <cellStyle name="백분율 6 3 6 2 2 3" xfId="28047"/>
    <cellStyle name="백분율 6 3 6 2 2 4" xfId="28048"/>
    <cellStyle name="백분율 6 3 6 2 3" xfId="28049"/>
    <cellStyle name="백분율 6 3 6 2 3 2" xfId="28050"/>
    <cellStyle name="백분율 6 3 6 2 3 3" xfId="28051"/>
    <cellStyle name="백분율 6 3 6 2 4" xfId="28052"/>
    <cellStyle name="백분율 6 3 6 2 5" xfId="28053"/>
    <cellStyle name="백분율 6 3 6 3" xfId="28054"/>
    <cellStyle name="백분율 6 3 6 3 2" xfId="28055"/>
    <cellStyle name="백분율 6 3 6 3 2 2" xfId="28056"/>
    <cellStyle name="백분율 6 3 6 3 2 2 2" xfId="28057"/>
    <cellStyle name="백분율 6 3 6 3 2 2 3" xfId="28058"/>
    <cellStyle name="백분율 6 3 6 3 2 3" xfId="28059"/>
    <cellStyle name="백분율 6 3 6 3 2 4" xfId="28060"/>
    <cellStyle name="백분율 6 3 6 3 3" xfId="28061"/>
    <cellStyle name="백분율 6 3 6 3 3 2" xfId="28062"/>
    <cellStyle name="백분율 6 3 6 3 3 3" xfId="28063"/>
    <cellStyle name="백분율 6 3 6 3 4" xfId="28064"/>
    <cellStyle name="백분율 6 3 6 3 5" xfId="28065"/>
    <cellStyle name="백분율 6 3 6 4" xfId="28066"/>
    <cellStyle name="백분율 6 3 6 4 2" xfId="28067"/>
    <cellStyle name="백분율 6 3 6 4 2 2" xfId="28068"/>
    <cellStyle name="백분율 6 3 6 4 2 3" xfId="28069"/>
    <cellStyle name="백분율 6 3 6 4 3" xfId="28070"/>
    <cellStyle name="백분율 6 3 6 4 4" xfId="28071"/>
    <cellStyle name="백분율 6 3 6 5" xfId="28072"/>
    <cellStyle name="백분율 6 3 6 5 2" xfId="28073"/>
    <cellStyle name="백분율 6 3 6 5 3" xfId="28074"/>
    <cellStyle name="백분율 6 3 6 6" xfId="28075"/>
    <cellStyle name="백분율 6 3 6 7" xfId="28076"/>
    <cellStyle name="백분율 6 3 7" xfId="28077"/>
    <cellStyle name="백분율 6 3 7 2" xfId="28078"/>
    <cellStyle name="백분율 6 3 7 2 2" xfId="28079"/>
    <cellStyle name="백분율 6 3 7 2 2 2" xfId="28080"/>
    <cellStyle name="백분율 6 3 7 2 2 2 2" xfId="28081"/>
    <cellStyle name="백분율 6 3 7 2 2 2 3" xfId="28082"/>
    <cellStyle name="백분율 6 3 7 2 2 3" xfId="28083"/>
    <cellStyle name="백분율 6 3 7 2 2 4" xfId="28084"/>
    <cellStyle name="백분율 6 3 7 2 3" xfId="28085"/>
    <cellStyle name="백분율 6 3 7 2 3 2" xfId="28086"/>
    <cellStyle name="백분율 6 3 7 2 3 3" xfId="28087"/>
    <cellStyle name="백분율 6 3 7 2 4" xfId="28088"/>
    <cellStyle name="백분율 6 3 7 2 5" xfId="28089"/>
    <cellStyle name="백분율 6 3 7 3" xfId="28090"/>
    <cellStyle name="백분율 6 3 7 3 2" xfId="28091"/>
    <cellStyle name="백분율 6 3 7 3 2 2" xfId="28092"/>
    <cellStyle name="백분율 6 3 7 3 2 2 2" xfId="28093"/>
    <cellStyle name="백분율 6 3 7 3 2 2 3" xfId="28094"/>
    <cellStyle name="백분율 6 3 7 3 2 3" xfId="28095"/>
    <cellStyle name="백분율 6 3 7 3 2 4" xfId="28096"/>
    <cellStyle name="백분율 6 3 7 3 3" xfId="28097"/>
    <cellStyle name="백분율 6 3 7 3 3 2" xfId="28098"/>
    <cellStyle name="백분율 6 3 7 3 3 3" xfId="28099"/>
    <cellStyle name="백분율 6 3 7 3 4" xfId="28100"/>
    <cellStyle name="백분율 6 3 7 3 5" xfId="28101"/>
    <cellStyle name="백분율 6 3 7 4" xfId="28102"/>
    <cellStyle name="백분율 6 3 7 4 2" xfId="28103"/>
    <cellStyle name="백분율 6 3 7 4 2 2" xfId="28104"/>
    <cellStyle name="백분율 6 3 7 4 2 3" xfId="28105"/>
    <cellStyle name="백분율 6 3 7 4 3" xfId="28106"/>
    <cellStyle name="백분율 6 3 7 4 4" xfId="28107"/>
    <cellStyle name="백분율 6 3 7 5" xfId="28108"/>
    <cellStyle name="백분율 6 3 7 5 2" xfId="28109"/>
    <cellStyle name="백분율 6 3 7 5 3" xfId="28110"/>
    <cellStyle name="백분율 6 3 7 6" xfId="28111"/>
    <cellStyle name="백분율 6 3 7 7" xfId="28112"/>
    <cellStyle name="백분율 6 3 8" xfId="28113"/>
    <cellStyle name="백분율 6 3 8 2" xfId="28114"/>
    <cellStyle name="백분율 6 3 8 2 2" xfId="28115"/>
    <cellStyle name="백분율 6 3 8 2 2 2" xfId="28116"/>
    <cellStyle name="백분율 6 3 8 2 2 3" xfId="28117"/>
    <cellStyle name="백분율 6 3 8 2 3" xfId="28118"/>
    <cellStyle name="백분율 6 3 8 2 4" xfId="28119"/>
    <cellStyle name="백분율 6 3 8 3" xfId="28120"/>
    <cellStyle name="백분율 6 3 8 3 2" xfId="28121"/>
    <cellStyle name="백분율 6 3 8 3 3" xfId="28122"/>
    <cellStyle name="백분율 6 3 8 4" xfId="28123"/>
    <cellStyle name="백분율 6 3 8 5" xfId="28124"/>
    <cellStyle name="백분율 6 3 9" xfId="28125"/>
    <cellStyle name="백분율 6 3 9 2" xfId="28126"/>
    <cellStyle name="백분율 6 3 9 2 2" xfId="28127"/>
    <cellStyle name="백분율 6 3 9 2 2 2" xfId="28128"/>
    <cellStyle name="백분율 6 3 9 2 2 3" xfId="28129"/>
    <cellStyle name="백분율 6 3 9 2 3" xfId="28130"/>
    <cellStyle name="백분율 6 3 9 2 4" xfId="28131"/>
    <cellStyle name="백분율 6 3 9 3" xfId="28132"/>
    <cellStyle name="백분율 6 3 9 3 2" xfId="28133"/>
    <cellStyle name="백분율 6 3 9 3 3" xfId="28134"/>
    <cellStyle name="백분율 6 3 9 4" xfId="28135"/>
    <cellStyle name="백분율 6 3 9 5" xfId="28136"/>
    <cellStyle name="백분율 6 4" xfId="28137"/>
    <cellStyle name="백분율 6 4 10" xfId="28138"/>
    <cellStyle name="백분율 6 4 10 2" xfId="28139"/>
    <cellStyle name="백분율 6 4 10 2 2" xfId="28140"/>
    <cellStyle name="백분율 6 4 10 2 2 2" xfId="28141"/>
    <cellStyle name="백분율 6 4 10 2 2 3" xfId="28142"/>
    <cellStyle name="백분율 6 4 10 2 3" xfId="28143"/>
    <cellStyle name="백분율 6 4 10 2 4" xfId="28144"/>
    <cellStyle name="백분율 6 4 10 3" xfId="28145"/>
    <cellStyle name="백분율 6 4 10 3 2" xfId="28146"/>
    <cellStyle name="백분율 6 4 10 3 3" xfId="28147"/>
    <cellStyle name="백분율 6 4 10 4" xfId="28148"/>
    <cellStyle name="백분율 6 4 10 5" xfId="28149"/>
    <cellStyle name="백분율 6 4 11" xfId="28150"/>
    <cellStyle name="백분율 6 4 11 2" xfId="28151"/>
    <cellStyle name="백분율 6 4 11 2 2" xfId="28152"/>
    <cellStyle name="백분율 6 4 11 2 3" xfId="28153"/>
    <cellStyle name="백분율 6 4 11 3" xfId="28154"/>
    <cellStyle name="백분율 6 4 11 4" xfId="28155"/>
    <cellStyle name="백분율 6 4 12" xfId="28156"/>
    <cellStyle name="백분율 6 4 12 2" xfId="28157"/>
    <cellStyle name="백분율 6 4 12 3" xfId="28158"/>
    <cellStyle name="백분율 6 4 13" xfId="28159"/>
    <cellStyle name="백분율 6 4 14" xfId="28160"/>
    <cellStyle name="백분율 6 4 2" xfId="28161"/>
    <cellStyle name="백분율 6 4 2 10" xfId="28162"/>
    <cellStyle name="백분율 6 4 2 10 2" xfId="28163"/>
    <cellStyle name="백분율 6 4 2 10 2 2" xfId="28164"/>
    <cellStyle name="백분율 6 4 2 10 2 3" xfId="28165"/>
    <cellStyle name="백분율 6 4 2 10 3" xfId="28166"/>
    <cellStyle name="백분율 6 4 2 10 4" xfId="28167"/>
    <cellStyle name="백분율 6 4 2 11" xfId="28168"/>
    <cellStyle name="백분율 6 4 2 11 2" xfId="28169"/>
    <cellStyle name="백분율 6 4 2 11 3" xfId="28170"/>
    <cellStyle name="백분율 6 4 2 12" xfId="28171"/>
    <cellStyle name="백분율 6 4 2 13" xfId="28172"/>
    <cellStyle name="백분율 6 4 2 2" xfId="28173"/>
    <cellStyle name="백분율 6 4 2 2 10" xfId="28174"/>
    <cellStyle name="백분율 6 4 2 2 2" xfId="28175"/>
    <cellStyle name="백분율 6 4 2 2 2 2" xfId="28176"/>
    <cellStyle name="백분율 6 4 2 2 2 2 2" xfId="28177"/>
    <cellStyle name="백분율 6 4 2 2 2 2 2 2" xfId="28178"/>
    <cellStyle name="백분율 6 4 2 2 2 2 2 2 2" xfId="28179"/>
    <cellStyle name="백분율 6 4 2 2 2 2 2 2 3" xfId="28180"/>
    <cellStyle name="백분율 6 4 2 2 2 2 2 3" xfId="28181"/>
    <cellStyle name="백분율 6 4 2 2 2 2 2 4" xfId="28182"/>
    <cellStyle name="백분율 6 4 2 2 2 2 3" xfId="28183"/>
    <cellStyle name="백분율 6 4 2 2 2 2 3 2" xfId="28184"/>
    <cellStyle name="백분율 6 4 2 2 2 2 3 3" xfId="28185"/>
    <cellStyle name="백분율 6 4 2 2 2 2 4" xfId="28186"/>
    <cellStyle name="백분율 6 4 2 2 2 2 5" xfId="28187"/>
    <cellStyle name="백분율 6 4 2 2 2 3" xfId="28188"/>
    <cellStyle name="백분율 6 4 2 2 2 3 2" xfId="28189"/>
    <cellStyle name="백분율 6 4 2 2 2 3 2 2" xfId="28190"/>
    <cellStyle name="백분율 6 4 2 2 2 3 2 2 2" xfId="28191"/>
    <cellStyle name="백분율 6 4 2 2 2 3 2 2 3" xfId="28192"/>
    <cellStyle name="백분율 6 4 2 2 2 3 2 3" xfId="28193"/>
    <cellStyle name="백분율 6 4 2 2 2 3 2 4" xfId="28194"/>
    <cellStyle name="백분율 6 4 2 2 2 3 3" xfId="28195"/>
    <cellStyle name="백분율 6 4 2 2 2 3 3 2" xfId="28196"/>
    <cellStyle name="백분율 6 4 2 2 2 3 3 3" xfId="28197"/>
    <cellStyle name="백분율 6 4 2 2 2 3 4" xfId="28198"/>
    <cellStyle name="백분율 6 4 2 2 2 3 5" xfId="28199"/>
    <cellStyle name="백분율 6 4 2 2 2 4" xfId="28200"/>
    <cellStyle name="백분율 6 4 2 2 2 4 2" xfId="28201"/>
    <cellStyle name="백분율 6 4 2 2 2 4 2 2" xfId="28202"/>
    <cellStyle name="백분율 6 4 2 2 2 4 2 3" xfId="28203"/>
    <cellStyle name="백분율 6 4 2 2 2 4 3" xfId="28204"/>
    <cellStyle name="백분율 6 4 2 2 2 4 4" xfId="28205"/>
    <cellStyle name="백분율 6 4 2 2 2 5" xfId="28206"/>
    <cellStyle name="백분율 6 4 2 2 2 5 2" xfId="28207"/>
    <cellStyle name="백분율 6 4 2 2 2 5 3" xfId="28208"/>
    <cellStyle name="백분율 6 4 2 2 2 6" xfId="28209"/>
    <cellStyle name="백분율 6 4 2 2 2 7" xfId="28210"/>
    <cellStyle name="백분율 6 4 2 2 3" xfId="28211"/>
    <cellStyle name="백분율 6 4 2 2 3 2" xfId="28212"/>
    <cellStyle name="백분율 6 4 2 2 3 2 2" xfId="28213"/>
    <cellStyle name="백분율 6 4 2 2 3 2 2 2" xfId="28214"/>
    <cellStyle name="백분율 6 4 2 2 3 2 2 2 2" xfId="28215"/>
    <cellStyle name="백분율 6 4 2 2 3 2 2 2 3" xfId="28216"/>
    <cellStyle name="백분율 6 4 2 2 3 2 2 3" xfId="28217"/>
    <cellStyle name="백분율 6 4 2 2 3 2 2 4" xfId="28218"/>
    <cellStyle name="백분율 6 4 2 2 3 2 3" xfId="28219"/>
    <cellStyle name="백분율 6 4 2 2 3 2 3 2" xfId="28220"/>
    <cellStyle name="백분율 6 4 2 2 3 2 3 3" xfId="28221"/>
    <cellStyle name="백분율 6 4 2 2 3 2 4" xfId="28222"/>
    <cellStyle name="백분율 6 4 2 2 3 2 5" xfId="28223"/>
    <cellStyle name="백분율 6 4 2 2 3 3" xfId="28224"/>
    <cellStyle name="백분율 6 4 2 2 3 3 2" xfId="28225"/>
    <cellStyle name="백분율 6 4 2 2 3 3 2 2" xfId="28226"/>
    <cellStyle name="백분율 6 4 2 2 3 3 2 2 2" xfId="28227"/>
    <cellStyle name="백분율 6 4 2 2 3 3 2 2 3" xfId="28228"/>
    <cellStyle name="백분율 6 4 2 2 3 3 2 3" xfId="28229"/>
    <cellStyle name="백분율 6 4 2 2 3 3 2 4" xfId="28230"/>
    <cellStyle name="백분율 6 4 2 2 3 3 3" xfId="28231"/>
    <cellStyle name="백분율 6 4 2 2 3 3 3 2" xfId="28232"/>
    <cellStyle name="백분율 6 4 2 2 3 3 3 3" xfId="28233"/>
    <cellStyle name="백분율 6 4 2 2 3 3 4" xfId="28234"/>
    <cellStyle name="백분율 6 4 2 2 3 3 5" xfId="28235"/>
    <cellStyle name="백분율 6 4 2 2 3 4" xfId="28236"/>
    <cellStyle name="백분율 6 4 2 2 3 4 2" xfId="28237"/>
    <cellStyle name="백분율 6 4 2 2 3 4 2 2" xfId="28238"/>
    <cellStyle name="백분율 6 4 2 2 3 4 2 3" xfId="28239"/>
    <cellStyle name="백분율 6 4 2 2 3 4 3" xfId="28240"/>
    <cellStyle name="백분율 6 4 2 2 3 4 4" xfId="28241"/>
    <cellStyle name="백분율 6 4 2 2 3 5" xfId="28242"/>
    <cellStyle name="백분율 6 4 2 2 3 5 2" xfId="28243"/>
    <cellStyle name="백분율 6 4 2 2 3 5 3" xfId="28244"/>
    <cellStyle name="백분율 6 4 2 2 3 6" xfId="28245"/>
    <cellStyle name="백분율 6 4 2 2 3 7" xfId="28246"/>
    <cellStyle name="백분율 6 4 2 2 4" xfId="28247"/>
    <cellStyle name="백분율 6 4 2 2 4 2" xfId="28248"/>
    <cellStyle name="백분율 6 4 2 2 4 2 2" xfId="28249"/>
    <cellStyle name="백분율 6 4 2 2 4 2 2 2" xfId="28250"/>
    <cellStyle name="백분율 6 4 2 2 4 2 2 3" xfId="28251"/>
    <cellStyle name="백분율 6 4 2 2 4 2 3" xfId="28252"/>
    <cellStyle name="백분율 6 4 2 2 4 2 4" xfId="28253"/>
    <cellStyle name="백분율 6 4 2 2 4 3" xfId="28254"/>
    <cellStyle name="백분율 6 4 2 2 4 3 2" xfId="28255"/>
    <cellStyle name="백분율 6 4 2 2 4 3 3" xfId="28256"/>
    <cellStyle name="백분율 6 4 2 2 4 4" xfId="28257"/>
    <cellStyle name="백분율 6 4 2 2 4 5" xfId="28258"/>
    <cellStyle name="백분율 6 4 2 2 5" xfId="28259"/>
    <cellStyle name="백분율 6 4 2 2 5 2" xfId="28260"/>
    <cellStyle name="백분율 6 4 2 2 5 2 2" xfId="28261"/>
    <cellStyle name="백분율 6 4 2 2 5 2 2 2" xfId="28262"/>
    <cellStyle name="백분율 6 4 2 2 5 2 2 3" xfId="28263"/>
    <cellStyle name="백분율 6 4 2 2 5 2 3" xfId="28264"/>
    <cellStyle name="백분율 6 4 2 2 5 2 4" xfId="28265"/>
    <cellStyle name="백분율 6 4 2 2 5 3" xfId="28266"/>
    <cellStyle name="백분율 6 4 2 2 5 3 2" xfId="28267"/>
    <cellStyle name="백분율 6 4 2 2 5 3 3" xfId="28268"/>
    <cellStyle name="백분율 6 4 2 2 5 4" xfId="28269"/>
    <cellStyle name="백분율 6 4 2 2 5 5" xfId="28270"/>
    <cellStyle name="백분율 6 4 2 2 6" xfId="28271"/>
    <cellStyle name="백분율 6 4 2 2 6 2" xfId="28272"/>
    <cellStyle name="백분율 6 4 2 2 6 2 2" xfId="28273"/>
    <cellStyle name="백분율 6 4 2 2 6 2 2 2" xfId="28274"/>
    <cellStyle name="백분율 6 4 2 2 6 2 2 3" xfId="28275"/>
    <cellStyle name="백분율 6 4 2 2 6 2 3" xfId="28276"/>
    <cellStyle name="백분율 6 4 2 2 6 2 4" xfId="28277"/>
    <cellStyle name="백분율 6 4 2 2 6 3" xfId="28278"/>
    <cellStyle name="백분율 6 4 2 2 6 3 2" xfId="28279"/>
    <cellStyle name="백분율 6 4 2 2 6 3 3" xfId="28280"/>
    <cellStyle name="백분율 6 4 2 2 6 4" xfId="28281"/>
    <cellStyle name="백분율 6 4 2 2 6 5" xfId="28282"/>
    <cellStyle name="백분율 6 4 2 2 7" xfId="28283"/>
    <cellStyle name="백분율 6 4 2 2 7 2" xfId="28284"/>
    <cellStyle name="백분율 6 4 2 2 7 2 2" xfId="28285"/>
    <cellStyle name="백분율 6 4 2 2 7 2 3" xfId="28286"/>
    <cellStyle name="백분율 6 4 2 2 7 3" xfId="28287"/>
    <cellStyle name="백분율 6 4 2 2 7 4" xfId="28288"/>
    <cellStyle name="백분율 6 4 2 2 8" xfId="28289"/>
    <cellStyle name="백분율 6 4 2 2 8 2" xfId="28290"/>
    <cellStyle name="백분율 6 4 2 2 8 3" xfId="28291"/>
    <cellStyle name="백분율 6 4 2 2 9" xfId="28292"/>
    <cellStyle name="백분율 6 4 2 3" xfId="28293"/>
    <cellStyle name="백분율 6 4 2 3 10" xfId="28294"/>
    <cellStyle name="백분율 6 4 2 3 2" xfId="28295"/>
    <cellStyle name="백분율 6 4 2 3 2 2" xfId="28296"/>
    <cellStyle name="백분율 6 4 2 3 2 2 2" xfId="28297"/>
    <cellStyle name="백분율 6 4 2 3 2 2 2 2" xfId="28298"/>
    <cellStyle name="백분율 6 4 2 3 2 2 2 2 2" xfId="28299"/>
    <cellStyle name="백분율 6 4 2 3 2 2 2 2 3" xfId="28300"/>
    <cellStyle name="백분율 6 4 2 3 2 2 2 3" xfId="28301"/>
    <cellStyle name="백분율 6 4 2 3 2 2 2 4" xfId="28302"/>
    <cellStyle name="백분율 6 4 2 3 2 2 3" xfId="28303"/>
    <cellStyle name="백분율 6 4 2 3 2 2 3 2" xfId="28304"/>
    <cellStyle name="백분율 6 4 2 3 2 2 3 3" xfId="28305"/>
    <cellStyle name="백분율 6 4 2 3 2 2 4" xfId="28306"/>
    <cellStyle name="백분율 6 4 2 3 2 2 5" xfId="28307"/>
    <cellStyle name="백분율 6 4 2 3 2 3" xfId="28308"/>
    <cellStyle name="백분율 6 4 2 3 2 3 2" xfId="28309"/>
    <cellStyle name="백분율 6 4 2 3 2 3 2 2" xfId="28310"/>
    <cellStyle name="백분율 6 4 2 3 2 3 2 2 2" xfId="28311"/>
    <cellStyle name="백분율 6 4 2 3 2 3 2 2 3" xfId="28312"/>
    <cellStyle name="백분율 6 4 2 3 2 3 2 3" xfId="28313"/>
    <cellStyle name="백분율 6 4 2 3 2 3 2 4" xfId="28314"/>
    <cellStyle name="백분율 6 4 2 3 2 3 3" xfId="28315"/>
    <cellStyle name="백분율 6 4 2 3 2 3 3 2" xfId="28316"/>
    <cellStyle name="백분율 6 4 2 3 2 3 3 3" xfId="28317"/>
    <cellStyle name="백분율 6 4 2 3 2 3 4" xfId="28318"/>
    <cellStyle name="백분율 6 4 2 3 2 3 5" xfId="28319"/>
    <cellStyle name="백분율 6 4 2 3 2 4" xfId="28320"/>
    <cellStyle name="백분율 6 4 2 3 2 4 2" xfId="28321"/>
    <cellStyle name="백분율 6 4 2 3 2 4 2 2" xfId="28322"/>
    <cellStyle name="백분율 6 4 2 3 2 4 2 3" xfId="28323"/>
    <cellStyle name="백분율 6 4 2 3 2 4 3" xfId="28324"/>
    <cellStyle name="백분율 6 4 2 3 2 4 4" xfId="28325"/>
    <cellStyle name="백분율 6 4 2 3 2 5" xfId="28326"/>
    <cellStyle name="백분율 6 4 2 3 2 5 2" xfId="28327"/>
    <cellStyle name="백분율 6 4 2 3 2 5 3" xfId="28328"/>
    <cellStyle name="백분율 6 4 2 3 2 6" xfId="28329"/>
    <cellStyle name="백분율 6 4 2 3 2 7" xfId="28330"/>
    <cellStyle name="백분율 6 4 2 3 3" xfId="28331"/>
    <cellStyle name="백분율 6 4 2 3 3 2" xfId="28332"/>
    <cellStyle name="백분율 6 4 2 3 3 2 2" xfId="28333"/>
    <cellStyle name="백분율 6 4 2 3 3 2 2 2" xfId="28334"/>
    <cellStyle name="백분율 6 4 2 3 3 2 2 2 2" xfId="28335"/>
    <cellStyle name="백분율 6 4 2 3 3 2 2 2 3" xfId="28336"/>
    <cellStyle name="백분율 6 4 2 3 3 2 2 3" xfId="28337"/>
    <cellStyle name="백분율 6 4 2 3 3 2 2 4" xfId="28338"/>
    <cellStyle name="백분율 6 4 2 3 3 2 3" xfId="28339"/>
    <cellStyle name="백분율 6 4 2 3 3 2 3 2" xfId="28340"/>
    <cellStyle name="백분율 6 4 2 3 3 2 3 3" xfId="28341"/>
    <cellStyle name="백분율 6 4 2 3 3 2 4" xfId="28342"/>
    <cellStyle name="백분율 6 4 2 3 3 2 5" xfId="28343"/>
    <cellStyle name="백분율 6 4 2 3 3 3" xfId="28344"/>
    <cellStyle name="백분율 6 4 2 3 3 3 2" xfId="28345"/>
    <cellStyle name="백분율 6 4 2 3 3 3 2 2" xfId="28346"/>
    <cellStyle name="백분율 6 4 2 3 3 3 2 2 2" xfId="28347"/>
    <cellStyle name="백분율 6 4 2 3 3 3 2 2 3" xfId="28348"/>
    <cellStyle name="백분율 6 4 2 3 3 3 2 3" xfId="28349"/>
    <cellStyle name="백분율 6 4 2 3 3 3 2 4" xfId="28350"/>
    <cellStyle name="백분율 6 4 2 3 3 3 3" xfId="28351"/>
    <cellStyle name="백분율 6 4 2 3 3 3 3 2" xfId="28352"/>
    <cellStyle name="백분율 6 4 2 3 3 3 3 3" xfId="28353"/>
    <cellStyle name="백분율 6 4 2 3 3 3 4" xfId="28354"/>
    <cellStyle name="백분율 6 4 2 3 3 3 5" xfId="28355"/>
    <cellStyle name="백분율 6 4 2 3 3 4" xfId="28356"/>
    <cellStyle name="백분율 6 4 2 3 3 4 2" xfId="28357"/>
    <cellStyle name="백분율 6 4 2 3 3 4 2 2" xfId="28358"/>
    <cellStyle name="백분율 6 4 2 3 3 4 2 3" xfId="28359"/>
    <cellStyle name="백분율 6 4 2 3 3 4 3" xfId="28360"/>
    <cellStyle name="백분율 6 4 2 3 3 4 4" xfId="28361"/>
    <cellStyle name="백분율 6 4 2 3 3 5" xfId="28362"/>
    <cellStyle name="백분율 6 4 2 3 3 5 2" xfId="28363"/>
    <cellStyle name="백분율 6 4 2 3 3 5 3" xfId="28364"/>
    <cellStyle name="백분율 6 4 2 3 3 6" xfId="28365"/>
    <cellStyle name="백분율 6 4 2 3 3 7" xfId="28366"/>
    <cellStyle name="백분율 6 4 2 3 4" xfId="28367"/>
    <cellStyle name="백분율 6 4 2 3 4 2" xfId="28368"/>
    <cellStyle name="백분율 6 4 2 3 4 2 2" xfId="28369"/>
    <cellStyle name="백분율 6 4 2 3 4 2 2 2" xfId="28370"/>
    <cellStyle name="백분율 6 4 2 3 4 2 2 3" xfId="28371"/>
    <cellStyle name="백분율 6 4 2 3 4 2 3" xfId="28372"/>
    <cellStyle name="백분율 6 4 2 3 4 2 4" xfId="28373"/>
    <cellStyle name="백분율 6 4 2 3 4 3" xfId="28374"/>
    <cellStyle name="백분율 6 4 2 3 4 3 2" xfId="28375"/>
    <cellStyle name="백분율 6 4 2 3 4 3 3" xfId="28376"/>
    <cellStyle name="백분율 6 4 2 3 4 4" xfId="28377"/>
    <cellStyle name="백분율 6 4 2 3 4 5" xfId="28378"/>
    <cellStyle name="백분율 6 4 2 3 5" xfId="28379"/>
    <cellStyle name="백분율 6 4 2 3 5 2" xfId="28380"/>
    <cellStyle name="백분율 6 4 2 3 5 2 2" xfId="28381"/>
    <cellStyle name="백분율 6 4 2 3 5 2 2 2" xfId="28382"/>
    <cellStyle name="백분율 6 4 2 3 5 2 2 3" xfId="28383"/>
    <cellStyle name="백분율 6 4 2 3 5 2 3" xfId="28384"/>
    <cellStyle name="백분율 6 4 2 3 5 2 4" xfId="28385"/>
    <cellStyle name="백분율 6 4 2 3 5 3" xfId="28386"/>
    <cellStyle name="백분율 6 4 2 3 5 3 2" xfId="28387"/>
    <cellStyle name="백분율 6 4 2 3 5 3 3" xfId="28388"/>
    <cellStyle name="백분율 6 4 2 3 5 4" xfId="28389"/>
    <cellStyle name="백분율 6 4 2 3 5 5" xfId="28390"/>
    <cellStyle name="백분율 6 4 2 3 6" xfId="28391"/>
    <cellStyle name="백분율 6 4 2 3 6 2" xfId="28392"/>
    <cellStyle name="백분율 6 4 2 3 6 2 2" xfId="28393"/>
    <cellStyle name="백분율 6 4 2 3 6 2 2 2" xfId="28394"/>
    <cellStyle name="백분율 6 4 2 3 6 2 2 3" xfId="28395"/>
    <cellStyle name="백분율 6 4 2 3 6 2 3" xfId="28396"/>
    <cellStyle name="백분율 6 4 2 3 6 2 4" xfId="28397"/>
    <cellStyle name="백분율 6 4 2 3 6 3" xfId="28398"/>
    <cellStyle name="백분율 6 4 2 3 6 3 2" xfId="28399"/>
    <cellStyle name="백분율 6 4 2 3 6 3 3" xfId="28400"/>
    <cellStyle name="백분율 6 4 2 3 6 4" xfId="28401"/>
    <cellStyle name="백분율 6 4 2 3 6 5" xfId="28402"/>
    <cellStyle name="백분율 6 4 2 3 7" xfId="28403"/>
    <cellStyle name="백분율 6 4 2 3 7 2" xfId="28404"/>
    <cellStyle name="백분율 6 4 2 3 7 2 2" xfId="28405"/>
    <cellStyle name="백분율 6 4 2 3 7 2 3" xfId="28406"/>
    <cellStyle name="백분율 6 4 2 3 7 3" xfId="28407"/>
    <cellStyle name="백분율 6 4 2 3 7 4" xfId="28408"/>
    <cellStyle name="백분율 6 4 2 3 8" xfId="28409"/>
    <cellStyle name="백분율 6 4 2 3 8 2" xfId="28410"/>
    <cellStyle name="백분율 6 4 2 3 8 3" xfId="28411"/>
    <cellStyle name="백분율 6 4 2 3 9" xfId="28412"/>
    <cellStyle name="백분율 6 4 2 4" xfId="28413"/>
    <cellStyle name="백분율 6 4 2 4 10" xfId="28414"/>
    <cellStyle name="백분율 6 4 2 4 2" xfId="28415"/>
    <cellStyle name="백분율 6 4 2 4 2 2" xfId="28416"/>
    <cellStyle name="백분율 6 4 2 4 2 2 2" xfId="28417"/>
    <cellStyle name="백분율 6 4 2 4 2 2 2 2" xfId="28418"/>
    <cellStyle name="백분율 6 4 2 4 2 2 2 2 2" xfId="28419"/>
    <cellStyle name="백분율 6 4 2 4 2 2 2 2 3" xfId="28420"/>
    <cellStyle name="백분율 6 4 2 4 2 2 2 3" xfId="28421"/>
    <cellStyle name="백분율 6 4 2 4 2 2 2 4" xfId="28422"/>
    <cellStyle name="백분율 6 4 2 4 2 2 3" xfId="28423"/>
    <cellStyle name="백분율 6 4 2 4 2 2 3 2" xfId="28424"/>
    <cellStyle name="백분율 6 4 2 4 2 2 3 3" xfId="28425"/>
    <cellStyle name="백분율 6 4 2 4 2 2 4" xfId="28426"/>
    <cellStyle name="백분율 6 4 2 4 2 2 5" xfId="28427"/>
    <cellStyle name="백분율 6 4 2 4 2 3" xfId="28428"/>
    <cellStyle name="백분율 6 4 2 4 2 3 2" xfId="28429"/>
    <cellStyle name="백분율 6 4 2 4 2 3 2 2" xfId="28430"/>
    <cellStyle name="백분율 6 4 2 4 2 3 2 2 2" xfId="28431"/>
    <cellStyle name="백분율 6 4 2 4 2 3 2 2 3" xfId="28432"/>
    <cellStyle name="백분율 6 4 2 4 2 3 2 3" xfId="28433"/>
    <cellStyle name="백분율 6 4 2 4 2 3 2 4" xfId="28434"/>
    <cellStyle name="백분율 6 4 2 4 2 3 3" xfId="28435"/>
    <cellStyle name="백분율 6 4 2 4 2 3 3 2" xfId="28436"/>
    <cellStyle name="백분율 6 4 2 4 2 3 3 3" xfId="28437"/>
    <cellStyle name="백분율 6 4 2 4 2 3 4" xfId="28438"/>
    <cellStyle name="백분율 6 4 2 4 2 3 5" xfId="28439"/>
    <cellStyle name="백분율 6 4 2 4 2 4" xfId="28440"/>
    <cellStyle name="백분율 6 4 2 4 2 4 2" xfId="28441"/>
    <cellStyle name="백분율 6 4 2 4 2 4 2 2" xfId="28442"/>
    <cellStyle name="백분율 6 4 2 4 2 4 2 3" xfId="28443"/>
    <cellStyle name="백분율 6 4 2 4 2 4 3" xfId="28444"/>
    <cellStyle name="백분율 6 4 2 4 2 4 4" xfId="28445"/>
    <cellStyle name="백분율 6 4 2 4 2 5" xfId="28446"/>
    <cellStyle name="백분율 6 4 2 4 2 5 2" xfId="28447"/>
    <cellStyle name="백분율 6 4 2 4 2 5 3" xfId="28448"/>
    <cellStyle name="백분율 6 4 2 4 2 6" xfId="28449"/>
    <cellStyle name="백분율 6 4 2 4 2 7" xfId="28450"/>
    <cellStyle name="백분율 6 4 2 4 3" xfId="28451"/>
    <cellStyle name="백분율 6 4 2 4 3 2" xfId="28452"/>
    <cellStyle name="백분율 6 4 2 4 3 2 2" xfId="28453"/>
    <cellStyle name="백분율 6 4 2 4 3 2 2 2" xfId="28454"/>
    <cellStyle name="백분율 6 4 2 4 3 2 2 2 2" xfId="28455"/>
    <cellStyle name="백분율 6 4 2 4 3 2 2 2 3" xfId="28456"/>
    <cellStyle name="백분율 6 4 2 4 3 2 2 3" xfId="28457"/>
    <cellStyle name="백분율 6 4 2 4 3 2 2 4" xfId="28458"/>
    <cellStyle name="백분율 6 4 2 4 3 2 3" xfId="28459"/>
    <cellStyle name="백분율 6 4 2 4 3 2 3 2" xfId="28460"/>
    <cellStyle name="백분율 6 4 2 4 3 2 3 3" xfId="28461"/>
    <cellStyle name="백분율 6 4 2 4 3 2 4" xfId="28462"/>
    <cellStyle name="백분율 6 4 2 4 3 2 5" xfId="28463"/>
    <cellStyle name="백분율 6 4 2 4 3 3" xfId="28464"/>
    <cellStyle name="백분율 6 4 2 4 3 3 2" xfId="28465"/>
    <cellStyle name="백분율 6 4 2 4 3 3 2 2" xfId="28466"/>
    <cellStyle name="백분율 6 4 2 4 3 3 2 2 2" xfId="28467"/>
    <cellStyle name="백분율 6 4 2 4 3 3 2 2 3" xfId="28468"/>
    <cellStyle name="백분율 6 4 2 4 3 3 2 3" xfId="28469"/>
    <cellStyle name="백분율 6 4 2 4 3 3 2 4" xfId="28470"/>
    <cellStyle name="백분율 6 4 2 4 3 3 3" xfId="28471"/>
    <cellStyle name="백분율 6 4 2 4 3 3 3 2" xfId="28472"/>
    <cellStyle name="백분율 6 4 2 4 3 3 3 3" xfId="28473"/>
    <cellStyle name="백분율 6 4 2 4 3 3 4" xfId="28474"/>
    <cellStyle name="백분율 6 4 2 4 3 3 5" xfId="28475"/>
    <cellStyle name="백분율 6 4 2 4 3 4" xfId="28476"/>
    <cellStyle name="백분율 6 4 2 4 3 4 2" xfId="28477"/>
    <cellStyle name="백분율 6 4 2 4 3 4 2 2" xfId="28478"/>
    <cellStyle name="백분율 6 4 2 4 3 4 2 3" xfId="28479"/>
    <cellStyle name="백분율 6 4 2 4 3 4 3" xfId="28480"/>
    <cellStyle name="백분율 6 4 2 4 3 4 4" xfId="28481"/>
    <cellStyle name="백분율 6 4 2 4 3 5" xfId="28482"/>
    <cellStyle name="백분율 6 4 2 4 3 5 2" xfId="28483"/>
    <cellStyle name="백분율 6 4 2 4 3 5 3" xfId="28484"/>
    <cellStyle name="백분율 6 4 2 4 3 6" xfId="28485"/>
    <cellStyle name="백분율 6 4 2 4 3 7" xfId="28486"/>
    <cellStyle name="백분율 6 4 2 4 4" xfId="28487"/>
    <cellStyle name="백분율 6 4 2 4 4 2" xfId="28488"/>
    <cellStyle name="백분율 6 4 2 4 4 2 2" xfId="28489"/>
    <cellStyle name="백분율 6 4 2 4 4 2 2 2" xfId="28490"/>
    <cellStyle name="백분율 6 4 2 4 4 2 2 3" xfId="28491"/>
    <cellStyle name="백분율 6 4 2 4 4 2 3" xfId="28492"/>
    <cellStyle name="백분율 6 4 2 4 4 2 4" xfId="28493"/>
    <cellStyle name="백분율 6 4 2 4 4 3" xfId="28494"/>
    <cellStyle name="백분율 6 4 2 4 4 3 2" xfId="28495"/>
    <cellStyle name="백분율 6 4 2 4 4 3 3" xfId="28496"/>
    <cellStyle name="백분율 6 4 2 4 4 4" xfId="28497"/>
    <cellStyle name="백분율 6 4 2 4 4 5" xfId="28498"/>
    <cellStyle name="백분율 6 4 2 4 5" xfId="28499"/>
    <cellStyle name="백분율 6 4 2 4 5 2" xfId="28500"/>
    <cellStyle name="백분율 6 4 2 4 5 2 2" xfId="28501"/>
    <cellStyle name="백분율 6 4 2 4 5 2 2 2" xfId="28502"/>
    <cellStyle name="백분율 6 4 2 4 5 2 2 3" xfId="28503"/>
    <cellStyle name="백분율 6 4 2 4 5 2 3" xfId="28504"/>
    <cellStyle name="백분율 6 4 2 4 5 2 4" xfId="28505"/>
    <cellStyle name="백분율 6 4 2 4 5 3" xfId="28506"/>
    <cellStyle name="백분율 6 4 2 4 5 3 2" xfId="28507"/>
    <cellStyle name="백분율 6 4 2 4 5 3 3" xfId="28508"/>
    <cellStyle name="백분율 6 4 2 4 5 4" xfId="28509"/>
    <cellStyle name="백분율 6 4 2 4 5 5" xfId="28510"/>
    <cellStyle name="백분율 6 4 2 4 6" xfId="28511"/>
    <cellStyle name="백분율 6 4 2 4 6 2" xfId="28512"/>
    <cellStyle name="백분율 6 4 2 4 6 2 2" xfId="28513"/>
    <cellStyle name="백분율 6 4 2 4 6 2 2 2" xfId="28514"/>
    <cellStyle name="백분율 6 4 2 4 6 2 2 3" xfId="28515"/>
    <cellStyle name="백분율 6 4 2 4 6 2 3" xfId="28516"/>
    <cellStyle name="백분율 6 4 2 4 6 2 4" xfId="28517"/>
    <cellStyle name="백분율 6 4 2 4 6 3" xfId="28518"/>
    <cellStyle name="백분율 6 4 2 4 6 3 2" xfId="28519"/>
    <cellStyle name="백분율 6 4 2 4 6 3 3" xfId="28520"/>
    <cellStyle name="백분율 6 4 2 4 6 4" xfId="28521"/>
    <cellStyle name="백분율 6 4 2 4 6 5" xfId="28522"/>
    <cellStyle name="백분율 6 4 2 4 7" xfId="28523"/>
    <cellStyle name="백분율 6 4 2 4 7 2" xfId="28524"/>
    <cellStyle name="백분율 6 4 2 4 7 2 2" xfId="28525"/>
    <cellStyle name="백분율 6 4 2 4 7 2 3" xfId="28526"/>
    <cellStyle name="백분율 6 4 2 4 7 3" xfId="28527"/>
    <cellStyle name="백분율 6 4 2 4 7 4" xfId="28528"/>
    <cellStyle name="백분율 6 4 2 4 8" xfId="28529"/>
    <cellStyle name="백분율 6 4 2 4 8 2" xfId="28530"/>
    <cellStyle name="백분율 6 4 2 4 8 3" xfId="28531"/>
    <cellStyle name="백분율 6 4 2 4 9" xfId="28532"/>
    <cellStyle name="백분율 6 4 2 5" xfId="28533"/>
    <cellStyle name="백분율 6 4 2 5 2" xfId="28534"/>
    <cellStyle name="백분율 6 4 2 5 2 2" xfId="28535"/>
    <cellStyle name="백분율 6 4 2 5 2 2 2" xfId="28536"/>
    <cellStyle name="백분율 6 4 2 5 2 2 2 2" xfId="28537"/>
    <cellStyle name="백분율 6 4 2 5 2 2 2 3" xfId="28538"/>
    <cellStyle name="백분율 6 4 2 5 2 2 3" xfId="28539"/>
    <cellStyle name="백분율 6 4 2 5 2 2 4" xfId="28540"/>
    <cellStyle name="백분율 6 4 2 5 2 3" xfId="28541"/>
    <cellStyle name="백분율 6 4 2 5 2 3 2" xfId="28542"/>
    <cellStyle name="백분율 6 4 2 5 2 3 3" xfId="28543"/>
    <cellStyle name="백분율 6 4 2 5 2 4" xfId="28544"/>
    <cellStyle name="백분율 6 4 2 5 2 5" xfId="28545"/>
    <cellStyle name="백분율 6 4 2 5 3" xfId="28546"/>
    <cellStyle name="백분율 6 4 2 5 3 2" xfId="28547"/>
    <cellStyle name="백분율 6 4 2 5 3 2 2" xfId="28548"/>
    <cellStyle name="백분율 6 4 2 5 3 2 2 2" xfId="28549"/>
    <cellStyle name="백분율 6 4 2 5 3 2 2 3" xfId="28550"/>
    <cellStyle name="백분율 6 4 2 5 3 2 3" xfId="28551"/>
    <cellStyle name="백분율 6 4 2 5 3 2 4" xfId="28552"/>
    <cellStyle name="백분율 6 4 2 5 3 3" xfId="28553"/>
    <cellStyle name="백분율 6 4 2 5 3 3 2" xfId="28554"/>
    <cellStyle name="백분율 6 4 2 5 3 3 3" xfId="28555"/>
    <cellStyle name="백분율 6 4 2 5 3 4" xfId="28556"/>
    <cellStyle name="백분율 6 4 2 5 3 5" xfId="28557"/>
    <cellStyle name="백분율 6 4 2 5 4" xfId="28558"/>
    <cellStyle name="백분율 6 4 2 5 4 2" xfId="28559"/>
    <cellStyle name="백분율 6 4 2 5 4 2 2" xfId="28560"/>
    <cellStyle name="백분율 6 4 2 5 4 2 3" xfId="28561"/>
    <cellStyle name="백분율 6 4 2 5 4 3" xfId="28562"/>
    <cellStyle name="백분율 6 4 2 5 4 4" xfId="28563"/>
    <cellStyle name="백분율 6 4 2 5 5" xfId="28564"/>
    <cellStyle name="백분율 6 4 2 5 5 2" xfId="28565"/>
    <cellStyle name="백분율 6 4 2 5 5 3" xfId="28566"/>
    <cellStyle name="백분율 6 4 2 5 6" xfId="28567"/>
    <cellStyle name="백분율 6 4 2 5 7" xfId="28568"/>
    <cellStyle name="백분율 6 4 2 6" xfId="28569"/>
    <cellStyle name="백분율 6 4 2 6 2" xfId="28570"/>
    <cellStyle name="백분율 6 4 2 6 2 2" xfId="28571"/>
    <cellStyle name="백분율 6 4 2 6 2 2 2" xfId="28572"/>
    <cellStyle name="백분율 6 4 2 6 2 2 2 2" xfId="28573"/>
    <cellStyle name="백분율 6 4 2 6 2 2 2 3" xfId="28574"/>
    <cellStyle name="백분율 6 4 2 6 2 2 3" xfId="28575"/>
    <cellStyle name="백분율 6 4 2 6 2 2 4" xfId="28576"/>
    <cellStyle name="백분율 6 4 2 6 2 3" xfId="28577"/>
    <cellStyle name="백분율 6 4 2 6 2 3 2" xfId="28578"/>
    <cellStyle name="백분율 6 4 2 6 2 3 3" xfId="28579"/>
    <cellStyle name="백분율 6 4 2 6 2 4" xfId="28580"/>
    <cellStyle name="백분율 6 4 2 6 2 5" xfId="28581"/>
    <cellStyle name="백분율 6 4 2 6 3" xfId="28582"/>
    <cellStyle name="백분율 6 4 2 6 3 2" xfId="28583"/>
    <cellStyle name="백분율 6 4 2 6 3 2 2" xfId="28584"/>
    <cellStyle name="백분율 6 4 2 6 3 2 2 2" xfId="28585"/>
    <cellStyle name="백분율 6 4 2 6 3 2 2 3" xfId="28586"/>
    <cellStyle name="백분율 6 4 2 6 3 2 3" xfId="28587"/>
    <cellStyle name="백분율 6 4 2 6 3 2 4" xfId="28588"/>
    <cellStyle name="백분율 6 4 2 6 3 3" xfId="28589"/>
    <cellStyle name="백분율 6 4 2 6 3 3 2" xfId="28590"/>
    <cellStyle name="백분율 6 4 2 6 3 3 3" xfId="28591"/>
    <cellStyle name="백분율 6 4 2 6 3 4" xfId="28592"/>
    <cellStyle name="백분율 6 4 2 6 3 5" xfId="28593"/>
    <cellStyle name="백분율 6 4 2 6 4" xfId="28594"/>
    <cellStyle name="백분율 6 4 2 6 4 2" xfId="28595"/>
    <cellStyle name="백분율 6 4 2 6 4 2 2" xfId="28596"/>
    <cellStyle name="백분율 6 4 2 6 4 2 3" xfId="28597"/>
    <cellStyle name="백분율 6 4 2 6 4 3" xfId="28598"/>
    <cellStyle name="백분율 6 4 2 6 4 4" xfId="28599"/>
    <cellStyle name="백분율 6 4 2 6 5" xfId="28600"/>
    <cellStyle name="백분율 6 4 2 6 5 2" xfId="28601"/>
    <cellStyle name="백분율 6 4 2 6 5 3" xfId="28602"/>
    <cellStyle name="백분율 6 4 2 6 6" xfId="28603"/>
    <cellStyle name="백분율 6 4 2 6 7" xfId="28604"/>
    <cellStyle name="백분율 6 4 2 7" xfId="28605"/>
    <cellStyle name="백분율 6 4 2 7 2" xfId="28606"/>
    <cellStyle name="백분율 6 4 2 7 2 2" xfId="28607"/>
    <cellStyle name="백분율 6 4 2 7 2 2 2" xfId="28608"/>
    <cellStyle name="백분율 6 4 2 7 2 2 3" xfId="28609"/>
    <cellStyle name="백분율 6 4 2 7 2 3" xfId="28610"/>
    <cellStyle name="백분율 6 4 2 7 2 4" xfId="28611"/>
    <cellStyle name="백분율 6 4 2 7 3" xfId="28612"/>
    <cellStyle name="백분율 6 4 2 7 3 2" xfId="28613"/>
    <cellStyle name="백분율 6 4 2 7 3 3" xfId="28614"/>
    <cellStyle name="백분율 6 4 2 7 4" xfId="28615"/>
    <cellStyle name="백분율 6 4 2 7 5" xfId="28616"/>
    <cellStyle name="백분율 6 4 2 8" xfId="28617"/>
    <cellStyle name="백분율 6 4 2 8 2" xfId="28618"/>
    <cellStyle name="백분율 6 4 2 8 2 2" xfId="28619"/>
    <cellStyle name="백분율 6 4 2 8 2 2 2" xfId="28620"/>
    <cellStyle name="백분율 6 4 2 8 2 2 3" xfId="28621"/>
    <cellStyle name="백분율 6 4 2 8 2 3" xfId="28622"/>
    <cellStyle name="백분율 6 4 2 8 2 4" xfId="28623"/>
    <cellStyle name="백분율 6 4 2 8 3" xfId="28624"/>
    <cellStyle name="백분율 6 4 2 8 3 2" xfId="28625"/>
    <cellStyle name="백분율 6 4 2 8 3 3" xfId="28626"/>
    <cellStyle name="백분율 6 4 2 8 4" xfId="28627"/>
    <cellStyle name="백분율 6 4 2 8 5" xfId="28628"/>
    <cellStyle name="백분율 6 4 2 9" xfId="28629"/>
    <cellStyle name="백분율 6 4 2 9 2" xfId="28630"/>
    <cellStyle name="백분율 6 4 2 9 2 2" xfId="28631"/>
    <cellStyle name="백분율 6 4 2 9 2 2 2" xfId="28632"/>
    <cellStyle name="백분율 6 4 2 9 2 2 3" xfId="28633"/>
    <cellStyle name="백분율 6 4 2 9 2 3" xfId="28634"/>
    <cellStyle name="백분율 6 4 2 9 2 4" xfId="28635"/>
    <cellStyle name="백분율 6 4 2 9 3" xfId="28636"/>
    <cellStyle name="백분율 6 4 2 9 3 2" xfId="28637"/>
    <cellStyle name="백분율 6 4 2 9 3 3" xfId="28638"/>
    <cellStyle name="백분율 6 4 2 9 4" xfId="28639"/>
    <cellStyle name="백분율 6 4 2 9 5" xfId="28640"/>
    <cellStyle name="백분율 6 4 3" xfId="28641"/>
    <cellStyle name="백분율 6 4 3 10" xfId="28642"/>
    <cellStyle name="백분율 6 4 3 2" xfId="28643"/>
    <cellStyle name="백분율 6 4 3 2 2" xfId="28644"/>
    <cellStyle name="백분율 6 4 3 2 2 2" xfId="28645"/>
    <cellStyle name="백분율 6 4 3 2 2 2 2" xfId="28646"/>
    <cellStyle name="백분율 6 4 3 2 2 2 2 2" xfId="28647"/>
    <cellStyle name="백분율 6 4 3 2 2 2 2 3" xfId="28648"/>
    <cellStyle name="백분율 6 4 3 2 2 2 3" xfId="28649"/>
    <cellStyle name="백분율 6 4 3 2 2 2 4" xfId="28650"/>
    <cellStyle name="백분율 6 4 3 2 2 3" xfId="28651"/>
    <cellStyle name="백분율 6 4 3 2 2 3 2" xfId="28652"/>
    <cellStyle name="백분율 6 4 3 2 2 3 3" xfId="28653"/>
    <cellStyle name="백분율 6 4 3 2 2 4" xfId="28654"/>
    <cellStyle name="백분율 6 4 3 2 2 5" xfId="28655"/>
    <cellStyle name="백분율 6 4 3 2 3" xfId="28656"/>
    <cellStyle name="백분율 6 4 3 2 3 2" xfId="28657"/>
    <cellStyle name="백분율 6 4 3 2 3 2 2" xfId="28658"/>
    <cellStyle name="백분율 6 4 3 2 3 2 2 2" xfId="28659"/>
    <cellStyle name="백분율 6 4 3 2 3 2 2 3" xfId="28660"/>
    <cellStyle name="백분율 6 4 3 2 3 2 3" xfId="28661"/>
    <cellStyle name="백분율 6 4 3 2 3 2 4" xfId="28662"/>
    <cellStyle name="백분율 6 4 3 2 3 3" xfId="28663"/>
    <cellStyle name="백분율 6 4 3 2 3 3 2" xfId="28664"/>
    <cellStyle name="백분율 6 4 3 2 3 3 3" xfId="28665"/>
    <cellStyle name="백분율 6 4 3 2 3 4" xfId="28666"/>
    <cellStyle name="백분율 6 4 3 2 3 5" xfId="28667"/>
    <cellStyle name="백분율 6 4 3 2 4" xfId="28668"/>
    <cellStyle name="백분율 6 4 3 2 4 2" xfId="28669"/>
    <cellStyle name="백분율 6 4 3 2 4 2 2" xfId="28670"/>
    <cellStyle name="백분율 6 4 3 2 4 2 3" xfId="28671"/>
    <cellStyle name="백분율 6 4 3 2 4 3" xfId="28672"/>
    <cellStyle name="백분율 6 4 3 2 4 4" xfId="28673"/>
    <cellStyle name="백분율 6 4 3 2 5" xfId="28674"/>
    <cellStyle name="백분율 6 4 3 2 5 2" xfId="28675"/>
    <cellStyle name="백분율 6 4 3 2 5 3" xfId="28676"/>
    <cellStyle name="백분율 6 4 3 2 6" xfId="28677"/>
    <cellStyle name="백분율 6 4 3 2 7" xfId="28678"/>
    <cellStyle name="백분율 6 4 3 3" xfId="28679"/>
    <cellStyle name="백분율 6 4 3 3 2" xfId="28680"/>
    <cellStyle name="백분율 6 4 3 3 2 2" xfId="28681"/>
    <cellStyle name="백분율 6 4 3 3 2 2 2" xfId="28682"/>
    <cellStyle name="백분율 6 4 3 3 2 2 2 2" xfId="28683"/>
    <cellStyle name="백분율 6 4 3 3 2 2 2 3" xfId="28684"/>
    <cellStyle name="백분율 6 4 3 3 2 2 3" xfId="28685"/>
    <cellStyle name="백분율 6 4 3 3 2 2 4" xfId="28686"/>
    <cellStyle name="백분율 6 4 3 3 2 3" xfId="28687"/>
    <cellStyle name="백분율 6 4 3 3 2 3 2" xfId="28688"/>
    <cellStyle name="백분율 6 4 3 3 2 3 3" xfId="28689"/>
    <cellStyle name="백분율 6 4 3 3 2 4" xfId="28690"/>
    <cellStyle name="백분율 6 4 3 3 2 5" xfId="28691"/>
    <cellStyle name="백분율 6 4 3 3 3" xfId="28692"/>
    <cellStyle name="백분율 6 4 3 3 3 2" xfId="28693"/>
    <cellStyle name="백분율 6 4 3 3 3 2 2" xfId="28694"/>
    <cellStyle name="백분율 6 4 3 3 3 2 2 2" xfId="28695"/>
    <cellStyle name="백분율 6 4 3 3 3 2 2 3" xfId="28696"/>
    <cellStyle name="백분율 6 4 3 3 3 2 3" xfId="28697"/>
    <cellStyle name="백분율 6 4 3 3 3 2 4" xfId="28698"/>
    <cellStyle name="백분율 6 4 3 3 3 3" xfId="28699"/>
    <cellStyle name="백분율 6 4 3 3 3 3 2" xfId="28700"/>
    <cellStyle name="백분율 6 4 3 3 3 3 3" xfId="28701"/>
    <cellStyle name="백분율 6 4 3 3 3 4" xfId="28702"/>
    <cellStyle name="백분율 6 4 3 3 3 5" xfId="28703"/>
    <cellStyle name="백분율 6 4 3 3 4" xfId="28704"/>
    <cellStyle name="백분율 6 4 3 3 4 2" xfId="28705"/>
    <cellStyle name="백분율 6 4 3 3 4 2 2" xfId="28706"/>
    <cellStyle name="백분율 6 4 3 3 4 2 3" xfId="28707"/>
    <cellStyle name="백분율 6 4 3 3 4 3" xfId="28708"/>
    <cellStyle name="백분율 6 4 3 3 4 4" xfId="28709"/>
    <cellStyle name="백분율 6 4 3 3 5" xfId="28710"/>
    <cellStyle name="백분율 6 4 3 3 5 2" xfId="28711"/>
    <cellStyle name="백분율 6 4 3 3 5 3" xfId="28712"/>
    <cellStyle name="백분율 6 4 3 3 6" xfId="28713"/>
    <cellStyle name="백분율 6 4 3 3 7" xfId="28714"/>
    <cellStyle name="백분율 6 4 3 4" xfId="28715"/>
    <cellStyle name="백분율 6 4 3 4 2" xfId="28716"/>
    <cellStyle name="백분율 6 4 3 4 2 2" xfId="28717"/>
    <cellStyle name="백분율 6 4 3 4 2 2 2" xfId="28718"/>
    <cellStyle name="백분율 6 4 3 4 2 2 3" xfId="28719"/>
    <cellStyle name="백분율 6 4 3 4 2 3" xfId="28720"/>
    <cellStyle name="백분율 6 4 3 4 2 4" xfId="28721"/>
    <cellStyle name="백분율 6 4 3 4 3" xfId="28722"/>
    <cellStyle name="백분율 6 4 3 4 3 2" xfId="28723"/>
    <cellStyle name="백분율 6 4 3 4 3 3" xfId="28724"/>
    <cellStyle name="백분율 6 4 3 4 4" xfId="28725"/>
    <cellStyle name="백분율 6 4 3 4 5" xfId="28726"/>
    <cellStyle name="백분율 6 4 3 5" xfId="28727"/>
    <cellStyle name="백분율 6 4 3 5 2" xfId="28728"/>
    <cellStyle name="백분율 6 4 3 5 2 2" xfId="28729"/>
    <cellStyle name="백분율 6 4 3 5 2 2 2" xfId="28730"/>
    <cellStyle name="백분율 6 4 3 5 2 2 3" xfId="28731"/>
    <cellStyle name="백분율 6 4 3 5 2 3" xfId="28732"/>
    <cellStyle name="백분율 6 4 3 5 2 4" xfId="28733"/>
    <cellStyle name="백분율 6 4 3 5 3" xfId="28734"/>
    <cellStyle name="백분율 6 4 3 5 3 2" xfId="28735"/>
    <cellStyle name="백분율 6 4 3 5 3 3" xfId="28736"/>
    <cellStyle name="백분율 6 4 3 5 4" xfId="28737"/>
    <cellStyle name="백분율 6 4 3 5 5" xfId="28738"/>
    <cellStyle name="백분율 6 4 3 6" xfId="28739"/>
    <cellStyle name="백분율 6 4 3 6 2" xfId="28740"/>
    <cellStyle name="백분율 6 4 3 6 2 2" xfId="28741"/>
    <cellStyle name="백분율 6 4 3 6 2 2 2" xfId="28742"/>
    <cellStyle name="백분율 6 4 3 6 2 2 3" xfId="28743"/>
    <cellStyle name="백분율 6 4 3 6 2 3" xfId="28744"/>
    <cellStyle name="백분율 6 4 3 6 2 4" xfId="28745"/>
    <cellStyle name="백분율 6 4 3 6 3" xfId="28746"/>
    <cellStyle name="백분율 6 4 3 6 3 2" xfId="28747"/>
    <cellStyle name="백분율 6 4 3 6 3 3" xfId="28748"/>
    <cellStyle name="백분율 6 4 3 6 4" xfId="28749"/>
    <cellStyle name="백분율 6 4 3 6 5" xfId="28750"/>
    <cellStyle name="백분율 6 4 3 7" xfId="28751"/>
    <cellStyle name="백분율 6 4 3 7 2" xfId="28752"/>
    <cellStyle name="백분율 6 4 3 7 2 2" xfId="28753"/>
    <cellStyle name="백분율 6 4 3 7 2 3" xfId="28754"/>
    <cellStyle name="백분율 6 4 3 7 3" xfId="28755"/>
    <cellStyle name="백분율 6 4 3 7 4" xfId="28756"/>
    <cellStyle name="백분율 6 4 3 8" xfId="28757"/>
    <cellStyle name="백분율 6 4 3 8 2" xfId="28758"/>
    <cellStyle name="백분율 6 4 3 8 3" xfId="28759"/>
    <cellStyle name="백분율 6 4 3 9" xfId="28760"/>
    <cellStyle name="백분율 6 4 4" xfId="28761"/>
    <cellStyle name="백분율 6 4 4 10" xfId="28762"/>
    <cellStyle name="백분율 6 4 4 2" xfId="28763"/>
    <cellStyle name="백분율 6 4 4 2 2" xfId="28764"/>
    <cellStyle name="백분율 6 4 4 2 2 2" xfId="28765"/>
    <cellStyle name="백분율 6 4 4 2 2 2 2" xfId="28766"/>
    <cellStyle name="백분율 6 4 4 2 2 2 2 2" xfId="28767"/>
    <cellStyle name="백분율 6 4 4 2 2 2 2 3" xfId="28768"/>
    <cellStyle name="백분율 6 4 4 2 2 2 3" xfId="28769"/>
    <cellStyle name="백분율 6 4 4 2 2 2 4" xfId="28770"/>
    <cellStyle name="백분율 6 4 4 2 2 3" xfId="28771"/>
    <cellStyle name="백분율 6 4 4 2 2 3 2" xfId="28772"/>
    <cellStyle name="백분율 6 4 4 2 2 3 3" xfId="28773"/>
    <cellStyle name="백분율 6 4 4 2 2 4" xfId="28774"/>
    <cellStyle name="백분율 6 4 4 2 2 5" xfId="28775"/>
    <cellStyle name="백분율 6 4 4 2 3" xfId="28776"/>
    <cellStyle name="백분율 6 4 4 2 3 2" xfId="28777"/>
    <cellStyle name="백분율 6 4 4 2 3 2 2" xfId="28778"/>
    <cellStyle name="백분율 6 4 4 2 3 2 2 2" xfId="28779"/>
    <cellStyle name="백분율 6 4 4 2 3 2 2 3" xfId="28780"/>
    <cellStyle name="백분율 6 4 4 2 3 2 3" xfId="28781"/>
    <cellStyle name="백분율 6 4 4 2 3 2 4" xfId="28782"/>
    <cellStyle name="백분율 6 4 4 2 3 3" xfId="28783"/>
    <cellStyle name="백분율 6 4 4 2 3 3 2" xfId="28784"/>
    <cellStyle name="백분율 6 4 4 2 3 3 3" xfId="28785"/>
    <cellStyle name="백분율 6 4 4 2 3 4" xfId="28786"/>
    <cellStyle name="백분율 6 4 4 2 3 5" xfId="28787"/>
    <cellStyle name="백분율 6 4 4 2 4" xfId="28788"/>
    <cellStyle name="백분율 6 4 4 2 4 2" xfId="28789"/>
    <cellStyle name="백분율 6 4 4 2 4 2 2" xfId="28790"/>
    <cellStyle name="백분율 6 4 4 2 4 2 3" xfId="28791"/>
    <cellStyle name="백분율 6 4 4 2 4 3" xfId="28792"/>
    <cellStyle name="백분율 6 4 4 2 4 4" xfId="28793"/>
    <cellStyle name="백분율 6 4 4 2 5" xfId="28794"/>
    <cellStyle name="백분율 6 4 4 2 5 2" xfId="28795"/>
    <cellStyle name="백분율 6 4 4 2 5 3" xfId="28796"/>
    <cellStyle name="백분율 6 4 4 2 6" xfId="28797"/>
    <cellStyle name="백분율 6 4 4 2 7" xfId="28798"/>
    <cellStyle name="백분율 6 4 4 3" xfId="28799"/>
    <cellStyle name="백분율 6 4 4 3 2" xfId="28800"/>
    <cellStyle name="백분율 6 4 4 3 2 2" xfId="28801"/>
    <cellStyle name="백분율 6 4 4 3 2 2 2" xfId="28802"/>
    <cellStyle name="백분율 6 4 4 3 2 2 2 2" xfId="28803"/>
    <cellStyle name="백분율 6 4 4 3 2 2 2 3" xfId="28804"/>
    <cellStyle name="백분율 6 4 4 3 2 2 3" xfId="28805"/>
    <cellStyle name="백분율 6 4 4 3 2 2 4" xfId="28806"/>
    <cellStyle name="백분율 6 4 4 3 2 3" xfId="28807"/>
    <cellStyle name="백분율 6 4 4 3 2 3 2" xfId="28808"/>
    <cellStyle name="백분율 6 4 4 3 2 3 3" xfId="28809"/>
    <cellStyle name="백분율 6 4 4 3 2 4" xfId="28810"/>
    <cellStyle name="백분율 6 4 4 3 2 5" xfId="28811"/>
    <cellStyle name="백분율 6 4 4 3 3" xfId="28812"/>
    <cellStyle name="백분율 6 4 4 3 3 2" xfId="28813"/>
    <cellStyle name="백분율 6 4 4 3 3 2 2" xfId="28814"/>
    <cellStyle name="백분율 6 4 4 3 3 2 2 2" xfId="28815"/>
    <cellStyle name="백분율 6 4 4 3 3 2 2 3" xfId="28816"/>
    <cellStyle name="백분율 6 4 4 3 3 2 3" xfId="28817"/>
    <cellStyle name="백분율 6 4 4 3 3 2 4" xfId="28818"/>
    <cellStyle name="백분율 6 4 4 3 3 3" xfId="28819"/>
    <cellStyle name="백분율 6 4 4 3 3 3 2" xfId="28820"/>
    <cellStyle name="백분율 6 4 4 3 3 3 3" xfId="28821"/>
    <cellStyle name="백분율 6 4 4 3 3 4" xfId="28822"/>
    <cellStyle name="백분율 6 4 4 3 3 5" xfId="28823"/>
    <cellStyle name="백분율 6 4 4 3 4" xfId="28824"/>
    <cellStyle name="백분율 6 4 4 3 4 2" xfId="28825"/>
    <cellStyle name="백분율 6 4 4 3 4 2 2" xfId="28826"/>
    <cellStyle name="백분율 6 4 4 3 4 2 3" xfId="28827"/>
    <cellStyle name="백분율 6 4 4 3 4 3" xfId="28828"/>
    <cellStyle name="백분율 6 4 4 3 4 4" xfId="28829"/>
    <cellStyle name="백분율 6 4 4 3 5" xfId="28830"/>
    <cellStyle name="백분율 6 4 4 3 5 2" xfId="28831"/>
    <cellStyle name="백분율 6 4 4 3 5 3" xfId="28832"/>
    <cellStyle name="백분율 6 4 4 3 6" xfId="28833"/>
    <cellStyle name="백분율 6 4 4 3 7" xfId="28834"/>
    <cellStyle name="백분율 6 4 4 4" xfId="28835"/>
    <cellStyle name="백분율 6 4 4 4 2" xfId="28836"/>
    <cellStyle name="백분율 6 4 4 4 2 2" xfId="28837"/>
    <cellStyle name="백분율 6 4 4 4 2 2 2" xfId="28838"/>
    <cellStyle name="백분율 6 4 4 4 2 2 3" xfId="28839"/>
    <cellStyle name="백분율 6 4 4 4 2 3" xfId="28840"/>
    <cellStyle name="백분율 6 4 4 4 2 4" xfId="28841"/>
    <cellStyle name="백분율 6 4 4 4 3" xfId="28842"/>
    <cellStyle name="백분율 6 4 4 4 3 2" xfId="28843"/>
    <cellStyle name="백분율 6 4 4 4 3 3" xfId="28844"/>
    <cellStyle name="백분율 6 4 4 4 4" xfId="28845"/>
    <cellStyle name="백분율 6 4 4 4 5" xfId="28846"/>
    <cellStyle name="백분율 6 4 4 5" xfId="28847"/>
    <cellStyle name="백분율 6 4 4 5 2" xfId="28848"/>
    <cellStyle name="백분율 6 4 4 5 2 2" xfId="28849"/>
    <cellStyle name="백분율 6 4 4 5 2 2 2" xfId="28850"/>
    <cellStyle name="백분율 6 4 4 5 2 2 3" xfId="28851"/>
    <cellStyle name="백분율 6 4 4 5 2 3" xfId="28852"/>
    <cellStyle name="백분율 6 4 4 5 2 4" xfId="28853"/>
    <cellStyle name="백분율 6 4 4 5 3" xfId="28854"/>
    <cellStyle name="백분율 6 4 4 5 3 2" xfId="28855"/>
    <cellStyle name="백분율 6 4 4 5 3 3" xfId="28856"/>
    <cellStyle name="백분율 6 4 4 5 4" xfId="28857"/>
    <cellStyle name="백분율 6 4 4 5 5" xfId="28858"/>
    <cellStyle name="백분율 6 4 4 6" xfId="28859"/>
    <cellStyle name="백분율 6 4 4 6 2" xfId="28860"/>
    <cellStyle name="백분율 6 4 4 6 2 2" xfId="28861"/>
    <cellStyle name="백분율 6 4 4 6 2 2 2" xfId="28862"/>
    <cellStyle name="백분율 6 4 4 6 2 2 3" xfId="28863"/>
    <cellStyle name="백분율 6 4 4 6 2 3" xfId="28864"/>
    <cellStyle name="백분율 6 4 4 6 2 4" xfId="28865"/>
    <cellStyle name="백분율 6 4 4 6 3" xfId="28866"/>
    <cellStyle name="백분율 6 4 4 6 3 2" xfId="28867"/>
    <cellStyle name="백분율 6 4 4 6 3 3" xfId="28868"/>
    <cellStyle name="백분율 6 4 4 6 4" xfId="28869"/>
    <cellStyle name="백분율 6 4 4 6 5" xfId="28870"/>
    <cellStyle name="백분율 6 4 4 7" xfId="28871"/>
    <cellStyle name="백분율 6 4 4 7 2" xfId="28872"/>
    <cellStyle name="백분율 6 4 4 7 2 2" xfId="28873"/>
    <cellStyle name="백분율 6 4 4 7 2 3" xfId="28874"/>
    <cellStyle name="백분율 6 4 4 7 3" xfId="28875"/>
    <cellStyle name="백분율 6 4 4 7 4" xfId="28876"/>
    <cellStyle name="백분율 6 4 4 8" xfId="28877"/>
    <cellStyle name="백분율 6 4 4 8 2" xfId="28878"/>
    <cellStyle name="백분율 6 4 4 8 3" xfId="28879"/>
    <cellStyle name="백분율 6 4 4 9" xfId="28880"/>
    <cellStyle name="백분율 6 4 5" xfId="28881"/>
    <cellStyle name="백분율 6 4 5 10" xfId="28882"/>
    <cellStyle name="백분율 6 4 5 2" xfId="28883"/>
    <cellStyle name="백분율 6 4 5 2 2" xfId="28884"/>
    <cellStyle name="백분율 6 4 5 2 2 2" xfId="28885"/>
    <cellStyle name="백분율 6 4 5 2 2 2 2" xfId="28886"/>
    <cellStyle name="백분율 6 4 5 2 2 2 2 2" xfId="28887"/>
    <cellStyle name="백분율 6 4 5 2 2 2 2 3" xfId="28888"/>
    <cellStyle name="백분율 6 4 5 2 2 2 3" xfId="28889"/>
    <cellStyle name="백분율 6 4 5 2 2 2 4" xfId="28890"/>
    <cellStyle name="백분율 6 4 5 2 2 3" xfId="28891"/>
    <cellStyle name="백분율 6 4 5 2 2 3 2" xfId="28892"/>
    <cellStyle name="백분율 6 4 5 2 2 3 3" xfId="28893"/>
    <cellStyle name="백분율 6 4 5 2 2 4" xfId="28894"/>
    <cellStyle name="백분율 6 4 5 2 2 5" xfId="28895"/>
    <cellStyle name="백분율 6 4 5 2 3" xfId="28896"/>
    <cellStyle name="백분율 6 4 5 2 3 2" xfId="28897"/>
    <cellStyle name="백분율 6 4 5 2 3 2 2" xfId="28898"/>
    <cellStyle name="백분율 6 4 5 2 3 2 2 2" xfId="28899"/>
    <cellStyle name="백분율 6 4 5 2 3 2 2 3" xfId="28900"/>
    <cellStyle name="백분율 6 4 5 2 3 2 3" xfId="28901"/>
    <cellStyle name="백분율 6 4 5 2 3 2 4" xfId="28902"/>
    <cellStyle name="백분율 6 4 5 2 3 3" xfId="28903"/>
    <cellStyle name="백분율 6 4 5 2 3 3 2" xfId="28904"/>
    <cellStyle name="백분율 6 4 5 2 3 3 3" xfId="28905"/>
    <cellStyle name="백분율 6 4 5 2 3 4" xfId="28906"/>
    <cellStyle name="백분율 6 4 5 2 3 5" xfId="28907"/>
    <cellStyle name="백분율 6 4 5 2 4" xfId="28908"/>
    <cellStyle name="백분율 6 4 5 2 4 2" xfId="28909"/>
    <cellStyle name="백분율 6 4 5 2 4 2 2" xfId="28910"/>
    <cellStyle name="백분율 6 4 5 2 4 2 3" xfId="28911"/>
    <cellStyle name="백분율 6 4 5 2 4 3" xfId="28912"/>
    <cellStyle name="백분율 6 4 5 2 4 4" xfId="28913"/>
    <cellStyle name="백분율 6 4 5 2 5" xfId="28914"/>
    <cellStyle name="백분율 6 4 5 2 5 2" xfId="28915"/>
    <cellStyle name="백분율 6 4 5 2 5 3" xfId="28916"/>
    <cellStyle name="백분율 6 4 5 2 6" xfId="28917"/>
    <cellStyle name="백분율 6 4 5 2 7" xfId="28918"/>
    <cellStyle name="백분율 6 4 5 3" xfId="28919"/>
    <cellStyle name="백분율 6 4 5 3 2" xfId="28920"/>
    <cellStyle name="백분율 6 4 5 3 2 2" xfId="28921"/>
    <cellStyle name="백분율 6 4 5 3 2 2 2" xfId="28922"/>
    <cellStyle name="백분율 6 4 5 3 2 2 2 2" xfId="28923"/>
    <cellStyle name="백분율 6 4 5 3 2 2 2 3" xfId="28924"/>
    <cellStyle name="백분율 6 4 5 3 2 2 3" xfId="28925"/>
    <cellStyle name="백분율 6 4 5 3 2 2 4" xfId="28926"/>
    <cellStyle name="백분율 6 4 5 3 2 3" xfId="28927"/>
    <cellStyle name="백분율 6 4 5 3 2 3 2" xfId="28928"/>
    <cellStyle name="백분율 6 4 5 3 2 3 3" xfId="28929"/>
    <cellStyle name="백분율 6 4 5 3 2 4" xfId="28930"/>
    <cellStyle name="백분율 6 4 5 3 2 5" xfId="28931"/>
    <cellStyle name="백분율 6 4 5 3 3" xfId="28932"/>
    <cellStyle name="백분율 6 4 5 3 3 2" xfId="28933"/>
    <cellStyle name="백분율 6 4 5 3 3 2 2" xfId="28934"/>
    <cellStyle name="백분율 6 4 5 3 3 2 2 2" xfId="28935"/>
    <cellStyle name="백분율 6 4 5 3 3 2 2 3" xfId="28936"/>
    <cellStyle name="백분율 6 4 5 3 3 2 3" xfId="28937"/>
    <cellStyle name="백분율 6 4 5 3 3 2 4" xfId="28938"/>
    <cellStyle name="백분율 6 4 5 3 3 3" xfId="28939"/>
    <cellStyle name="백분율 6 4 5 3 3 3 2" xfId="28940"/>
    <cellStyle name="백분율 6 4 5 3 3 3 3" xfId="28941"/>
    <cellStyle name="백분율 6 4 5 3 3 4" xfId="28942"/>
    <cellStyle name="백분율 6 4 5 3 3 5" xfId="28943"/>
    <cellStyle name="백분율 6 4 5 3 4" xfId="28944"/>
    <cellStyle name="백분율 6 4 5 3 4 2" xfId="28945"/>
    <cellStyle name="백분율 6 4 5 3 4 2 2" xfId="28946"/>
    <cellStyle name="백분율 6 4 5 3 4 2 3" xfId="28947"/>
    <cellStyle name="백분율 6 4 5 3 4 3" xfId="28948"/>
    <cellStyle name="백분율 6 4 5 3 4 4" xfId="28949"/>
    <cellStyle name="백분율 6 4 5 3 5" xfId="28950"/>
    <cellStyle name="백분율 6 4 5 3 5 2" xfId="28951"/>
    <cellStyle name="백분율 6 4 5 3 5 3" xfId="28952"/>
    <cellStyle name="백분율 6 4 5 3 6" xfId="28953"/>
    <cellStyle name="백분율 6 4 5 3 7" xfId="28954"/>
    <cellStyle name="백분율 6 4 5 4" xfId="28955"/>
    <cellStyle name="백분율 6 4 5 4 2" xfId="28956"/>
    <cellStyle name="백분율 6 4 5 4 2 2" xfId="28957"/>
    <cellStyle name="백분율 6 4 5 4 2 2 2" xfId="28958"/>
    <cellStyle name="백분율 6 4 5 4 2 2 3" xfId="28959"/>
    <cellStyle name="백분율 6 4 5 4 2 3" xfId="28960"/>
    <cellStyle name="백분율 6 4 5 4 2 4" xfId="28961"/>
    <cellStyle name="백분율 6 4 5 4 3" xfId="28962"/>
    <cellStyle name="백분율 6 4 5 4 3 2" xfId="28963"/>
    <cellStyle name="백분율 6 4 5 4 3 3" xfId="28964"/>
    <cellStyle name="백분율 6 4 5 4 4" xfId="28965"/>
    <cellStyle name="백분율 6 4 5 4 5" xfId="28966"/>
    <cellStyle name="백분율 6 4 5 5" xfId="28967"/>
    <cellStyle name="백분율 6 4 5 5 2" xfId="28968"/>
    <cellStyle name="백분율 6 4 5 5 2 2" xfId="28969"/>
    <cellStyle name="백분율 6 4 5 5 2 2 2" xfId="28970"/>
    <cellStyle name="백분율 6 4 5 5 2 2 3" xfId="28971"/>
    <cellStyle name="백분율 6 4 5 5 2 3" xfId="28972"/>
    <cellStyle name="백분율 6 4 5 5 2 4" xfId="28973"/>
    <cellStyle name="백분율 6 4 5 5 3" xfId="28974"/>
    <cellStyle name="백분율 6 4 5 5 3 2" xfId="28975"/>
    <cellStyle name="백분율 6 4 5 5 3 3" xfId="28976"/>
    <cellStyle name="백분율 6 4 5 5 4" xfId="28977"/>
    <cellStyle name="백분율 6 4 5 5 5" xfId="28978"/>
    <cellStyle name="백분율 6 4 5 6" xfId="28979"/>
    <cellStyle name="백분율 6 4 5 6 2" xfId="28980"/>
    <cellStyle name="백분율 6 4 5 6 2 2" xfId="28981"/>
    <cellStyle name="백분율 6 4 5 6 2 2 2" xfId="28982"/>
    <cellStyle name="백분율 6 4 5 6 2 2 3" xfId="28983"/>
    <cellStyle name="백분율 6 4 5 6 2 3" xfId="28984"/>
    <cellStyle name="백분율 6 4 5 6 2 4" xfId="28985"/>
    <cellStyle name="백분율 6 4 5 6 3" xfId="28986"/>
    <cellStyle name="백분율 6 4 5 6 3 2" xfId="28987"/>
    <cellStyle name="백분율 6 4 5 6 3 3" xfId="28988"/>
    <cellStyle name="백분율 6 4 5 6 4" xfId="28989"/>
    <cellStyle name="백분율 6 4 5 6 5" xfId="28990"/>
    <cellStyle name="백분율 6 4 5 7" xfId="28991"/>
    <cellStyle name="백분율 6 4 5 7 2" xfId="28992"/>
    <cellStyle name="백분율 6 4 5 7 2 2" xfId="28993"/>
    <cellStyle name="백분율 6 4 5 7 2 3" xfId="28994"/>
    <cellStyle name="백분율 6 4 5 7 3" xfId="28995"/>
    <cellStyle name="백분율 6 4 5 7 4" xfId="28996"/>
    <cellStyle name="백분율 6 4 5 8" xfId="28997"/>
    <cellStyle name="백분율 6 4 5 8 2" xfId="28998"/>
    <cellStyle name="백분율 6 4 5 8 3" xfId="28999"/>
    <cellStyle name="백분율 6 4 5 9" xfId="29000"/>
    <cellStyle name="백분율 6 4 6" xfId="29001"/>
    <cellStyle name="백분율 6 4 6 2" xfId="29002"/>
    <cellStyle name="백분율 6 4 6 2 2" xfId="29003"/>
    <cellStyle name="백분율 6 4 6 2 2 2" xfId="29004"/>
    <cellStyle name="백분율 6 4 6 2 2 2 2" xfId="29005"/>
    <cellStyle name="백분율 6 4 6 2 2 2 3" xfId="29006"/>
    <cellStyle name="백분율 6 4 6 2 2 3" xfId="29007"/>
    <cellStyle name="백분율 6 4 6 2 2 4" xfId="29008"/>
    <cellStyle name="백분율 6 4 6 2 3" xfId="29009"/>
    <cellStyle name="백분율 6 4 6 2 3 2" xfId="29010"/>
    <cellStyle name="백분율 6 4 6 2 3 3" xfId="29011"/>
    <cellStyle name="백분율 6 4 6 2 4" xfId="29012"/>
    <cellStyle name="백분율 6 4 6 2 5" xfId="29013"/>
    <cellStyle name="백분율 6 4 6 3" xfId="29014"/>
    <cellStyle name="백분율 6 4 6 3 2" xfId="29015"/>
    <cellStyle name="백분율 6 4 6 3 2 2" xfId="29016"/>
    <cellStyle name="백분율 6 4 6 3 2 2 2" xfId="29017"/>
    <cellStyle name="백분율 6 4 6 3 2 2 3" xfId="29018"/>
    <cellStyle name="백분율 6 4 6 3 2 3" xfId="29019"/>
    <cellStyle name="백분율 6 4 6 3 2 4" xfId="29020"/>
    <cellStyle name="백분율 6 4 6 3 3" xfId="29021"/>
    <cellStyle name="백분율 6 4 6 3 3 2" xfId="29022"/>
    <cellStyle name="백분율 6 4 6 3 3 3" xfId="29023"/>
    <cellStyle name="백분율 6 4 6 3 4" xfId="29024"/>
    <cellStyle name="백분율 6 4 6 3 5" xfId="29025"/>
    <cellStyle name="백분율 6 4 6 4" xfId="29026"/>
    <cellStyle name="백분율 6 4 6 4 2" xfId="29027"/>
    <cellStyle name="백분율 6 4 6 4 2 2" xfId="29028"/>
    <cellStyle name="백분율 6 4 6 4 2 3" xfId="29029"/>
    <cellStyle name="백분율 6 4 6 4 3" xfId="29030"/>
    <cellStyle name="백분율 6 4 6 4 4" xfId="29031"/>
    <cellStyle name="백분율 6 4 6 5" xfId="29032"/>
    <cellStyle name="백분율 6 4 6 5 2" xfId="29033"/>
    <cellStyle name="백분율 6 4 6 5 3" xfId="29034"/>
    <cellStyle name="백분율 6 4 6 6" xfId="29035"/>
    <cellStyle name="백분율 6 4 6 7" xfId="29036"/>
    <cellStyle name="백분율 6 4 7" xfId="29037"/>
    <cellStyle name="백분율 6 4 7 2" xfId="29038"/>
    <cellStyle name="백분율 6 4 7 2 2" xfId="29039"/>
    <cellStyle name="백분율 6 4 7 2 2 2" xfId="29040"/>
    <cellStyle name="백분율 6 4 7 2 2 2 2" xfId="29041"/>
    <cellStyle name="백분율 6 4 7 2 2 2 3" xfId="29042"/>
    <cellStyle name="백분율 6 4 7 2 2 3" xfId="29043"/>
    <cellStyle name="백분율 6 4 7 2 2 4" xfId="29044"/>
    <cellStyle name="백분율 6 4 7 2 3" xfId="29045"/>
    <cellStyle name="백분율 6 4 7 2 3 2" xfId="29046"/>
    <cellStyle name="백분율 6 4 7 2 3 3" xfId="29047"/>
    <cellStyle name="백분율 6 4 7 2 4" xfId="29048"/>
    <cellStyle name="백분율 6 4 7 2 5" xfId="29049"/>
    <cellStyle name="백분율 6 4 7 3" xfId="29050"/>
    <cellStyle name="백분율 6 4 7 3 2" xfId="29051"/>
    <cellStyle name="백분율 6 4 7 3 2 2" xfId="29052"/>
    <cellStyle name="백분율 6 4 7 3 2 2 2" xfId="29053"/>
    <cellStyle name="백분율 6 4 7 3 2 2 3" xfId="29054"/>
    <cellStyle name="백분율 6 4 7 3 2 3" xfId="29055"/>
    <cellStyle name="백분율 6 4 7 3 2 4" xfId="29056"/>
    <cellStyle name="백분율 6 4 7 3 3" xfId="29057"/>
    <cellStyle name="백분율 6 4 7 3 3 2" xfId="29058"/>
    <cellStyle name="백분율 6 4 7 3 3 3" xfId="29059"/>
    <cellStyle name="백분율 6 4 7 3 4" xfId="29060"/>
    <cellStyle name="백분율 6 4 7 3 5" xfId="29061"/>
    <cellStyle name="백분율 6 4 7 4" xfId="29062"/>
    <cellStyle name="백분율 6 4 7 4 2" xfId="29063"/>
    <cellStyle name="백분율 6 4 7 4 2 2" xfId="29064"/>
    <cellStyle name="백분율 6 4 7 4 2 3" xfId="29065"/>
    <cellStyle name="백분율 6 4 7 4 3" xfId="29066"/>
    <cellStyle name="백분율 6 4 7 4 4" xfId="29067"/>
    <cellStyle name="백분율 6 4 7 5" xfId="29068"/>
    <cellStyle name="백분율 6 4 7 5 2" xfId="29069"/>
    <cellStyle name="백분율 6 4 7 5 3" xfId="29070"/>
    <cellStyle name="백분율 6 4 7 6" xfId="29071"/>
    <cellStyle name="백분율 6 4 7 7" xfId="29072"/>
    <cellStyle name="백분율 6 4 8" xfId="29073"/>
    <cellStyle name="백분율 6 4 8 2" xfId="29074"/>
    <cellStyle name="백분율 6 4 8 2 2" xfId="29075"/>
    <cellStyle name="백분율 6 4 8 2 2 2" xfId="29076"/>
    <cellStyle name="백분율 6 4 8 2 2 3" xfId="29077"/>
    <cellStyle name="백분율 6 4 8 2 3" xfId="29078"/>
    <cellStyle name="백분율 6 4 8 2 4" xfId="29079"/>
    <cellStyle name="백분율 6 4 8 3" xfId="29080"/>
    <cellStyle name="백분율 6 4 8 3 2" xfId="29081"/>
    <cellStyle name="백분율 6 4 8 3 3" xfId="29082"/>
    <cellStyle name="백분율 6 4 8 4" xfId="29083"/>
    <cellStyle name="백분율 6 4 8 5" xfId="29084"/>
    <cellStyle name="백분율 6 4 9" xfId="29085"/>
    <cellStyle name="백분율 6 4 9 2" xfId="29086"/>
    <cellStyle name="백분율 6 4 9 2 2" xfId="29087"/>
    <cellStyle name="백분율 6 4 9 2 2 2" xfId="29088"/>
    <cellStyle name="백분율 6 4 9 2 2 3" xfId="29089"/>
    <cellStyle name="백분율 6 4 9 2 3" xfId="29090"/>
    <cellStyle name="백분율 6 4 9 2 4" xfId="29091"/>
    <cellStyle name="백분율 6 4 9 3" xfId="29092"/>
    <cellStyle name="백분율 6 4 9 3 2" xfId="29093"/>
    <cellStyle name="백분율 6 4 9 3 3" xfId="29094"/>
    <cellStyle name="백분율 6 4 9 4" xfId="29095"/>
    <cellStyle name="백분율 6 4 9 5" xfId="29096"/>
    <cellStyle name="백분율 6 5" xfId="29097"/>
    <cellStyle name="백분율 6 5 10" xfId="29098"/>
    <cellStyle name="백분율 6 5 10 2" xfId="29099"/>
    <cellStyle name="백분율 6 5 10 2 2" xfId="29100"/>
    <cellStyle name="백분율 6 5 10 2 3" xfId="29101"/>
    <cellStyle name="백분율 6 5 10 3" xfId="29102"/>
    <cellStyle name="백분율 6 5 10 4" xfId="29103"/>
    <cellStyle name="백분율 6 5 11" xfId="29104"/>
    <cellStyle name="백분율 6 5 11 2" xfId="29105"/>
    <cellStyle name="백분율 6 5 11 3" xfId="29106"/>
    <cellStyle name="백분율 6 5 12" xfId="29107"/>
    <cellStyle name="백분율 6 5 13" xfId="29108"/>
    <cellStyle name="백분율 6 5 2" xfId="29109"/>
    <cellStyle name="백분율 6 5 2 10" xfId="29110"/>
    <cellStyle name="백분율 6 5 2 2" xfId="29111"/>
    <cellStyle name="백분율 6 5 2 2 2" xfId="29112"/>
    <cellStyle name="백분율 6 5 2 2 2 2" xfId="29113"/>
    <cellStyle name="백분율 6 5 2 2 2 2 2" xfId="29114"/>
    <cellStyle name="백분율 6 5 2 2 2 2 2 2" xfId="29115"/>
    <cellStyle name="백분율 6 5 2 2 2 2 2 3" xfId="29116"/>
    <cellStyle name="백분율 6 5 2 2 2 2 3" xfId="29117"/>
    <cellStyle name="백분율 6 5 2 2 2 2 4" xfId="29118"/>
    <cellStyle name="백분율 6 5 2 2 2 3" xfId="29119"/>
    <cellStyle name="백분율 6 5 2 2 2 3 2" xfId="29120"/>
    <cellStyle name="백분율 6 5 2 2 2 3 3" xfId="29121"/>
    <cellStyle name="백분율 6 5 2 2 2 4" xfId="29122"/>
    <cellStyle name="백분율 6 5 2 2 2 5" xfId="29123"/>
    <cellStyle name="백분율 6 5 2 2 3" xfId="29124"/>
    <cellStyle name="백분율 6 5 2 2 3 2" xfId="29125"/>
    <cellStyle name="백분율 6 5 2 2 3 2 2" xfId="29126"/>
    <cellStyle name="백분율 6 5 2 2 3 2 2 2" xfId="29127"/>
    <cellStyle name="백분율 6 5 2 2 3 2 2 3" xfId="29128"/>
    <cellStyle name="백분율 6 5 2 2 3 2 3" xfId="29129"/>
    <cellStyle name="백분율 6 5 2 2 3 2 4" xfId="29130"/>
    <cellStyle name="백분율 6 5 2 2 3 3" xfId="29131"/>
    <cellStyle name="백분율 6 5 2 2 3 3 2" xfId="29132"/>
    <cellStyle name="백분율 6 5 2 2 3 3 3" xfId="29133"/>
    <cellStyle name="백분율 6 5 2 2 3 4" xfId="29134"/>
    <cellStyle name="백분율 6 5 2 2 3 5" xfId="29135"/>
    <cellStyle name="백분율 6 5 2 2 4" xfId="29136"/>
    <cellStyle name="백분율 6 5 2 2 4 2" xfId="29137"/>
    <cellStyle name="백분율 6 5 2 2 4 2 2" xfId="29138"/>
    <cellStyle name="백분율 6 5 2 2 4 2 3" xfId="29139"/>
    <cellStyle name="백분율 6 5 2 2 4 3" xfId="29140"/>
    <cellStyle name="백분율 6 5 2 2 4 4" xfId="29141"/>
    <cellStyle name="백분율 6 5 2 2 5" xfId="29142"/>
    <cellStyle name="백분율 6 5 2 2 5 2" xfId="29143"/>
    <cellStyle name="백분율 6 5 2 2 5 3" xfId="29144"/>
    <cellStyle name="백분율 6 5 2 2 6" xfId="29145"/>
    <cellStyle name="백분율 6 5 2 2 7" xfId="29146"/>
    <cellStyle name="백분율 6 5 2 3" xfId="29147"/>
    <cellStyle name="백분율 6 5 2 3 2" xfId="29148"/>
    <cellStyle name="백분율 6 5 2 3 2 2" xfId="29149"/>
    <cellStyle name="백분율 6 5 2 3 2 2 2" xfId="29150"/>
    <cellStyle name="백분율 6 5 2 3 2 2 2 2" xfId="29151"/>
    <cellStyle name="백분율 6 5 2 3 2 2 2 3" xfId="29152"/>
    <cellStyle name="백분율 6 5 2 3 2 2 3" xfId="29153"/>
    <cellStyle name="백분율 6 5 2 3 2 2 4" xfId="29154"/>
    <cellStyle name="백분율 6 5 2 3 2 3" xfId="29155"/>
    <cellStyle name="백분율 6 5 2 3 2 3 2" xfId="29156"/>
    <cellStyle name="백분율 6 5 2 3 2 3 3" xfId="29157"/>
    <cellStyle name="백분율 6 5 2 3 2 4" xfId="29158"/>
    <cellStyle name="백분율 6 5 2 3 2 5" xfId="29159"/>
    <cellStyle name="백분율 6 5 2 3 3" xfId="29160"/>
    <cellStyle name="백분율 6 5 2 3 3 2" xfId="29161"/>
    <cellStyle name="백분율 6 5 2 3 3 2 2" xfId="29162"/>
    <cellStyle name="백분율 6 5 2 3 3 2 2 2" xfId="29163"/>
    <cellStyle name="백분율 6 5 2 3 3 2 2 3" xfId="29164"/>
    <cellStyle name="백분율 6 5 2 3 3 2 3" xfId="29165"/>
    <cellStyle name="백분율 6 5 2 3 3 2 4" xfId="29166"/>
    <cellStyle name="백분율 6 5 2 3 3 3" xfId="29167"/>
    <cellStyle name="백분율 6 5 2 3 3 3 2" xfId="29168"/>
    <cellStyle name="백분율 6 5 2 3 3 3 3" xfId="29169"/>
    <cellStyle name="백분율 6 5 2 3 3 4" xfId="29170"/>
    <cellStyle name="백분율 6 5 2 3 3 5" xfId="29171"/>
    <cellStyle name="백분율 6 5 2 3 4" xfId="29172"/>
    <cellStyle name="백분율 6 5 2 3 4 2" xfId="29173"/>
    <cellStyle name="백분율 6 5 2 3 4 2 2" xfId="29174"/>
    <cellStyle name="백분율 6 5 2 3 4 2 3" xfId="29175"/>
    <cellStyle name="백분율 6 5 2 3 4 3" xfId="29176"/>
    <cellStyle name="백분율 6 5 2 3 4 4" xfId="29177"/>
    <cellStyle name="백분율 6 5 2 3 5" xfId="29178"/>
    <cellStyle name="백분율 6 5 2 3 5 2" xfId="29179"/>
    <cellStyle name="백분율 6 5 2 3 5 3" xfId="29180"/>
    <cellStyle name="백분율 6 5 2 3 6" xfId="29181"/>
    <cellStyle name="백분율 6 5 2 3 7" xfId="29182"/>
    <cellStyle name="백분율 6 5 2 4" xfId="29183"/>
    <cellStyle name="백분율 6 5 2 4 2" xfId="29184"/>
    <cellStyle name="백분율 6 5 2 4 2 2" xfId="29185"/>
    <cellStyle name="백분율 6 5 2 4 2 2 2" xfId="29186"/>
    <cellStyle name="백분율 6 5 2 4 2 2 3" xfId="29187"/>
    <cellStyle name="백분율 6 5 2 4 2 3" xfId="29188"/>
    <cellStyle name="백분율 6 5 2 4 2 4" xfId="29189"/>
    <cellStyle name="백분율 6 5 2 4 3" xfId="29190"/>
    <cellStyle name="백분율 6 5 2 4 3 2" xfId="29191"/>
    <cellStyle name="백분율 6 5 2 4 3 3" xfId="29192"/>
    <cellStyle name="백분율 6 5 2 4 4" xfId="29193"/>
    <cellStyle name="백분율 6 5 2 4 5" xfId="29194"/>
    <cellStyle name="백분율 6 5 2 5" xfId="29195"/>
    <cellStyle name="백분율 6 5 2 5 2" xfId="29196"/>
    <cellStyle name="백분율 6 5 2 5 2 2" xfId="29197"/>
    <cellStyle name="백분율 6 5 2 5 2 2 2" xfId="29198"/>
    <cellStyle name="백분율 6 5 2 5 2 2 3" xfId="29199"/>
    <cellStyle name="백분율 6 5 2 5 2 3" xfId="29200"/>
    <cellStyle name="백분율 6 5 2 5 2 4" xfId="29201"/>
    <cellStyle name="백분율 6 5 2 5 3" xfId="29202"/>
    <cellStyle name="백분율 6 5 2 5 3 2" xfId="29203"/>
    <cellStyle name="백분율 6 5 2 5 3 3" xfId="29204"/>
    <cellStyle name="백분율 6 5 2 5 4" xfId="29205"/>
    <cellStyle name="백분율 6 5 2 5 5" xfId="29206"/>
    <cellStyle name="백분율 6 5 2 6" xfId="29207"/>
    <cellStyle name="백분율 6 5 2 6 2" xfId="29208"/>
    <cellStyle name="백분율 6 5 2 6 2 2" xfId="29209"/>
    <cellStyle name="백분율 6 5 2 6 2 2 2" xfId="29210"/>
    <cellStyle name="백분율 6 5 2 6 2 2 3" xfId="29211"/>
    <cellStyle name="백분율 6 5 2 6 2 3" xfId="29212"/>
    <cellStyle name="백분율 6 5 2 6 2 4" xfId="29213"/>
    <cellStyle name="백분율 6 5 2 6 3" xfId="29214"/>
    <cellStyle name="백분율 6 5 2 6 3 2" xfId="29215"/>
    <cellStyle name="백분율 6 5 2 6 3 3" xfId="29216"/>
    <cellStyle name="백분율 6 5 2 6 4" xfId="29217"/>
    <cellStyle name="백분율 6 5 2 6 5" xfId="29218"/>
    <cellStyle name="백분율 6 5 2 7" xfId="29219"/>
    <cellStyle name="백분율 6 5 2 7 2" xfId="29220"/>
    <cellStyle name="백분율 6 5 2 7 2 2" xfId="29221"/>
    <cellStyle name="백분율 6 5 2 7 2 3" xfId="29222"/>
    <cellStyle name="백분율 6 5 2 7 3" xfId="29223"/>
    <cellStyle name="백분율 6 5 2 7 4" xfId="29224"/>
    <cellStyle name="백분율 6 5 2 8" xfId="29225"/>
    <cellStyle name="백분율 6 5 2 8 2" xfId="29226"/>
    <cellStyle name="백분율 6 5 2 8 3" xfId="29227"/>
    <cellStyle name="백분율 6 5 2 9" xfId="29228"/>
    <cellStyle name="백분율 6 5 3" xfId="29229"/>
    <cellStyle name="백분율 6 5 3 10" xfId="29230"/>
    <cellStyle name="백분율 6 5 3 2" xfId="29231"/>
    <cellStyle name="백분율 6 5 3 2 2" xfId="29232"/>
    <cellStyle name="백분율 6 5 3 2 2 2" xfId="29233"/>
    <cellStyle name="백분율 6 5 3 2 2 2 2" xfId="29234"/>
    <cellStyle name="백분율 6 5 3 2 2 2 2 2" xfId="29235"/>
    <cellStyle name="백분율 6 5 3 2 2 2 2 3" xfId="29236"/>
    <cellStyle name="백분율 6 5 3 2 2 2 3" xfId="29237"/>
    <cellStyle name="백분율 6 5 3 2 2 2 4" xfId="29238"/>
    <cellStyle name="백분율 6 5 3 2 2 3" xfId="29239"/>
    <cellStyle name="백분율 6 5 3 2 2 3 2" xfId="29240"/>
    <cellStyle name="백분율 6 5 3 2 2 3 3" xfId="29241"/>
    <cellStyle name="백분율 6 5 3 2 2 4" xfId="29242"/>
    <cellStyle name="백분율 6 5 3 2 2 5" xfId="29243"/>
    <cellStyle name="백분율 6 5 3 2 3" xfId="29244"/>
    <cellStyle name="백분율 6 5 3 2 3 2" xfId="29245"/>
    <cellStyle name="백분율 6 5 3 2 3 2 2" xfId="29246"/>
    <cellStyle name="백분율 6 5 3 2 3 2 2 2" xfId="29247"/>
    <cellStyle name="백분율 6 5 3 2 3 2 2 3" xfId="29248"/>
    <cellStyle name="백분율 6 5 3 2 3 2 3" xfId="29249"/>
    <cellStyle name="백분율 6 5 3 2 3 2 4" xfId="29250"/>
    <cellStyle name="백분율 6 5 3 2 3 3" xfId="29251"/>
    <cellStyle name="백분율 6 5 3 2 3 3 2" xfId="29252"/>
    <cellStyle name="백분율 6 5 3 2 3 3 3" xfId="29253"/>
    <cellStyle name="백분율 6 5 3 2 3 4" xfId="29254"/>
    <cellStyle name="백분율 6 5 3 2 3 5" xfId="29255"/>
    <cellStyle name="백분율 6 5 3 2 4" xfId="29256"/>
    <cellStyle name="백분율 6 5 3 2 4 2" xfId="29257"/>
    <cellStyle name="백분율 6 5 3 2 4 2 2" xfId="29258"/>
    <cellStyle name="백분율 6 5 3 2 4 2 3" xfId="29259"/>
    <cellStyle name="백분율 6 5 3 2 4 3" xfId="29260"/>
    <cellStyle name="백분율 6 5 3 2 4 4" xfId="29261"/>
    <cellStyle name="백분율 6 5 3 2 5" xfId="29262"/>
    <cellStyle name="백분율 6 5 3 2 5 2" xfId="29263"/>
    <cellStyle name="백분율 6 5 3 2 5 3" xfId="29264"/>
    <cellStyle name="백분율 6 5 3 2 6" xfId="29265"/>
    <cellStyle name="백분율 6 5 3 2 7" xfId="29266"/>
    <cellStyle name="백분율 6 5 3 3" xfId="29267"/>
    <cellStyle name="백분율 6 5 3 3 2" xfId="29268"/>
    <cellStyle name="백분율 6 5 3 3 2 2" xfId="29269"/>
    <cellStyle name="백분율 6 5 3 3 2 2 2" xfId="29270"/>
    <cellStyle name="백분율 6 5 3 3 2 2 2 2" xfId="29271"/>
    <cellStyle name="백분율 6 5 3 3 2 2 2 3" xfId="29272"/>
    <cellStyle name="백분율 6 5 3 3 2 2 3" xfId="29273"/>
    <cellStyle name="백분율 6 5 3 3 2 2 4" xfId="29274"/>
    <cellStyle name="백분율 6 5 3 3 2 3" xfId="29275"/>
    <cellStyle name="백분율 6 5 3 3 2 3 2" xfId="29276"/>
    <cellStyle name="백분율 6 5 3 3 2 3 3" xfId="29277"/>
    <cellStyle name="백분율 6 5 3 3 2 4" xfId="29278"/>
    <cellStyle name="백분율 6 5 3 3 2 5" xfId="29279"/>
    <cellStyle name="백분율 6 5 3 3 3" xfId="29280"/>
    <cellStyle name="백분율 6 5 3 3 3 2" xfId="29281"/>
    <cellStyle name="백분율 6 5 3 3 3 2 2" xfId="29282"/>
    <cellStyle name="백분율 6 5 3 3 3 2 2 2" xfId="29283"/>
    <cellStyle name="백분율 6 5 3 3 3 2 2 3" xfId="29284"/>
    <cellStyle name="백분율 6 5 3 3 3 2 3" xfId="29285"/>
    <cellStyle name="백분율 6 5 3 3 3 2 4" xfId="29286"/>
    <cellStyle name="백분율 6 5 3 3 3 3" xfId="29287"/>
    <cellStyle name="백분율 6 5 3 3 3 3 2" xfId="29288"/>
    <cellStyle name="백분율 6 5 3 3 3 3 3" xfId="29289"/>
    <cellStyle name="백분율 6 5 3 3 3 4" xfId="29290"/>
    <cellStyle name="백분율 6 5 3 3 3 5" xfId="29291"/>
    <cellStyle name="백분율 6 5 3 3 4" xfId="29292"/>
    <cellStyle name="백분율 6 5 3 3 4 2" xfId="29293"/>
    <cellStyle name="백분율 6 5 3 3 4 2 2" xfId="29294"/>
    <cellStyle name="백분율 6 5 3 3 4 2 3" xfId="29295"/>
    <cellStyle name="백분율 6 5 3 3 4 3" xfId="29296"/>
    <cellStyle name="백분율 6 5 3 3 4 4" xfId="29297"/>
    <cellStyle name="백분율 6 5 3 3 5" xfId="29298"/>
    <cellStyle name="백분율 6 5 3 3 5 2" xfId="29299"/>
    <cellStyle name="백분율 6 5 3 3 5 3" xfId="29300"/>
    <cellStyle name="백분율 6 5 3 3 6" xfId="29301"/>
    <cellStyle name="백분율 6 5 3 3 7" xfId="29302"/>
    <cellStyle name="백분율 6 5 3 4" xfId="29303"/>
    <cellStyle name="백분율 6 5 3 4 2" xfId="29304"/>
    <cellStyle name="백분율 6 5 3 4 2 2" xfId="29305"/>
    <cellStyle name="백분율 6 5 3 4 2 2 2" xfId="29306"/>
    <cellStyle name="백분율 6 5 3 4 2 2 3" xfId="29307"/>
    <cellStyle name="백분율 6 5 3 4 2 3" xfId="29308"/>
    <cellStyle name="백분율 6 5 3 4 2 4" xfId="29309"/>
    <cellStyle name="백분율 6 5 3 4 3" xfId="29310"/>
    <cellStyle name="백분율 6 5 3 4 3 2" xfId="29311"/>
    <cellStyle name="백분율 6 5 3 4 3 3" xfId="29312"/>
    <cellStyle name="백분율 6 5 3 4 4" xfId="29313"/>
    <cellStyle name="백분율 6 5 3 4 5" xfId="29314"/>
    <cellStyle name="백분율 6 5 3 5" xfId="29315"/>
    <cellStyle name="백분율 6 5 3 5 2" xfId="29316"/>
    <cellStyle name="백분율 6 5 3 5 2 2" xfId="29317"/>
    <cellStyle name="백분율 6 5 3 5 2 2 2" xfId="29318"/>
    <cellStyle name="백분율 6 5 3 5 2 2 3" xfId="29319"/>
    <cellStyle name="백분율 6 5 3 5 2 3" xfId="29320"/>
    <cellStyle name="백분율 6 5 3 5 2 4" xfId="29321"/>
    <cellStyle name="백분율 6 5 3 5 3" xfId="29322"/>
    <cellStyle name="백분율 6 5 3 5 3 2" xfId="29323"/>
    <cellStyle name="백분율 6 5 3 5 3 3" xfId="29324"/>
    <cellStyle name="백분율 6 5 3 5 4" xfId="29325"/>
    <cellStyle name="백분율 6 5 3 5 5" xfId="29326"/>
    <cellStyle name="백분율 6 5 3 6" xfId="29327"/>
    <cellStyle name="백분율 6 5 3 6 2" xfId="29328"/>
    <cellStyle name="백분율 6 5 3 6 2 2" xfId="29329"/>
    <cellStyle name="백분율 6 5 3 6 2 2 2" xfId="29330"/>
    <cellStyle name="백분율 6 5 3 6 2 2 3" xfId="29331"/>
    <cellStyle name="백분율 6 5 3 6 2 3" xfId="29332"/>
    <cellStyle name="백분율 6 5 3 6 2 4" xfId="29333"/>
    <cellStyle name="백분율 6 5 3 6 3" xfId="29334"/>
    <cellStyle name="백분율 6 5 3 6 3 2" xfId="29335"/>
    <cellStyle name="백분율 6 5 3 6 3 3" xfId="29336"/>
    <cellStyle name="백분율 6 5 3 6 4" xfId="29337"/>
    <cellStyle name="백분율 6 5 3 6 5" xfId="29338"/>
    <cellStyle name="백분율 6 5 3 7" xfId="29339"/>
    <cellStyle name="백분율 6 5 3 7 2" xfId="29340"/>
    <cellStyle name="백분율 6 5 3 7 2 2" xfId="29341"/>
    <cellStyle name="백분율 6 5 3 7 2 3" xfId="29342"/>
    <cellStyle name="백분율 6 5 3 7 3" xfId="29343"/>
    <cellStyle name="백분율 6 5 3 7 4" xfId="29344"/>
    <cellStyle name="백분율 6 5 3 8" xfId="29345"/>
    <cellStyle name="백분율 6 5 3 8 2" xfId="29346"/>
    <cellStyle name="백분율 6 5 3 8 3" xfId="29347"/>
    <cellStyle name="백분율 6 5 3 9" xfId="29348"/>
    <cellStyle name="백분율 6 5 4" xfId="29349"/>
    <cellStyle name="백분율 6 5 4 10" xfId="29350"/>
    <cellStyle name="백분율 6 5 4 2" xfId="29351"/>
    <cellStyle name="백분율 6 5 4 2 2" xfId="29352"/>
    <cellStyle name="백분율 6 5 4 2 2 2" xfId="29353"/>
    <cellStyle name="백분율 6 5 4 2 2 2 2" xfId="29354"/>
    <cellStyle name="백분율 6 5 4 2 2 2 2 2" xfId="29355"/>
    <cellStyle name="백분율 6 5 4 2 2 2 2 3" xfId="29356"/>
    <cellStyle name="백분율 6 5 4 2 2 2 3" xfId="29357"/>
    <cellStyle name="백분율 6 5 4 2 2 2 4" xfId="29358"/>
    <cellStyle name="백분율 6 5 4 2 2 3" xfId="29359"/>
    <cellStyle name="백분율 6 5 4 2 2 3 2" xfId="29360"/>
    <cellStyle name="백분율 6 5 4 2 2 3 3" xfId="29361"/>
    <cellStyle name="백분율 6 5 4 2 2 4" xfId="29362"/>
    <cellStyle name="백분율 6 5 4 2 2 5" xfId="29363"/>
    <cellStyle name="백분율 6 5 4 2 3" xfId="29364"/>
    <cellStyle name="백분율 6 5 4 2 3 2" xfId="29365"/>
    <cellStyle name="백분율 6 5 4 2 3 2 2" xfId="29366"/>
    <cellStyle name="백분율 6 5 4 2 3 2 2 2" xfId="29367"/>
    <cellStyle name="백분율 6 5 4 2 3 2 2 3" xfId="29368"/>
    <cellStyle name="백분율 6 5 4 2 3 2 3" xfId="29369"/>
    <cellStyle name="백분율 6 5 4 2 3 2 4" xfId="29370"/>
    <cellStyle name="백분율 6 5 4 2 3 3" xfId="29371"/>
    <cellStyle name="백분율 6 5 4 2 3 3 2" xfId="29372"/>
    <cellStyle name="백분율 6 5 4 2 3 3 3" xfId="29373"/>
    <cellStyle name="백분율 6 5 4 2 3 4" xfId="29374"/>
    <cellStyle name="백분율 6 5 4 2 3 5" xfId="29375"/>
    <cellStyle name="백분율 6 5 4 2 4" xfId="29376"/>
    <cellStyle name="백분율 6 5 4 2 4 2" xfId="29377"/>
    <cellStyle name="백분율 6 5 4 2 4 2 2" xfId="29378"/>
    <cellStyle name="백분율 6 5 4 2 4 2 3" xfId="29379"/>
    <cellStyle name="백분율 6 5 4 2 4 3" xfId="29380"/>
    <cellStyle name="백분율 6 5 4 2 4 4" xfId="29381"/>
    <cellStyle name="백분율 6 5 4 2 5" xfId="29382"/>
    <cellStyle name="백분율 6 5 4 2 5 2" xfId="29383"/>
    <cellStyle name="백분율 6 5 4 2 5 3" xfId="29384"/>
    <cellStyle name="백분율 6 5 4 2 6" xfId="29385"/>
    <cellStyle name="백분율 6 5 4 2 7" xfId="29386"/>
    <cellStyle name="백분율 6 5 4 3" xfId="29387"/>
    <cellStyle name="백분율 6 5 4 3 2" xfId="29388"/>
    <cellStyle name="백분율 6 5 4 3 2 2" xfId="29389"/>
    <cellStyle name="백분율 6 5 4 3 2 2 2" xfId="29390"/>
    <cellStyle name="백분율 6 5 4 3 2 2 2 2" xfId="29391"/>
    <cellStyle name="백분율 6 5 4 3 2 2 2 3" xfId="29392"/>
    <cellStyle name="백분율 6 5 4 3 2 2 3" xfId="29393"/>
    <cellStyle name="백분율 6 5 4 3 2 2 4" xfId="29394"/>
    <cellStyle name="백분율 6 5 4 3 2 3" xfId="29395"/>
    <cellStyle name="백분율 6 5 4 3 2 3 2" xfId="29396"/>
    <cellStyle name="백분율 6 5 4 3 2 3 3" xfId="29397"/>
    <cellStyle name="백분율 6 5 4 3 2 4" xfId="29398"/>
    <cellStyle name="백분율 6 5 4 3 2 5" xfId="29399"/>
    <cellStyle name="백분율 6 5 4 3 3" xfId="29400"/>
    <cellStyle name="백분율 6 5 4 3 3 2" xfId="29401"/>
    <cellStyle name="백분율 6 5 4 3 3 2 2" xfId="29402"/>
    <cellStyle name="백분율 6 5 4 3 3 2 2 2" xfId="29403"/>
    <cellStyle name="백분율 6 5 4 3 3 2 2 3" xfId="29404"/>
    <cellStyle name="백분율 6 5 4 3 3 2 3" xfId="29405"/>
    <cellStyle name="백분율 6 5 4 3 3 2 4" xfId="29406"/>
    <cellStyle name="백분율 6 5 4 3 3 3" xfId="29407"/>
    <cellStyle name="백분율 6 5 4 3 3 3 2" xfId="29408"/>
    <cellStyle name="백분율 6 5 4 3 3 3 3" xfId="29409"/>
    <cellStyle name="백분율 6 5 4 3 3 4" xfId="29410"/>
    <cellStyle name="백분율 6 5 4 3 3 5" xfId="29411"/>
    <cellStyle name="백분율 6 5 4 3 4" xfId="29412"/>
    <cellStyle name="백분율 6 5 4 3 4 2" xfId="29413"/>
    <cellStyle name="백분율 6 5 4 3 4 2 2" xfId="29414"/>
    <cellStyle name="백분율 6 5 4 3 4 2 3" xfId="29415"/>
    <cellStyle name="백분율 6 5 4 3 4 3" xfId="29416"/>
    <cellStyle name="백분율 6 5 4 3 4 4" xfId="29417"/>
    <cellStyle name="백분율 6 5 4 3 5" xfId="29418"/>
    <cellStyle name="백분율 6 5 4 3 5 2" xfId="29419"/>
    <cellStyle name="백분율 6 5 4 3 5 3" xfId="29420"/>
    <cellStyle name="백분율 6 5 4 3 6" xfId="29421"/>
    <cellStyle name="백분율 6 5 4 3 7" xfId="29422"/>
    <cellStyle name="백분율 6 5 4 4" xfId="29423"/>
    <cellStyle name="백분율 6 5 4 4 2" xfId="29424"/>
    <cellStyle name="백분율 6 5 4 4 2 2" xfId="29425"/>
    <cellStyle name="백분율 6 5 4 4 2 2 2" xfId="29426"/>
    <cellStyle name="백분율 6 5 4 4 2 2 3" xfId="29427"/>
    <cellStyle name="백분율 6 5 4 4 2 3" xfId="29428"/>
    <cellStyle name="백분율 6 5 4 4 2 4" xfId="29429"/>
    <cellStyle name="백분율 6 5 4 4 3" xfId="29430"/>
    <cellStyle name="백분율 6 5 4 4 3 2" xfId="29431"/>
    <cellStyle name="백분율 6 5 4 4 3 3" xfId="29432"/>
    <cellStyle name="백분율 6 5 4 4 4" xfId="29433"/>
    <cellStyle name="백분율 6 5 4 4 5" xfId="29434"/>
    <cellStyle name="백분율 6 5 4 5" xfId="29435"/>
    <cellStyle name="백분율 6 5 4 5 2" xfId="29436"/>
    <cellStyle name="백분율 6 5 4 5 2 2" xfId="29437"/>
    <cellStyle name="백분율 6 5 4 5 2 2 2" xfId="29438"/>
    <cellStyle name="백분율 6 5 4 5 2 2 3" xfId="29439"/>
    <cellStyle name="백분율 6 5 4 5 2 3" xfId="29440"/>
    <cellStyle name="백분율 6 5 4 5 2 4" xfId="29441"/>
    <cellStyle name="백분율 6 5 4 5 3" xfId="29442"/>
    <cellStyle name="백분율 6 5 4 5 3 2" xfId="29443"/>
    <cellStyle name="백분율 6 5 4 5 3 3" xfId="29444"/>
    <cellStyle name="백분율 6 5 4 5 4" xfId="29445"/>
    <cellStyle name="백분율 6 5 4 5 5" xfId="29446"/>
    <cellStyle name="백분율 6 5 4 6" xfId="29447"/>
    <cellStyle name="백분율 6 5 4 6 2" xfId="29448"/>
    <cellStyle name="백분율 6 5 4 6 2 2" xfId="29449"/>
    <cellStyle name="백분율 6 5 4 6 2 2 2" xfId="29450"/>
    <cellStyle name="백분율 6 5 4 6 2 2 3" xfId="29451"/>
    <cellStyle name="백분율 6 5 4 6 2 3" xfId="29452"/>
    <cellStyle name="백분율 6 5 4 6 2 4" xfId="29453"/>
    <cellStyle name="백분율 6 5 4 6 3" xfId="29454"/>
    <cellStyle name="백분율 6 5 4 6 3 2" xfId="29455"/>
    <cellStyle name="백분율 6 5 4 6 3 3" xfId="29456"/>
    <cellStyle name="백분율 6 5 4 6 4" xfId="29457"/>
    <cellStyle name="백분율 6 5 4 6 5" xfId="29458"/>
    <cellStyle name="백분율 6 5 4 7" xfId="29459"/>
    <cellStyle name="백분율 6 5 4 7 2" xfId="29460"/>
    <cellStyle name="백분율 6 5 4 7 2 2" xfId="29461"/>
    <cellStyle name="백분율 6 5 4 7 2 3" xfId="29462"/>
    <cellStyle name="백분율 6 5 4 7 3" xfId="29463"/>
    <cellStyle name="백분율 6 5 4 7 4" xfId="29464"/>
    <cellStyle name="백분율 6 5 4 8" xfId="29465"/>
    <cellStyle name="백분율 6 5 4 8 2" xfId="29466"/>
    <cellStyle name="백분율 6 5 4 8 3" xfId="29467"/>
    <cellStyle name="백분율 6 5 4 9" xfId="29468"/>
    <cellStyle name="백분율 6 5 5" xfId="29469"/>
    <cellStyle name="백분율 6 5 5 2" xfId="29470"/>
    <cellStyle name="백분율 6 5 5 2 2" xfId="29471"/>
    <cellStyle name="백분율 6 5 5 2 2 2" xfId="29472"/>
    <cellStyle name="백분율 6 5 5 2 2 2 2" xfId="29473"/>
    <cellStyle name="백분율 6 5 5 2 2 2 3" xfId="29474"/>
    <cellStyle name="백분율 6 5 5 2 2 3" xfId="29475"/>
    <cellStyle name="백분율 6 5 5 2 2 4" xfId="29476"/>
    <cellStyle name="백분율 6 5 5 2 3" xfId="29477"/>
    <cellStyle name="백분율 6 5 5 2 3 2" xfId="29478"/>
    <cellStyle name="백분율 6 5 5 2 3 3" xfId="29479"/>
    <cellStyle name="백분율 6 5 5 2 4" xfId="29480"/>
    <cellStyle name="백분율 6 5 5 2 5" xfId="29481"/>
    <cellStyle name="백분율 6 5 5 3" xfId="29482"/>
    <cellStyle name="백분율 6 5 5 3 2" xfId="29483"/>
    <cellStyle name="백분율 6 5 5 3 2 2" xfId="29484"/>
    <cellStyle name="백분율 6 5 5 3 2 2 2" xfId="29485"/>
    <cellStyle name="백분율 6 5 5 3 2 2 3" xfId="29486"/>
    <cellStyle name="백분율 6 5 5 3 2 3" xfId="29487"/>
    <cellStyle name="백분율 6 5 5 3 2 4" xfId="29488"/>
    <cellStyle name="백분율 6 5 5 3 3" xfId="29489"/>
    <cellStyle name="백분율 6 5 5 3 3 2" xfId="29490"/>
    <cellStyle name="백분율 6 5 5 3 3 3" xfId="29491"/>
    <cellStyle name="백분율 6 5 5 3 4" xfId="29492"/>
    <cellStyle name="백분율 6 5 5 3 5" xfId="29493"/>
    <cellStyle name="백분율 6 5 5 4" xfId="29494"/>
    <cellStyle name="백분율 6 5 5 4 2" xfId="29495"/>
    <cellStyle name="백분율 6 5 5 4 2 2" xfId="29496"/>
    <cellStyle name="백분율 6 5 5 4 2 3" xfId="29497"/>
    <cellStyle name="백분율 6 5 5 4 3" xfId="29498"/>
    <cellStyle name="백분율 6 5 5 4 4" xfId="29499"/>
    <cellStyle name="백분율 6 5 5 5" xfId="29500"/>
    <cellStyle name="백분율 6 5 5 5 2" xfId="29501"/>
    <cellStyle name="백분율 6 5 5 5 3" xfId="29502"/>
    <cellStyle name="백분율 6 5 5 6" xfId="29503"/>
    <cellStyle name="백분율 6 5 5 7" xfId="29504"/>
    <cellStyle name="백분율 6 5 6" xfId="29505"/>
    <cellStyle name="백분율 6 5 6 2" xfId="29506"/>
    <cellStyle name="백분율 6 5 6 2 2" xfId="29507"/>
    <cellStyle name="백분율 6 5 6 2 2 2" xfId="29508"/>
    <cellStyle name="백분율 6 5 6 2 2 2 2" xfId="29509"/>
    <cellStyle name="백분율 6 5 6 2 2 2 3" xfId="29510"/>
    <cellStyle name="백분율 6 5 6 2 2 3" xfId="29511"/>
    <cellStyle name="백분율 6 5 6 2 2 4" xfId="29512"/>
    <cellStyle name="백분율 6 5 6 2 3" xfId="29513"/>
    <cellStyle name="백분율 6 5 6 2 3 2" xfId="29514"/>
    <cellStyle name="백분율 6 5 6 2 3 3" xfId="29515"/>
    <cellStyle name="백분율 6 5 6 2 4" xfId="29516"/>
    <cellStyle name="백분율 6 5 6 2 5" xfId="29517"/>
    <cellStyle name="백분율 6 5 6 3" xfId="29518"/>
    <cellStyle name="백분율 6 5 6 3 2" xfId="29519"/>
    <cellStyle name="백분율 6 5 6 3 2 2" xfId="29520"/>
    <cellStyle name="백분율 6 5 6 3 2 2 2" xfId="29521"/>
    <cellStyle name="백분율 6 5 6 3 2 2 3" xfId="29522"/>
    <cellStyle name="백분율 6 5 6 3 2 3" xfId="29523"/>
    <cellStyle name="백분율 6 5 6 3 2 4" xfId="29524"/>
    <cellStyle name="백분율 6 5 6 3 3" xfId="29525"/>
    <cellStyle name="백분율 6 5 6 3 3 2" xfId="29526"/>
    <cellStyle name="백분율 6 5 6 3 3 3" xfId="29527"/>
    <cellStyle name="백분율 6 5 6 3 4" xfId="29528"/>
    <cellStyle name="백분율 6 5 6 3 5" xfId="29529"/>
    <cellStyle name="백분율 6 5 6 4" xfId="29530"/>
    <cellStyle name="백분율 6 5 6 4 2" xfId="29531"/>
    <cellStyle name="백분율 6 5 6 4 2 2" xfId="29532"/>
    <cellStyle name="백분율 6 5 6 4 2 3" xfId="29533"/>
    <cellStyle name="백분율 6 5 6 4 3" xfId="29534"/>
    <cellStyle name="백분율 6 5 6 4 4" xfId="29535"/>
    <cellStyle name="백분율 6 5 6 5" xfId="29536"/>
    <cellStyle name="백분율 6 5 6 5 2" xfId="29537"/>
    <cellStyle name="백분율 6 5 6 5 3" xfId="29538"/>
    <cellStyle name="백분율 6 5 6 6" xfId="29539"/>
    <cellStyle name="백분율 6 5 6 7" xfId="29540"/>
    <cellStyle name="백분율 6 5 7" xfId="29541"/>
    <cellStyle name="백분율 6 5 7 2" xfId="29542"/>
    <cellStyle name="백분율 6 5 7 2 2" xfId="29543"/>
    <cellStyle name="백분율 6 5 7 2 2 2" xfId="29544"/>
    <cellStyle name="백분율 6 5 7 2 2 3" xfId="29545"/>
    <cellStyle name="백분율 6 5 7 2 3" xfId="29546"/>
    <cellStyle name="백분율 6 5 7 2 4" xfId="29547"/>
    <cellStyle name="백분율 6 5 7 3" xfId="29548"/>
    <cellStyle name="백분율 6 5 7 3 2" xfId="29549"/>
    <cellStyle name="백분율 6 5 7 3 3" xfId="29550"/>
    <cellStyle name="백분율 6 5 7 4" xfId="29551"/>
    <cellStyle name="백분율 6 5 7 5" xfId="29552"/>
    <cellStyle name="백분율 6 5 8" xfId="29553"/>
    <cellStyle name="백분율 6 5 8 2" xfId="29554"/>
    <cellStyle name="백분율 6 5 8 2 2" xfId="29555"/>
    <cellStyle name="백분율 6 5 8 2 2 2" xfId="29556"/>
    <cellStyle name="백분율 6 5 8 2 2 3" xfId="29557"/>
    <cellStyle name="백분율 6 5 8 2 3" xfId="29558"/>
    <cellStyle name="백분율 6 5 8 2 4" xfId="29559"/>
    <cellStyle name="백분율 6 5 8 3" xfId="29560"/>
    <cellStyle name="백분율 6 5 8 3 2" xfId="29561"/>
    <cellStyle name="백분율 6 5 8 3 3" xfId="29562"/>
    <cellStyle name="백분율 6 5 8 4" xfId="29563"/>
    <cellStyle name="백분율 6 5 8 5" xfId="29564"/>
    <cellStyle name="백분율 6 5 9" xfId="29565"/>
    <cellStyle name="백분율 6 5 9 2" xfId="29566"/>
    <cellStyle name="백분율 6 5 9 2 2" xfId="29567"/>
    <cellStyle name="백분율 6 5 9 2 2 2" xfId="29568"/>
    <cellStyle name="백분율 6 5 9 2 2 3" xfId="29569"/>
    <cellStyle name="백분율 6 5 9 2 3" xfId="29570"/>
    <cellStyle name="백분율 6 5 9 2 4" xfId="29571"/>
    <cellStyle name="백분율 6 5 9 3" xfId="29572"/>
    <cellStyle name="백분율 6 5 9 3 2" xfId="29573"/>
    <cellStyle name="백분율 6 5 9 3 3" xfId="29574"/>
    <cellStyle name="백분율 6 5 9 4" xfId="29575"/>
    <cellStyle name="백분율 6 5 9 5" xfId="29576"/>
    <cellStyle name="백분율 6 6" xfId="29577"/>
    <cellStyle name="백분율 6 6 10" xfId="29578"/>
    <cellStyle name="백분율 6 6 2" xfId="29579"/>
    <cellStyle name="백분율 6 6 2 2" xfId="29580"/>
    <cellStyle name="백분율 6 6 2 2 2" xfId="29581"/>
    <cellStyle name="백분율 6 6 2 2 2 2" xfId="29582"/>
    <cellStyle name="백분율 6 6 2 2 2 2 2" xfId="29583"/>
    <cellStyle name="백분율 6 6 2 2 2 2 3" xfId="29584"/>
    <cellStyle name="백분율 6 6 2 2 2 3" xfId="29585"/>
    <cellStyle name="백분율 6 6 2 2 2 4" xfId="29586"/>
    <cellStyle name="백분율 6 6 2 2 3" xfId="29587"/>
    <cellStyle name="백분율 6 6 2 2 3 2" xfId="29588"/>
    <cellStyle name="백분율 6 6 2 2 3 3" xfId="29589"/>
    <cellStyle name="백분율 6 6 2 2 4" xfId="29590"/>
    <cellStyle name="백분율 6 6 2 2 5" xfId="29591"/>
    <cellStyle name="백분율 6 6 2 3" xfId="29592"/>
    <cellStyle name="백분율 6 6 2 3 2" xfId="29593"/>
    <cellStyle name="백분율 6 6 2 3 2 2" xfId="29594"/>
    <cellStyle name="백분율 6 6 2 3 2 2 2" xfId="29595"/>
    <cellStyle name="백분율 6 6 2 3 2 2 3" xfId="29596"/>
    <cellStyle name="백분율 6 6 2 3 2 3" xfId="29597"/>
    <cellStyle name="백분율 6 6 2 3 2 4" xfId="29598"/>
    <cellStyle name="백분율 6 6 2 3 3" xfId="29599"/>
    <cellStyle name="백분율 6 6 2 3 3 2" xfId="29600"/>
    <cellStyle name="백분율 6 6 2 3 3 3" xfId="29601"/>
    <cellStyle name="백분율 6 6 2 3 4" xfId="29602"/>
    <cellStyle name="백분율 6 6 2 3 5" xfId="29603"/>
    <cellStyle name="백분율 6 6 2 4" xfId="29604"/>
    <cellStyle name="백분율 6 6 2 4 2" xfId="29605"/>
    <cellStyle name="백분율 6 6 2 4 2 2" xfId="29606"/>
    <cellStyle name="백분율 6 6 2 4 2 3" xfId="29607"/>
    <cellStyle name="백분율 6 6 2 4 3" xfId="29608"/>
    <cellStyle name="백분율 6 6 2 4 4" xfId="29609"/>
    <cellStyle name="백분율 6 6 2 5" xfId="29610"/>
    <cellStyle name="백분율 6 6 2 5 2" xfId="29611"/>
    <cellStyle name="백분율 6 6 2 5 3" xfId="29612"/>
    <cellStyle name="백분율 6 6 2 6" xfId="29613"/>
    <cellStyle name="백분율 6 6 2 7" xfId="29614"/>
    <cellStyle name="백분율 6 6 3" xfId="29615"/>
    <cellStyle name="백분율 6 6 3 2" xfId="29616"/>
    <cellStyle name="백분율 6 6 3 2 2" xfId="29617"/>
    <cellStyle name="백분율 6 6 3 2 2 2" xfId="29618"/>
    <cellStyle name="백분율 6 6 3 2 2 2 2" xfId="29619"/>
    <cellStyle name="백분율 6 6 3 2 2 2 3" xfId="29620"/>
    <cellStyle name="백분율 6 6 3 2 2 3" xfId="29621"/>
    <cellStyle name="백분율 6 6 3 2 2 4" xfId="29622"/>
    <cellStyle name="백분율 6 6 3 2 3" xfId="29623"/>
    <cellStyle name="백분율 6 6 3 2 3 2" xfId="29624"/>
    <cellStyle name="백분율 6 6 3 2 3 3" xfId="29625"/>
    <cellStyle name="백분율 6 6 3 2 4" xfId="29626"/>
    <cellStyle name="백분율 6 6 3 2 5" xfId="29627"/>
    <cellStyle name="백분율 6 6 3 3" xfId="29628"/>
    <cellStyle name="백분율 6 6 3 3 2" xfId="29629"/>
    <cellStyle name="백분율 6 6 3 3 2 2" xfId="29630"/>
    <cellStyle name="백분율 6 6 3 3 2 2 2" xfId="29631"/>
    <cellStyle name="백분율 6 6 3 3 2 2 3" xfId="29632"/>
    <cellStyle name="백분율 6 6 3 3 2 3" xfId="29633"/>
    <cellStyle name="백분율 6 6 3 3 2 4" xfId="29634"/>
    <cellStyle name="백분율 6 6 3 3 3" xfId="29635"/>
    <cellStyle name="백분율 6 6 3 3 3 2" xfId="29636"/>
    <cellStyle name="백분율 6 6 3 3 3 3" xfId="29637"/>
    <cellStyle name="백분율 6 6 3 3 4" xfId="29638"/>
    <cellStyle name="백분율 6 6 3 3 5" xfId="29639"/>
    <cellStyle name="백분율 6 6 3 4" xfId="29640"/>
    <cellStyle name="백분율 6 6 3 4 2" xfId="29641"/>
    <cellStyle name="백분율 6 6 3 4 2 2" xfId="29642"/>
    <cellStyle name="백분율 6 6 3 4 2 3" xfId="29643"/>
    <cellStyle name="백분율 6 6 3 4 3" xfId="29644"/>
    <cellStyle name="백분율 6 6 3 4 4" xfId="29645"/>
    <cellStyle name="백분율 6 6 3 5" xfId="29646"/>
    <cellStyle name="백분율 6 6 3 5 2" xfId="29647"/>
    <cellStyle name="백분율 6 6 3 5 3" xfId="29648"/>
    <cellStyle name="백분율 6 6 3 6" xfId="29649"/>
    <cellStyle name="백분율 6 6 3 7" xfId="29650"/>
    <cellStyle name="백분율 6 6 4" xfId="29651"/>
    <cellStyle name="백분율 6 6 4 2" xfId="29652"/>
    <cellStyle name="백분율 6 6 4 2 2" xfId="29653"/>
    <cellStyle name="백분율 6 6 4 2 2 2" xfId="29654"/>
    <cellStyle name="백분율 6 6 4 2 2 3" xfId="29655"/>
    <cellStyle name="백분율 6 6 4 2 3" xfId="29656"/>
    <cellStyle name="백분율 6 6 4 2 4" xfId="29657"/>
    <cellStyle name="백분율 6 6 4 3" xfId="29658"/>
    <cellStyle name="백분율 6 6 4 3 2" xfId="29659"/>
    <cellStyle name="백분율 6 6 4 3 3" xfId="29660"/>
    <cellStyle name="백분율 6 6 4 4" xfId="29661"/>
    <cellStyle name="백분율 6 6 4 5" xfId="29662"/>
    <cellStyle name="백분율 6 6 5" xfId="29663"/>
    <cellStyle name="백분율 6 6 5 2" xfId="29664"/>
    <cellStyle name="백분율 6 6 5 2 2" xfId="29665"/>
    <cellStyle name="백분율 6 6 5 2 2 2" xfId="29666"/>
    <cellStyle name="백분율 6 6 5 2 2 3" xfId="29667"/>
    <cellStyle name="백분율 6 6 5 2 3" xfId="29668"/>
    <cellStyle name="백분율 6 6 5 2 4" xfId="29669"/>
    <cellStyle name="백분율 6 6 5 3" xfId="29670"/>
    <cellStyle name="백분율 6 6 5 3 2" xfId="29671"/>
    <cellStyle name="백분율 6 6 5 3 3" xfId="29672"/>
    <cellStyle name="백분율 6 6 5 4" xfId="29673"/>
    <cellStyle name="백분율 6 6 5 5" xfId="29674"/>
    <cellStyle name="백분율 6 6 6" xfId="29675"/>
    <cellStyle name="백분율 6 6 6 2" xfId="29676"/>
    <cellStyle name="백분율 6 6 6 2 2" xfId="29677"/>
    <cellStyle name="백분율 6 6 6 2 2 2" xfId="29678"/>
    <cellStyle name="백분율 6 6 6 2 2 3" xfId="29679"/>
    <cellStyle name="백분율 6 6 6 2 3" xfId="29680"/>
    <cellStyle name="백분율 6 6 6 2 4" xfId="29681"/>
    <cellStyle name="백분율 6 6 6 3" xfId="29682"/>
    <cellStyle name="백분율 6 6 6 3 2" xfId="29683"/>
    <cellStyle name="백분율 6 6 6 3 3" xfId="29684"/>
    <cellStyle name="백분율 6 6 6 4" xfId="29685"/>
    <cellStyle name="백분율 6 6 6 5" xfId="29686"/>
    <cellStyle name="백분율 6 6 7" xfId="29687"/>
    <cellStyle name="백분율 6 6 7 2" xfId="29688"/>
    <cellStyle name="백분율 6 6 7 2 2" xfId="29689"/>
    <cellStyle name="백분율 6 6 7 2 3" xfId="29690"/>
    <cellStyle name="백분율 6 6 7 3" xfId="29691"/>
    <cellStyle name="백분율 6 6 7 4" xfId="29692"/>
    <cellStyle name="백분율 6 6 8" xfId="29693"/>
    <cellStyle name="백분율 6 6 8 2" xfId="29694"/>
    <cellStyle name="백분율 6 6 8 3" xfId="29695"/>
    <cellStyle name="백분율 6 6 9" xfId="29696"/>
    <cellStyle name="백분율 6 7" xfId="29697"/>
    <cellStyle name="백분율 6 7 10" xfId="29698"/>
    <cellStyle name="백분율 6 7 2" xfId="29699"/>
    <cellStyle name="백분율 6 7 2 2" xfId="29700"/>
    <cellStyle name="백분율 6 7 2 2 2" xfId="29701"/>
    <cellStyle name="백분율 6 7 2 2 2 2" xfId="29702"/>
    <cellStyle name="백분율 6 7 2 2 2 2 2" xfId="29703"/>
    <cellStyle name="백분율 6 7 2 2 2 2 3" xfId="29704"/>
    <cellStyle name="백분율 6 7 2 2 2 3" xfId="29705"/>
    <cellStyle name="백분율 6 7 2 2 2 4" xfId="29706"/>
    <cellStyle name="백분율 6 7 2 2 3" xfId="29707"/>
    <cellStyle name="백분율 6 7 2 2 3 2" xfId="29708"/>
    <cellStyle name="백분율 6 7 2 2 3 3" xfId="29709"/>
    <cellStyle name="백분율 6 7 2 2 4" xfId="29710"/>
    <cellStyle name="백분율 6 7 2 2 5" xfId="29711"/>
    <cellStyle name="백분율 6 7 2 3" xfId="29712"/>
    <cellStyle name="백분율 6 7 2 3 2" xfId="29713"/>
    <cellStyle name="백분율 6 7 2 3 2 2" xfId="29714"/>
    <cellStyle name="백분율 6 7 2 3 2 2 2" xfId="29715"/>
    <cellStyle name="백분율 6 7 2 3 2 2 3" xfId="29716"/>
    <cellStyle name="백분율 6 7 2 3 2 3" xfId="29717"/>
    <cellStyle name="백분율 6 7 2 3 2 4" xfId="29718"/>
    <cellStyle name="백분율 6 7 2 3 3" xfId="29719"/>
    <cellStyle name="백분율 6 7 2 3 3 2" xfId="29720"/>
    <cellStyle name="백분율 6 7 2 3 3 3" xfId="29721"/>
    <cellStyle name="백분율 6 7 2 3 4" xfId="29722"/>
    <cellStyle name="백분율 6 7 2 3 5" xfId="29723"/>
    <cellStyle name="백분율 6 7 2 4" xfId="29724"/>
    <cellStyle name="백분율 6 7 2 4 2" xfId="29725"/>
    <cellStyle name="백분율 6 7 2 4 2 2" xfId="29726"/>
    <cellStyle name="백분율 6 7 2 4 2 3" xfId="29727"/>
    <cellStyle name="백분율 6 7 2 4 3" xfId="29728"/>
    <cellStyle name="백분율 6 7 2 4 4" xfId="29729"/>
    <cellStyle name="백분율 6 7 2 5" xfId="29730"/>
    <cellStyle name="백분율 6 7 2 5 2" xfId="29731"/>
    <cellStyle name="백분율 6 7 2 5 3" xfId="29732"/>
    <cellStyle name="백분율 6 7 2 6" xfId="29733"/>
    <cellStyle name="백분율 6 7 2 7" xfId="29734"/>
    <cellStyle name="백분율 6 7 3" xfId="29735"/>
    <cellStyle name="백분율 6 7 3 2" xfId="29736"/>
    <cellStyle name="백분율 6 7 3 2 2" xfId="29737"/>
    <cellStyle name="백분율 6 7 3 2 2 2" xfId="29738"/>
    <cellStyle name="백분율 6 7 3 2 2 2 2" xfId="29739"/>
    <cellStyle name="백분율 6 7 3 2 2 2 3" xfId="29740"/>
    <cellStyle name="백분율 6 7 3 2 2 3" xfId="29741"/>
    <cellStyle name="백분율 6 7 3 2 2 4" xfId="29742"/>
    <cellStyle name="백분율 6 7 3 2 3" xfId="29743"/>
    <cellStyle name="백분율 6 7 3 2 3 2" xfId="29744"/>
    <cellStyle name="백분율 6 7 3 2 3 3" xfId="29745"/>
    <cellStyle name="백분율 6 7 3 2 4" xfId="29746"/>
    <cellStyle name="백분율 6 7 3 2 5" xfId="29747"/>
    <cellStyle name="백분율 6 7 3 3" xfId="29748"/>
    <cellStyle name="백분율 6 7 3 3 2" xfId="29749"/>
    <cellStyle name="백분율 6 7 3 3 2 2" xfId="29750"/>
    <cellStyle name="백분율 6 7 3 3 2 2 2" xfId="29751"/>
    <cellStyle name="백분율 6 7 3 3 2 2 3" xfId="29752"/>
    <cellStyle name="백분율 6 7 3 3 2 3" xfId="29753"/>
    <cellStyle name="백분율 6 7 3 3 2 4" xfId="29754"/>
    <cellStyle name="백분율 6 7 3 3 3" xfId="29755"/>
    <cellStyle name="백분율 6 7 3 3 3 2" xfId="29756"/>
    <cellStyle name="백분율 6 7 3 3 3 3" xfId="29757"/>
    <cellStyle name="백분율 6 7 3 3 4" xfId="29758"/>
    <cellStyle name="백분율 6 7 3 3 5" xfId="29759"/>
    <cellStyle name="백분율 6 7 3 4" xfId="29760"/>
    <cellStyle name="백분율 6 7 3 4 2" xfId="29761"/>
    <cellStyle name="백분율 6 7 3 4 2 2" xfId="29762"/>
    <cellStyle name="백분율 6 7 3 4 2 3" xfId="29763"/>
    <cellStyle name="백분율 6 7 3 4 3" xfId="29764"/>
    <cellStyle name="백분율 6 7 3 4 4" xfId="29765"/>
    <cellStyle name="백분율 6 7 3 5" xfId="29766"/>
    <cellStyle name="백분율 6 7 3 5 2" xfId="29767"/>
    <cellStyle name="백분율 6 7 3 5 3" xfId="29768"/>
    <cellStyle name="백분율 6 7 3 6" xfId="29769"/>
    <cellStyle name="백분율 6 7 3 7" xfId="29770"/>
    <cellStyle name="백분율 6 7 4" xfId="29771"/>
    <cellStyle name="백분율 6 7 4 2" xfId="29772"/>
    <cellStyle name="백분율 6 7 4 2 2" xfId="29773"/>
    <cellStyle name="백분율 6 7 4 2 2 2" xfId="29774"/>
    <cellStyle name="백분율 6 7 4 2 2 3" xfId="29775"/>
    <cellStyle name="백분율 6 7 4 2 3" xfId="29776"/>
    <cellStyle name="백분율 6 7 4 2 4" xfId="29777"/>
    <cellStyle name="백분율 6 7 4 3" xfId="29778"/>
    <cellStyle name="백분율 6 7 4 3 2" xfId="29779"/>
    <cellStyle name="백분율 6 7 4 3 3" xfId="29780"/>
    <cellStyle name="백분율 6 7 4 4" xfId="29781"/>
    <cellStyle name="백분율 6 7 4 5" xfId="29782"/>
    <cellStyle name="백분율 6 7 5" xfId="29783"/>
    <cellStyle name="백분율 6 7 5 2" xfId="29784"/>
    <cellStyle name="백분율 6 7 5 2 2" xfId="29785"/>
    <cellStyle name="백분율 6 7 5 2 2 2" xfId="29786"/>
    <cellStyle name="백분율 6 7 5 2 2 3" xfId="29787"/>
    <cellStyle name="백분율 6 7 5 2 3" xfId="29788"/>
    <cellStyle name="백분율 6 7 5 2 4" xfId="29789"/>
    <cellStyle name="백분율 6 7 5 3" xfId="29790"/>
    <cellStyle name="백분율 6 7 5 3 2" xfId="29791"/>
    <cellStyle name="백분율 6 7 5 3 3" xfId="29792"/>
    <cellStyle name="백분율 6 7 5 4" xfId="29793"/>
    <cellStyle name="백분율 6 7 5 5" xfId="29794"/>
    <cellStyle name="백분율 6 7 6" xfId="29795"/>
    <cellStyle name="백분율 6 7 6 2" xfId="29796"/>
    <cellStyle name="백분율 6 7 6 2 2" xfId="29797"/>
    <cellStyle name="백분율 6 7 6 2 2 2" xfId="29798"/>
    <cellStyle name="백분율 6 7 6 2 2 3" xfId="29799"/>
    <cellStyle name="백분율 6 7 6 2 3" xfId="29800"/>
    <cellStyle name="백분율 6 7 6 2 4" xfId="29801"/>
    <cellStyle name="백분율 6 7 6 3" xfId="29802"/>
    <cellStyle name="백분율 6 7 6 3 2" xfId="29803"/>
    <cellStyle name="백분율 6 7 6 3 3" xfId="29804"/>
    <cellStyle name="백분율 6 7 6 4" xfId="29805"/>
    <cellStyle name="백분율 6 7 6 5" xfId="29806"/>
    <cellStyle name="백분율 6 7 7" xfId="29807"/>
    <cellStyle name="백분율 6 7 7 2" xfId="29808"/>
    <cellStyle name="백분율 6 7 7 2 2" xfId="29809"/>
    <cellStyle name="백분율 6 7 7 2 3" xfId="29810"/>
    <cellStyle name="백분율 6 7 7 3" xfId="29811"/>
    <cellStyle name="백분율 6 7 7 4" xfId="29812"/>
    <cellStyle name="백분율 6 7 8" xfId="29813"/>
    <cellStyle name="백분율 6 7 8 2" xfId="29814"/>
    <cellStyle name="백분율 6 7 8 3" xfId="29815"/>
    <cellStyle name="백분율 6 7 9" xfId="29816"/>
    <cellStyle name="백분율 6 8" xfId="29817"/>
    <cellStyle name="백분율 6 8 10" xfId="29818"/>
    <cellStyle name="백분율 6 8 2" xfId="29819"/>
    <cellStyle name="백분율 6 8 2 2" xfId="29820"/>
    <cellStyle name="백분율 6 8 2 2 2" xfId="29821"/>
    <cellStyle name="백분율 6 8 2 2 2 2" xfId="29822"/>
    <cellStyle name="백분율 6 8 2 2 2 2 2" xfId="29823"/>
    <cellStyle name="백분율 6 8 2 2 2 2 3" xfId="29824"/>
    <cellStyle name="백분율 6 8 2 2 2 3" xfId="29825"/>
    <cellStyle name="백분율 6 8 2 2 2 4" xfId="29826"/>
    <cellStyle name="백분율 6 8 2 2 3" xfId="29827"/>
    <cellStyle name="백분율 6 8 2 2 3 2" xfId="29828"/>
    <cellStyle name="백분율 6 8 2 2 3 3" xfId="29829"/>
    <cellStyle name="백분율 6 8 2 2 4" xfId="29830"/>
    <cellStyle name="백분율 6 8 2 2 5" xfId="29831"/>
    <cellStyle name="백분율 6 8 2 3" xfId="29832"/>
    <cellStyle name="백분율 6 8 2 3 2" xfId="29833"/>
    <cellStyle name="백분율 6 8 2 3 2 2" xfId="29834"/>
    <cellStyle name="백분율 6 8 2 3 2 2 2" xfId="29835"/>
    <cellStyle name="백분율 6 8 2 3 2 2 3" xfId="29836"/>
    <cellStyle name="백분율 6 8 2 3 2 3" xfId="29837"/>
    <cellStyle name="백분율 6 8 2 3 2 4" xfId="29838"/>
    <cellStyle name="백분율 6 8 2 3 3" xfId="29839"/>
    <cellStyle name="백분율 6 8 2 3 3 2" xfId="29840"/>
    <cellStyle name="백분율 6 8 2 3 3 3" xfId="29841"/>
    <cellStyle name="백분율 6 8 2 3 4" xfId="29842"/>
    <cellStyle name="백분율 6 8 2 3 5" xfId="29843"/>
    <cellStyle name="백분율 6 8 2 4" xfId="29844"/>
    <cellStyle name="백분율 6 8 2 4 2" xfId="29845"/>
    <cellStyle name="백분율 6 8 2 4 2 2" xfId="29846"/>
    <cellStyle name="백분율 6 8 2 4 2 3" xfId="29847"/>
    <cellStyle name="백분율 6 8 2 4 3" xfId="29848"/>
    <cellStyle name="백분율 6 8 2 4 4" xfId="29849"/>
    <cellStyle name="백분율 6 8 2 5" xfId="29850"/>
    <cellStyle name="백분율 6 8 2 5 2" xfId="29851"/>
    <cellStyle name="백분율 6 8 2 5 3" xfId="29852"/>
    <cellStyle name="백분율 6 8 2 6" xfId="29853"/>
    <cellStyle name="백분율 6 8 2 7" xfId="29854"/>
    <cellStyle name="백분율 6 8 3" xfId="29855"/>
    <cellStyle name="백분율 6 8 3 2" xfId="29856"/>
    <cellStyle name="백분율 6 8 3 2 2" xfId="29857"/>
    <cellStyle name="백분율 6 8 3 2 2 2" xfId="29858"/>
    <cellStyle name="백분율 6 8 3 2 2 2 2" xfId="29859"/>
    <cellStyle name="백분율 6 8 3 2 2 2 3" xfId="29860"/>
    <cellStyle name="백분율 6 8 3 2 2 3" xfId="29861"/>
    <cellStyle name="백분율 6 8 3 2 2 4" xfId="29862"/>
    <cellStyle name="백분율 6 8 3 2 3" xfId="29863"/>
    <cellStyle name="백분율 6 8 3 2 3 2" xfId="29864"/>
    <cellStyle name="백분율 6 8 3 2 3 3" xfId="29865"/>
    <cellStyle name="백분율 6 8 3 2 4" xfId="29866"/>
    <cellStyle name="백분율 6 8 3 2 5" xfId="29867"/>
    <cellStyle name="백분율 6 8 3 3" xfId="29868"/>
    <cellStyle name="백분율 6 8 3 3 2" xfId="29869"/>
    <cellStyle name="백분율 6 8 3 3 2 2" xfId="29870"/>
    <cellStyle name="백분율 6 8 3 3 2 2 2" xfId="29871"/>
    <cellStyle name="백분율 6 8 3 3 2 2 3" xfId="29872"/>
    <cellStyle name="백분율 6 8 3 3 2 3" xfId="29873"/>
    <cellStyle name="백분율 6 8 3 3 2 4" xfId="29874"/>
    <cellStyle name="백분율 6 8 3 3 3" xfId="29875"/>
    <cellStyle name="백분율 6 8 3 3 3 2" xfId="29876"/>
    <cellStyle name="백분율 6 8 3 3 3 3" xfId="29877"/>
    <cellStyle name="백분율 6 8 3 3 4" xfId="29878"/>
    <cellStyle name="백분율 6 8 3 3 5" xfId="29879"/>
    <cellStyle name="백분율 6 8 3 4" xfId="29880"/>
    <cellStyle name="백분율 6 8 3 4 2" xfId="29881"/>
    <cellStyle name="백분율 6 8 3 4 2 2" xfId="29882"/>
    <cellStyle name="백분율 6 8 3 4 2 3" xfId="29883"/>
    <cellStyle name="백분율 6 8 3 4 3" xfId="29884"/>
    <cellStyle name="백분율 6 8 3 4 4" xfId="29885"/>
    <cellStyle name="백분율 6 8 3 5" xfId="29886"/>
    <cellStyle name="백분율 6 8 3 5 2" xfId="29887"/>
    <cellStyle name="백분율 6 8 3 5 3" xfId="29888"/>
    <cellStyle name="백분율 6 8 3 6" xfId="29889"/>
    <cellStyle name="백분율 6 8 3 7" xfId="29890"/>
    <cellStyle name="백분율 6 8 4" xfId="29891"/>
    <cellStyle name="백분율 6 8 4 2" xfId="29892"/>
    <cellStyle name="백분율 6 8 4 2 2" xfId="29893"/>
    <cellStyle name="백분율 6 8 4 2 2 2" xfId="29894"/>
    <cellStyle name="백분율 6 8 4 2 2 3" xfId="29895"/>
    <cellStyle name="백분율 6 8 4 2 3" xfId="29896"/>
    <cellStyle name="백분율 6 8 4 2 4" xfId="29897"/>
    <cellStyle name="백분율 6 8 4 3" xfId="29898"/>
    <cellStyle name="백분율 6 8 4 3 2" xfId="29899"/>
    <cellStyle name="백분율 6 8 4 3 3" xfId="29900"/>
    <cellStyle name="백분율 6 8 4 4" xfId="29901"/>
    <cellStyle name="백분율 6 8 4 5" xfId="29902"/>
    <cellStyle name="백분율 6 8 5" xfId="29903"/>
    <cellStyle name="백분율 6 8 5 2" xfId="29904"/>
    <cellStyle name="백분율 6 8 5 2 2" xfId="29905"/>
    <cellStyle name="백분율 6 8 5 2 2 2" xfId="29906"/>
    <cellStyle name="백분율 6 8 5 2 2 3" xfId="29907"/>
    <cellStyle name="백분율 6 8 5 2 3" xfId="29908"/>
    <cellStyle name="백분율 6 8 5 2 4" xfId="29909"/>
    <cellStyle name="백분율 6 8 5 3" xfId="29910"/>
    <cellStyle name="백분율 6 8 5 3 2" xfId="29911"/>
    <cellStyle name="백분율 6 8 5 3 3" xfId="29912"/>
    <cellStyle name="백분율 6 8 5 4" xfId="29913"/>
    <cellStyle name="백분율 6 8 5 5" xfId="29914"/>
    <cellStyle name="백분율 6 8 6" xfId="29915"/>
    <cellStyle name="백분율 6 8 6 2" xfId="29916"/>
    <cellStyle name="백분율 6 8 6 2 2" xfId="29917"/>
    <cellStyle name="백분율 6 8 6 2 2 2" xfId="29918"/>
    <cellStyle name="백분율 6 8 6 2 2 3" xfId="29919"/>
    <cellStyle name="백분율 6 8 6 2 3" xfId="29920"/>
    <cellStyle name="백분율 6 8 6 2 4" xfId="29921"/>
    <cellStyle name="백분율 6 8 6 3" xfId="29922"/>
    <cellStyle name="백분율 6 8 6 3 2" xfId="29923"/>
    <cellStyle name="백분율 6 8 6 3 3" xfId="29924"/>
    <cellStyle name="백분율 6 8 6 4" xfId="29925"/>
    <cellStyle name="백분율 6 8 6 5" xfId="29926"/>
    <cellStyle name="백분율 6 8 7" xfId="29927"/>
    <cellStyle name="백분율 6 8 7 2" xfId="29928"/>
    <cellStyle name="백분율 6 8 7 2 2" xfId="29929"/>
    <cellStyle name="백분율 6 8 7 2 3" xfId="29930"/>
    <cellStyle name="백분율 6 8 7 3" xfId="29931"/>
    <cellStyle name="백분율 6 8 7 4" xfId="29932"/>
    <cellStyle name="백분율 6 8 8" xfId="29933"/>
    <cellStyle name="백분율 6 8 8 2" xfId="29934"/>
    <cellStyle name="백분율 6 8 8 3" xfId="29935"/>
    <cellStyle name="백분율 6 8 9" xfId="29936"/>
    <cellStyle name="백분율 6 9" xfId="29937"/>
    <cellStyle name="백분율 6 9 2" xfId="29938"/>
    <cellStyle name="백분율 6 9 2 2" xfId="29939"/>
    <cellStyle name="백분율 6 9 2 2 2" xfId="29940"/>
    <cellStyle name="백분율 6 9 2 2 2 2" xfId="29941"/>
    <cellStyle name="백분율 6 9 2 2 2 3" xfId="29942"/>
    <cellStyle name="백분율 6 9 2 2 3" xfId="29943"/>
    <cellStyle name="백분율 6 9 2 2 4" xfId="29944"/>
    <cellStyle name="백분율 6 9 2 3" xfId="29945"/>
    <cellStyle name="백분율 6 9 2 3 2" xfId="29946"/>
    <cellStyle name="백분율 6 9 2 3 3" xfId="29947"/>
    <cellStyle name="백분율 6 9 2 4" xfId="29948"/>
    <cellStyle name="백분율 6 9 2 5" xfId="29949"/>
    <cellStyle name="백분율 6 9 3" xfId="29950"/>
    <cellStyle name="백분율 6 9 3 2" xfId="29951"/>
    <cellStyle name="백분율 6 9 3 2 2" xfId="29952"/>
    <cellStyle name="백분율 6 9 3 2 2 2" xfId="29953"/>
    <cellStyle name="백분율 6 9 3 2 2 3" xfId="29954"/>
    <cellStyle name="백분율 6 9 3 2 3" xfId="29955"/>
    <cellStyle name="백분율 6 9 3 2 4" xfId="29956"/>
    <cellStyle name="백분율 6 9 3 3" xfId="29957"/>
    <cellStyle name="백분율 6 9 3 3 2" xfId="29958"/>
    <cellStyle name="백분율 6 9 3 3 3" xfId="29959"/>
    <cellStyle name="백분율 6 9 3 4" xfId="29960"/>
    <cellStyle name="백분율 6 9 3 5" xfId="29961"/>
    <cellStyle name="백분율 6 9 4" xfId="29962"/>
    <cellStyle name="백분율 6 9 4 2" xfId="29963"/>
    <cellStyle name="백분율 6 9 4 2 2" xfId="29964"/>
    <cellStyle name="백분율 6 9 4 2 3" xfId="29965"/>
    <cellStyle name="백분율 6 9 4 3" xfId="29966"/>
    <cellStyle name="백분율 6 9 4 4" xfId="29967"/>
    <cellStyle name="백분율 6 9 5" xfId="29968"/>
    <cellStyle name="백분율 6 9 5 2" xfId="29969"/>
    <cellStyle name="백분율 6 9 5 3" xfId="29970"/>
    <cellStyle name="백분율 6 9 6" xfId="29971"/>
    <cellStyle name="백분율 6 9 7" xfId="29972"/>
    <cellStyle name="백분율 7" xfId="29973"/>
    <cellStyle name="백분율 8" xfId="29974"/>
    <cellStyle name="백분율 9" xfId="29975"/>
    <cellStyle name="보통 10" xfId="29976"/>
    <cellStyle name="보통 11" xfId="29977"/>
    <cellStyle name="보통 12" xfId="29978"/>
    <cellStyle name="보통 13" xfId="29979"/>
    <cellStyle name="보통 14" xfId="29980"/>
    <cellStyle name="보통 15" xfId="29981"/>
    <cellStyle name="보통 2" xfId="29982"/>
    <cellStyle name="보통 2 2" xfId="29983"/>
    <cellStyle name="보통 2 2 2" xfId="29984"/>
    <cellStyle name="보통 2 3" xfId="29985"/>
    <cellStyle name="보통 3" xfId="29986"/>
    <cellStyle name="보통 3 2" xfId="29987"/>
    <cellStyle name="보통 3 3" xfId="29988"/>
    <cellStyle name="보통 4" xfId="29989"/>
    <cellStyle name="보통 4 2" xfId="29990"/>
    <cellStyle name="보통 5" xfId="29991"/>
    <cellStyle name="보통 6" xfId="29992"/>
    <cellStyle name="보통 7" xfId="29993"/>
    <cellStyle name="보통 8" xfId="29994"/>
    <cellStyle name="보통 9" xfId="29995"/>
    <cellStyle name="뷭?" xfId="29996"/>
    <cellStyle name="새귑[0]_丹홈셕뺍,茄셥 " xfId="29997"/>
    <cellStyle name="새귑_丹홈셕뺍,茄셥 " xfId="29998"/>
    <cellStyle name="설명 텍스트 10" xfId="29999"/>
    <cellStyle name="설명 텍스트 11" xfId="30000"/>
    <cellStyle name="설명 텍스트 12" xfId="30001"/>
    <cellStyle name="설명 텍스트 13" xfId="30002"/>
    <cellStyle name="설명 텍스트 14" xfId="30003"/>
    <cellStyle name="설명 텍스트 15" xfId="30004"/>
    <cellStyle name="설명 텍스트 2" xfId="30005"/>
    <cellStyle name="설명 텍스트 2 2" xfId="30006"/>
    <cellStyle name="설명 텍스트 2 2 2" xfId="30007"/>
    <cellStyle name="설명 텍스트 2 3" xfId="30008"/>
    <cellStyle name="설명 텍스트 3" xfId="30009"/>
    <cellStyle name="설명 텍스트 3 2" xfId="30010"/>
    <cellStyle name="설명 텍스트 4" xfId="30011"/>
    <cellStyle name="설명 텍스트 4 2" xfId="30012"/>
    <cellStyle name="설명 텍스트 5" xfId="30013"/>
    <cellStyle name="설명 텍스트 6" xfId="30014"/>
    <cellStyle name="설명 텍스트 7" xfId="30015"/>
    <cellStyle name="설명 텍스트 8" xfId="30016"/>
    <cellStyle name="설명 텍스트 9" xfId="30017"/>
    <cellStyle name="셀 확인 10" xfId="30018"/>
    <cellStyle name="셀 확인 11" xfId="30019"/>
    <cellStyle name="셀 확인 12" xfId="30020"/>
    <cellStyle name="셀 확인 13" xfId="30021"/>
    <cellStyle name="셀 확인 14" xfId="30022"/>
    <cellStyle name="셀 확인 15" xfId="30023"/>
    <cellStyle name="셀 확인 2" xfId="30024"/>
    <cellStyle name="셀 확인 2 2" xfId="30025"/>
    <cellStyle name="셀 확인 2 2 2" xfId="30026"/>
    <cellStyle name="셀 확인 2 3" xfId="30027"/>
    <cellStyle name="셀 확인 3" xfId="30028"/>
    <cellStyle name="셀 확인 3 2" xfId="30029"/>
    <cellStyle name="셀 확인 3 3" xfId="30030"/>
    <cellStyle name="셀 확인 4" xfId="30031"/>
    <cellStyle name="셀 확인 4 2" xfId="30032"/>
    <cellStyle name="셀 확인 5" xfId="30033"/>
    <cellStyle name="셀 확인 6" xfId="30034"/>
    <cellStyle name="셀 확인 7" xfId="30035"/>
    <cellStyle name="셀 확인 8" xfId="30036"/>
    <cellStyle name="셀 확인 9" xfId="30037"/>
    <cellStyle name="셈迷?XLS!check_filesche|_x0005_" xfId="30038"/>
    <cellStyle name="숫자" xfId="30039"/>
    <cellStyle name="숫자 2" xfId="30040"/>
    <cellStyle name="숫자(R)" xfId="30041"/>
    <cellStyle name="숫자(R) 2" xfId="30042"/>
    <cellStyle name="쉼표 [0] 2" xfId="30043"/>
    <cellStyle name="쉼표 [0] 2 10" xfId="30044"/>
    <cellStyle name="쉼표 [0] 2 10 2" xfId="30045"/>
    <cellStyle name="쉼표 [0] 2 10 2 2" xfId="30046"/>
    <cellStyle name="쉼표 [0] 2 10 2 3" xfId="30047"/>
    <cellStyle name="쉼표 [0] 2 10 3" xfId="30048"/>
    <cellStyle name="쉼표 [0] 2 10 4" xfId="30049"/>
    <cellStyle name="쉼표 [0] 2 10 5" xfId="30050"/>
    <cellStyle name="쉼표 [0] 2 2" xfId="30051"/>
    <cellStyle name="쉼표 [0] 2 2 2" xfId="30052"/>
    <cellStyle name="쉼표 [0] 2 2 3" xfId="30053"/>
    <cellStyle name="쉼표 [0] 2 2 3 2" xfId="30054"/>
    <cellStyle name="쉼표 [0] 2 2 3 2 2" xfId="30055"/>
    <cellStyle name="쉼표 [0] 2 2 3 2 3" xfId="30056"/>
    <cellStyle name="쉼표 [0] 2 2 3 3" xfId="30057"/>
    <cellStyle name="쉼표 [0] 2 2 3 4" xfId="30058"/>
    <cellStyle name="쉼표 [0] 2 2 3 5" xfId="30059"/>
    <cellStyle name="쉼표 [0] 2 3" xfId="30060"/>
    <cellStyle name="쉼표 [0] 2 3 2" xfId="30061"/>
    <cellStyle name="쉼표 [0] 2 4" xfId="30062"/>
    <cellStyle name="쉼표 [0] 2 4 2" xfId="30063"/>
    <cellStyle name="쉼표 [0] 2 5" xfId="30064"/>
    <cellStyle name="쉼표 [0] 2 5 2" xfId="30065"/>
    <cellStyle name="쉼표 [0] 2 6" xfId="30066"/>
    <cellStyle name="쉼표 [0] 2 7" xfId="30067"/>
    <cellStyle name="쉼표 [0] 2 8" xfId="30068"/>
    <cellStyle name="쉼표 [0] 2 9" xfId="30069"/>
    <cellStyle name="쉼표 [0] 3" xfId="30070"/>
    <cellStyle name="쉼표 [0] 3 2" xfId="30071"/>
    <cellStyle name="쉼표 [0] 3 2 2" xfId="30072"/>
    <cellStyle name="쉼표 [0] 3 2 2 2" xfId="30073"/>
    <cellStyle name="쉼표 [0] 3 2 2 3" xfId="30074"/>
    <cellStyle name="쉼표 [0] 3 2 3" xfId="30075"/>
    <cellStyle name="쉼표 [0] 3 2 4" xfId="30076"/>
    <cellStyle name="쉼표 [0] 3 3" xfId="30077"/>
    <cellStyle name="쉼표 [0] 3 3 2" xfId="30078"/>
    <cellStyle name="쉼표 [0] 3 3 3" xfId="30079"/>
    <cellStyle name="쉼표 [0] 3 4" xfId="30080"/>
    <cellStyle name="쉼표 [0] 3 4 2" xfId="30081"/>
    <cellStyle name="쉼표 [0] 3 4 3" xfId="30082"/>
    <cellStyle name="쉼표 [0] 3 5" xfId="30083"/>
    <cellStyle name="쉼표 [0] 3 6" xfId="30084"/>
    <cellStyle name="쉼표 [0] 3 7" xfId="30085"/>
    <cellStyle name="쉼표 [0] 4" xfId="30086"/>
    <cellStyle name="쉼표 [0] 4 2" xfId="30087"/>
    <cellStyle name="쉼표 [0] 4 3" xfId="30088"/>
    <cellStyle name="쉼표 [0] 5" xfId="30089"/>
    <cellStyle name="쉼표 [0] 5 2" xfId="30090"/>
    <cellStyle name="쉼표 [0] 5 3" xfId="30091"/>
    <cellStyle name="쉼표 [0] 6" xfId="30092"/>
    <cellStyle name="스타일 1" xfId="30093"/>
    <cellStyle name="스타일 1 2" xfId="30094"/>
    <cellStyle name="스타일 1 2 2" xfId="30095"/>
    <cellStyle name="스타일 1 3" xfId="30096"/>
    <cellStyle name="스타일 1 3 2" xfId="30097"/>
    <cellStyle name="스타일 1 4" xfId="30098"/>
    <cellStyle name="스타일 10" xfId="30099"/>
    <cellStyle name="스타일 11" xfId="30100"/>
    <cellStyle name="스타일 12" xfId="30101"/>
    <cellStyle name="스타일 13" xfId="30102"/>
    <cellStyle name="스타일 14" xfId="30103"/>
    <cellStyle name="스타일 15" xfId="30104"/>
    <cellStyle name="스타일 16" xfId="30105"/>
    <cellStyle name="스타일 17" xfId="30106"/>
    <cellStyle name="스타일 18" xfId="30107"/>
    <cellStyle name="스타일 19" xfId="30108"/>
    <cellStyle name="스타일 2" xfId="30109"/>
    <cellStyle name="스타일 20" xfId="30110"/>
    <cellStyle name="스타일 21" xfId="30111"/>
    <cellStyle name="스타일 22" xfId="30112"/>
    <cellStyle name="스타일 23" xfId="30113"/>
    <cellStyle name="스타일 24" xfId="30114"/>
    <cellStyle name="스타일 25" xfId="30115"/>
    <cellStyle name="스타일 26" xfId="30116"/>
    <cellStyle name="스타일 27" xfId="30117"/>
    <cellStyle name="스타일 28" xfId="30118"/>
    <cellStyle name="스타일 29" xfId="30119"/>
    <cellStyle name="스타일 3" xfId="30120"/>
    <cellStyle name="스타일 30" xfId="30121"/>
    <cellStyle name="스타일 31" xfId="30122"/>
    <cellStyle name="스타일 32" xfId="30123"/>
    <cellStyle name="스타일 33" xfId="30124"/>
    <cellStyle name="스타일 34" xfId="30125"/>
    <cellStyle name="스타일 35" xfId="30126"/>
    <cellStyle name="스타일 36" xfId="30127"/>
    <cellStyle name="스타일 37" xfId="30128"/>
    <cellStyle name="스타일 38" xfId="30129"/>
    <cellStyle name="스타일 39" xfId="30130"/>
    <cellStyle name="스타일 4" xfId="30131"/>
    <cellStyle name="스타일 40" xfId="30132"/>
    <cellStyle name="스타일 41" xfId="30133"/>
    <cellStyle name="스타일 42" xfId="30134"/>
    <cellStyle name="스타일 43" xfId="30135"/>
    <cellStyle name="스타일 44" xfId="30136"/>
    <cellStyle name="스타일 45" xfId="30137"/>
    <cellStyle name="스타일 46" xfId="30138"/>
    <cellStyle name="스타일 47" xfId="30139"/>
    <cellStyle name="스타일 48" xfId="30140"/>
    <cellStyle name="스타일 49" xfId="30141"/>
    <cellStyle name="스타일 5" xfId="30142"/>
    <cellStyle name="스타일 50" xfId="30143"/>
    <cellStyle name="스타일 51" xfId="30144"/>
    <cellStyle name="스타일 52" xfId="30145"/>
    <cellStyle name="스타일 53" xfId="30146"/>
    <cellStyle name="스타일 54" xfId="30147"/>
    <cellStyle name="스타일 6" xfId="30148"/>
    <cellStyle name="스타일 7" xfId="30149"/>
    <cellStyle name="스타일 8" xfId="30150"/>
    <cellStyle name="스타일 9" xfId="30151"/>
    <cellStyle name="연결된 셀 10" xfId="30152"/>
    <cellStyle name="연결된 셀 11" xfId="30153"/>
    <cellStyle name="연결된 셀 12" xfId="30154"/>
    <cellStyle name="연결된 셀 13" xfId="30155"/>
    <cellStyle name="연결된 셀 14" xfId="30156"/>
    <cellStyle name="연결된 셀 15" xfId="30157"/>
    <cellStyle name="연결된 셀 2" xfId="30158"/>
    <cellStyle name="연결된 셀 2 2" xfId="30159"/>
    <cellStyle name="연결된 셀 2 2 2" xfId="30160"/>
    <cellStyle name="연결된 셀 2 3" xfId="30161"/>
    <cellStyle name="연결된 셀 3" xfId="30162"/>
    <cellStyle name="연결된 셀 3 2" xfId="30163"/>
    <cellStyle name="연결된 셀 3 3" xfId="30164"/>
    <cellStyle name="연결된 셀 4" xfId="30165"/>
    <cellStyle name="연결된 셀 4 2" xfId="30166"/>
    <cellStyle name="연결된 셀 5" xfId="30167"/>
    <cellStyle name="연결된 셀 6" xfId="30168"/>
    <cellStyle name="연결된 셀 7" xfId="30169"/>
    <cellStyle name="연결된 셀 8" xfId="30170"/>
    <cellStyle name="연결된 셀 9" xfId="30171"/>
    <cellStyle name="열어본 하이퍼링크" xfId="30172"/>
    <cellStyle name="열어본 하이퍼링크 2" xfId="30173"/>
    <cellStyle name="요약 10" xfId="30174"/>
    <cellStyle name="요약 11" xfId="30175"/>
    <cellStyle name="요약 12" xfId="30176"/>
    <cellStyle name="요약 13" xfId="30177"/>
    <cellStyle name="요약 14" xfId="30178"/>
    <cellStyle name="요약 15" xfId="30179"/>
    <cellStyle name="요약 2" xfId="30180"/>
    <cellStyle name="요약 2 2" xfId="30181"/>
    <cellStyle name="요약 2 2 10" xfId="30182"/>
    <cellStyle name="요약 2 2 10 2" xfId="30183"/>
    <cellStyle name="요약 2 2 10 3" xfId="30184"/>
    <cellStyle name="요약 2 2 11" xfId="30185"/>
    <cellStyle name="요약 2 2 11 2" xfId="30186"/>
    <cellStyle name="요약 2 2 11 3" xfId="30187"/>
    <cellStyle name="요약 2 2 12" xfId="30188"/>
    <cellStyle name="요약 2 2 13" xfId="30189"/>
    <cellStyle name="요약 2 2 14" xfId="30190"/>
    <cellStyle name="요약 2 2 2" xfId="30191"/>
    <cellStyle name="요약 2 2 2 2" xfId="30192"/>
    <cellStyle name="요약 2 2 3" xfId="30193"/>
    <cellStyle name="요약 2 2 3 2" xfId="30194"/>
    <cellStyle name="요약 2 2 4" xfId="30195"/>
    <cellStyle name="요약 2 2 4 2" xfId="30196"/>
    <cellStyle name="요약 2 2 5" xfId="30197"/>
    <cellStyle name="요약 2 2 5 2" xfId="30198"/>
    <cellStyle name="요약 2 2 6" xfId="30199"/>
    <cellStyle name="요약 2 2 6 2" xfId="30200"/>
    <cellStyle name="요약 2 2 7" xfId="30201"/>
    <cellStyle name="요약 2 2 7 2" xfId="30202"/>
    <cellStyle name="요약 2 2 8" xfId="30203"/>
    <cellStyle name="요약 2 2 8 2" xfId="30204"/>
    <cellStyle name="요약 2 2 8 3" xfId="30205"/>
    <cellStyle name="요약 2 2 9" xfId="30206"/>
    <cellStyle name="요약 2 2 9 2" xfId="30207"/>
    <cellStyle name="요약 2 2 9 3" xfId="30208"/>
    <cellStyle name="요약 2 3" xfId="30209"/>
    <cellStyle name="요약 2 4" xfId="30210"/>
    <cellStyle name="요약 3" xfId="30211"/>
    <cellStyle name="요약 3 2" xfId="30212"/>
    <cellStyle name="요약 3 2 10" xfId="30213"/>
    <cellStyle name="요약 3 2 10 2" xfId="30214"/>
    <cellStyle name="요약 3 2 10 3" xfId="30215"/>
    <cellStyle name="요약 3 2 11" xfId="30216"/>
    <cellStyle name="요약 3 2 11 2" xfId="30217"/>
    <cellStyle name="요약 3 2 11 3" xfId="30218"/>
    <cellStyle name="요약 3 2 12" xfId="30219"/>
    <cellStyle name="요약 3 2 13" xfId="30220"/>
    <cellStyle name="요약 3 2 2" xfId="30221"/>
    <cellStyle name="요약 3 2 2 2" xfId="30222"/>
    <cellStyle name="요약 3 2 3" xfId="30223"/>
    <cellStyle name="요약 3 2 3 2" xfId="30224"/>
    <cellStyle name="요약 3 2 4" xfId="30225"/>
    <cellStyle name="요약 3 2 4 2" xfId="30226"/>
    <cellStyle name="요약 3 2 5" xfId="30227"/>
    <cellStyle name="요약 3 2 5 2" xfId="30228"/>
    <cellStyle name="요약 3 2 6" xfId="30229"/>
    <cellStyle name="요약 3 2 6 2" xfId="30230"/>
    <cellStyle name="요약 3 2 7" xfId="30231"/>
    <cellStyle name="요약 3 2 7 2" xfId="30232"/>
    <cellStyle name="요약 3 2 8" xfId="30233"/>
    <cellStyle name="요약 3 2 8 2" xfId="30234"/>
    <cellStyle name="요약 3 2 8 3" xfId="30235"/>
    <cellStyle name="요약 3 2 9" xfId="30236"/>
    <cellStyle name="요약 3 2 9 2" xfId="30237"/>
    <cellStyle name="요약 3 2 9 3" xfId="30238"/>
    <cellStyle name="요약 3 3" xfId="30239"/>
    <cellStyle name="요약 4" xfId="30240"/>
    <cellStyle name="요약 4 2" xfId="30241"/>
    <cellStyle name="요약 5" xfId="30242"/>
    <cellStyle name="요약 6" xfId="30243"/>
    <cellStyle name="요약 7" xfId="30244"/>
    <cellStyle name="요약 8" xfId="30245"/>
    <cellStyle name="요약 9" xfId="30246"/>
    <cellStyle name="입력 10" xfId="30247"/>
    <cellStyle name="입력 11" xfId="30248"/>
    <cellStyle name="입력 12" xfId="30249"/>
    <cellStyle name="입력 13" xfId="30250"/>
    <cellStyle name="입력 14" xfId="30251"/>
    <cellStyle name="입력 15" xfId="30252"/>
    <cellStyle name="입력 2" xfId="30253"/>
    <cellStyle name="입력 2 2" xfId="30254"/>
    <cellStyle name="입력 2 2 10" xfId="30255"/>
    <cellStyle name="입력 2 2 10 2" xfId="30256"/>
    <cellStyle name="입력 2 2 10 3" xfId="30257"/>
    <cellStyle name="입력 2 2 11" xfId="30258"/>
    <cellStyle name="입력 2 2 11 2" xfId="30259"/>
    <cellStyle name="입력 2 2 11 3" xfId="30260"/>
    <cellStyle name="입력 2 2 12" xfId="30261"/>
    <cellStyle name="입력 2 2 13" xfId="30262"/>
    <cellStyle name="입력 2 2 14" xfId="30263"/>
    <cellStyle name="입력 2 2 2" xfId="30264"/>
    <cellStyle name="입력 2 2 2 2" xfId="30265"/>
    <cellStyle name="입력 2 2 3" xfId="30266"/>
    <cellStyle name="입력 2 2 3 2" xfId="30267"/>
    <cellStyle name="입력 2 2 4" xfId="30268"/>
    <cellStyle name="입력 2 2 4 2" xfId="30269"/>
    <cellStyle name="입력 2 2 5" xfId="30270"/>
    <cellStyle name="입력 2 2 5 2" xfId="30271"/>
    <cellStyle name="입력 2 2 6" xfId="30272"/>
    <cellStyle name="입력 2 2 6 2" xfId="30273"/>
    <cellStyle name="입력 2 2 7" xfId="30274"/>
    <cellStyle name="입력 2 2 7 2" xfId="30275"/>
    <cellStyle name="입력 2 2 8" xfId="30276"/>
    <cellStyle name="입력 2 2 8 2" xfId="30277"/>
    <cellStyle name="입력 2 2 8 3" xfId="30278"/>
    <cellStyle name="입력 2 2 9" xfId="30279"/>
    <cellStyle name="입력 2 2 9 2" xfId="30280"/>
    <cellStyle name="입력 2 2 9 3" xfId="30281"/>
    <cellStyle name="입력 2 3" xfId="30282"/>
    <cellStyle name="입력 2 4" xfId="30283"/>
    <cellStyle name="입력 3" xfId="30284"/>
    <cellStyle name="입력 3 2" xfId="30285"/>
    <cellStyle name="입력 3 2 10" xfId="30286"/>
    <cellStyle name="입력 3 2 10 2" xfId="30287"/>
    <cellStyle name="입력 3 2 10 3" xfId="30288"/>
    <cellStyle name="입력 3 2 11" xfId="30289"/>
    <cellStyle name="입력 3 2 11 2" xfId="30290"/>
    <cellStyle name="입력 3 2 11 3" xfId="30291"/>
    <cellStyle name="입력 3 2 12" xfId="30292"/>
    <cellStyle name="입력 3 2 13" xfId="30293"/>
    <cellStyle name="입력 3 2 2" xfId="30294"/>
    <cellStyle name="입력 3 2 2 2" xfId="30295"/>
    <cellStyle name="입력 3 2 3" xfId="30296"/>
    <cellStyle name="입력 3 2 3 2" xfId="30297"/>
    <cellStyle name="입력 3 2 4" xfId="30298"/>
    <cellStyle name="입력 3 2 4 2" xfId="30299"/>
    <cellStyle name="입력 3 2 5" xfId="30300"/>
    <cellStyle name="입력 3 2 5 2" xfId="30301"/>
    <cellStyle name="입력 3 2 6" xfId="30302"/>
    <cellStyle name="입력 3 2 6 2" xfId="30303"/>
    <cellStyle name="입력 3 2 7" xfId="30304"/>
    <cellStyle name="입력 3 2 7 2" xfId="30305"/>
    <cellStyle name="입력 3 2 8" xfId="30306"/>
    <cellStyle name="입력 3 2 8 2" xfId="30307"/>
    <cellStyle name="입력 3 2 8 3" xfId="30308"/>
    <cellStyle name="입력 3 2 9" xfId="30309"/>
    <cellStyle name="입력 3 2 9 2" xfId="30310"/>
    <cellStyle name="입력 3 2 9 3" xfId="30311"/>
    <cellStyle name="입력 3 3" xfId="30312"/>
    <cellStyle name="입력 4" xfId="30313"/>
    <cellStyle name="입력 4 2" xfId="30314"/>
    <cellStyle name="입력 5" xfId="30315"/>
    <cellStyle name="입력 6" xfId="30316"/>
    <cellStyle name="입력 7" xfId="30317"/>
    <cellStyle name="입력 8" xfId="30318"/>
    <cellStyle name="입력 9" xfId="30319"/>
    <cellStyle name="자리수" xfId="30320"/>
    <cellStyle name="자리수 2" xfId="30321"/>
    <cellStyle name="자리수 2 2" xfId="30322"/>
    <cellStyle name="자리수0" xfId="30323"/>
    <cellStyle name="자리수0 2" xfId="30324"/>
    <cellStyle name="자리수0 2 2" xfId="30325"/>
    <cellStyle name="자리수0 3" xfId="30326"/>
    <cellStyle name="제목 1 10" xfId="30327"/>
    <cellStyle name="제목 1 11" xfId="30328"/>
    <cellStyle name="제목 1 12" xfId="30329"/>
    <cellStyle name="제목 1 13" xfId="30330"/>
    <cellStyle name="제목 1 14" xfId="30331"/>
    <cellStyle name="제목 1 15" xfId="30332"/>
    <cellStyle name="제목 1 2" xfId="30333"/>
    <cellStyle name="제목 1 2 2" xfId="30334"/>
    <cellStyle name="제목 1 2 2 2" xfId="30335"/>
    <cellStyle name="제목 1 2 3" xfId="30336"/>
    <cellStyle name="제목 1 3" xfId="30337"/>
    <cellStyle name="제목 1 3 2" xfId="30338"/>
    <cellStyle name="제목 1 3 3" xfId="30339"/>
    <cellStyle name="제목 1 4" xfId="30340"/>
    <cellStyle name="제목 1 4 2" xfId="30341"/>
    <cellStyle name="제목 1 5" xfId="30342"/>
    <cellStyle name="제목 1 6" xfId="30343"/>
    <cellStyle name="제목 1 7" xfId="30344"/>
    <cellStyle name="제목 1 8" xfId="30345"/>
    <cellStyle name="제목 1 9" xfId="30346"/>
    <cellStyle name="제목 10" xfId="30347"/>
    <cellStyle name="제목 11" xfId="30348"/>
    <cellStyle name="제목 12" xfId="30349"/>
    <cellStyle name="제목 13" xfId="30350"/>
    <cellStyle name="제목 14" xfId="30351"/>
    <cellStyle name="제목 15" xfId="30352"/>
    <cellStyle name="제목 16" xfId="30353"/>
    <cellStyle name="제목 17" xfId="30354"/>
    <cellStyle name="제목 18" xfId="30355"/>
    <cellStyle name="제목 2 10" xfId="30356"/>
    <cellStyle name="제목 2 11" xfId="30357"/>
    <cellStyle name="제목 2 12" xfId="30358"/>
    <cellStyle name="제목 2 13" xfId="30359"/>
    <cellStyle name="제목 2 14" xfId="30360"/>
    <cellStyle name="제목 2 15" xfId="30361"/>
    <cellStyle name="제목 2 2" xfId="30362"/>
    <cellStyle name="제목 2 2 2" xfId="30363"/>
    <cellStyle name="제목 2 2 2 2" xfId="30364"/>
    <cellStyle name="제목 2 2 3" xfId="30365"/>
    <cellStyle name="제목 2 3" xfId="30366"/>
    <cellStyle name="제목 2 3 2" xfId="30367"/>
    <cellStyle name="제목 2 3 3" xfId="30368"/>
    <cellStyle name="제목 2 4" xfId="30369"/>
    <cellStyle name="제목 2 4 2" xfId="30370"/>
    <cellStyle name="제목 2 5" xfId="30371"/>
    <cellStyle name="제목 2 6" xfId="30372"/>
    <cellStyle name="제목 2 7" xfId="30373"/>
    <cellStyle name="제목 2 8" xfId="30374"/>
    <cellStyle name="제목 2 9" xfId="30375"/>
    <cellStyle name="제목 3 10" xfId="30376"/>
    <cellStyle name="제목 3 11" xfId="30377"/>
    <cellStyle name="제목 3 12" xfId="30378"/>
    <cellStyle name="제목 3 13" xfId="30379"/>
    <cellStyle name="제목 3 14" xfId="30380"/>
    <cellStyle name="제목 3 15" xfId="30381"/>
    <cellStyle name="제목 3 2" xfId="30382"/>
    <cellStyle name="제목 3 2 2" xfId="30383"/>
    <cellStyle name="제목 3 2 2 10" xfId="30384"/>
    <cellStyle name="제목 3 2 2 2" xfId="30385"/>
    <cellStyle name="제목 3 2 2 2 2" xfId="30386"/>
    <cellStyle name="제목 3 2 2 3" xfId="30387"/>
    <cellStyle name="제목 3 2 2 3 2" xfId="30388"/>
    <cellStyle name="제목 3 2 2 4" xfId="30389"/>
    <cellStyle name="제목 3 2 2 4 2" xfId="30390"/>
    <cellStyle name="제목 3 2 2 5" xfId="30391"/>
    <cellStyle name="제목 3 2 2 5 2" xfId="30392"/>
    <cellStyle name="제목 3 2 2 6" xfId="30393"/>
    <cellStyle name="제목 3 2 2 6 2" xfId="30394"/>
    <cellStyle name="제목 3 2 2 7" xfId="30395"/>
    <cellStyle name="제목 3 2 2 7 2" xfId="30396"/>
    <cellStyle name="제목 3 2 2 8" xfId="30397"/>
    <cellStyle name="제목 3 2 2 8 2" xfId="30398"/>
    <cellStyle name="제목 3 2 2 9" xfId="30399"/>
    <cellStyle name="제목 3 2 2 9 2" xfId="30400"/>
    <cellStyle name="제목 3 2 3" xfId="30401"/>
    <cellStyle name="제목 3 3" xfId="30402"/>
    <cellStyle name="제목 3 3 2" xfId="30403"/>
    <cellStyle name="제목 3 3 2 2" xfId="30404"/>
    <cellStyle name="제목 3 3 2 2 2" xfId="30405"/>
    <cellStyle name="제목 3 3 2 3" xfId="30406"/>
    <cellStyle name="제목 3 3 2 3 2" xfId="30407"/>
    <cellStyle name="제목 3 3 2 4" xfId="30408"/>
    <cellStyle name="제목 3 3 2 4 2" xfId="30409"/>
    <cellStyle name="제목 3 3 2 5" xfId="30410"/>
    <cellStyle name="제목 3 3 2 5 2" xfId="30411"/>
    <cellStyle name="제목 3 3 2 6" xfId="30412"/>
    <cellStyle name="제목 3 3 2 6 2" xfId="30413"/>
    <cellStyle name="제목 3 3 2 7" xfId="30414"/>
    <cellStyle name="제목 3 3 2 7 2" xfId="30415"/>
    <cellStyle name="제목 3 3 2 8" xfId="30416"/>
    <cellStyle name="제목 3 3 2 8 2" xfId="30417"/>
    <cellStyle name="제목 3 3 2 9" xfId="30418"/>
    <cellStyle name="제목 3 3 2 9 2" xfId="30419"/>
    <cellStyle name="제목 3 3 3" xfId="30420"/>
    <cellStyle name="제목 3 4" xfId="30421"/>
    <cellStyle name="제목 3 4 2" xfId="30422"/>
    <cellStyle name="제목 3 5" xfId="30423"/>
    <cellStyle name="제목 3 6" xfId="30424"/>
    <cellStyle name="제목 3 7" xfId="30425"/>
    <cellStyle name="제목 3 8" xfId="30426"/>
    <cellStyle name="제목 3 9" xfId="30427"/>
    <cellStyle name="제목 4 10" xfId="30428"/>
    <cellStyle name="제목 4 11" xfId="30429"/>
    <cellStyle name="제목 4 12" xfId="30430"/>
    <cellStyle name="제목 4 13" xfId="30431"/>
    <cellStyle name="제목 4 14" xfId="30432"/>
    <cellStyle name="제목 4 15" xfId="30433"/>
    <cellStyle name="제목 4 2" xfId="30434"/>
    <cellStyle name="제목 4 2 2" xfId="30435"/>
    <cellStyle name="제목 4 2 2 2" xfId="30436"/>
    <cellStyle name="제목 4 2 3" xfId="30437"/>
    <cellStyle name="제목 4 3" xfId="30438"/>
    <cellStyle name="제목 4 3 2" xfId="30439"/>
    <cellStyle name="제목 4 3 3" xfId="30440"/>
    <cellStyle name="제목 4 4" xfId="30441"/>
    <cellStyle name="제목 4 4 2" xfId="30442"/>
    <cellStyle name="제목 4 5" xfId="30443"/>
    <cellStyle name="제목 4 6" xfId="30444"/>
    <cellStyle name="제목 4 7" xfId="30445"/>
    <cellStyle name="제목 4 8" xfId="30446"/>
    <cellStyle name="제목 4 9" xfId="30447"/>
    <cellStyle name="제목 5" xfId="30448"/>
    <cellStyle name="제목 5 2" xfId="30449"/>
    <cellStyle name="제목 5 2 2" xfId="30450"/>
    <cellStyle name="제목 5 3" xfId="30451"/>
    <cellStyle name="제목 6" xfId="30452"/>
    <cellStyle name="제목 6 2" xfId="30453"/>
    <cellStyle name="제목 6 3" xfId="30454"/>
    <cellStyle name="제목 7" xfId="30455"/>
    <cellStyle name="제목 7 2" xfId="30456"/>
    <cellStyle name="제목 8" xfId="30457"/>
    <cellStyle name="제목 9" xfId="30458"/>
    <cellStyle name="좋음 10" xfId="30459"/>
    <cellStyle name="좋음 11" xfId="30460"/>
    <cellStyle name="좋음 12" xfId="30461"/>
    <cellStyle name="좋음 13" xfId="30462"/>
    <cellStyle name="좋음 14" xfId="30463"/>
    <cellStyle name="좋음 15" xfId="30464"/>
    <cellStyle name="좋음 16" xfId="30465"/>
    <cellStyle name="좋음 17" xfId="30466"/>
    <cellStyle name="좋음 2" xfId="30467"/>
    <cellStyle name="좋음 2 2" xfId="30468"/>
    <cellStyle name="좋음 2 2 2" xfId="30469"/>
    <cellStyle name="좋음 2 3" xfId="30470"/>
    <cellStyle name="좋음 3" xfId="30471"/>
    <cellStyle name="좋음 3 2" xfId="30472"/>
    <cellStyle name="좋음 3 2 2" xfId="30473"/>
    <cellStyle name="좋음 3 3" xfId="30474"/>
    <cellStyle name="좋음 4" xfId="30475"/>
    <cellStyle name="좋음 4 2" xfId="30476"/>
    <cellStyle name="좋음 5" xfId="30477"/>
    <cellStyle name="좋음 6" xfId="30478"/>
    <cellStyle name="좋음 7" xfId="30479"/>
    <cellStyle name="좋음 8" xfId="30480"/>
    <cellStyle name="좋음 9" xfId="30481"/>
    <cellStyle name="지정되지 않음" xfId="30482"/>
    <cellStyle name="출력 10" xfId="30483"/>
    <cellStyle name="출력 11" xfId="30484"/>
    <cellStyle name="출력 12" xfId="30485"/>
    <cellStyle name="출력 13" xfId="30486"/>
    <cellStyle name="출력 14" xfId="30487"/>
    <cellStyle name="출력 15" xfId="30488"/>
    <cellStyle name="출력 2" xfId="30489"/>
    <cellStyle name="출력 2 2" xfId="30490"/>
    <cellStyle name="출력 2 2 10" xfId="30491"/>
    <cellStyle name="출력 2 2 10 2" xfId="30492"/>
    <cellStyle name="출력 2 2 10 3" xfId="30493"/>
    <cellStyle name="출력 2 2 11" xfId="30494"/>
    <cellStyle name="출력 2 2 11 2" xfId="30495"/>
    <cellStyle name="출력 2 2 11 3" xfId="30496"/>
    <cellStyle name="출력 2 2 12" xfId="30497"/>
    <cellStyle name="출력 2 2 13" xfId="30498"/>
    <cellStyle name="출력 2 2 14" xfId="30499"/>
    <cellStyle name="출력 2 2 2" xfId="30500"/>
    <cellStyle name="출력 2 2 2 2" xfId="30501"/>
    <cellStyle name="출력 2 2 3" xfId="30502"/>
    <cellStyle name="출력 2 2 3 2" xfId="30503"/>
    <cellStyle name="출력 2 2 4" xfId="30504"/>
    <cellStyle name="출력 2 2 4 2" xfId="30505"/>
    <cellStyle name="출력 2 2 5" xfId="30506"/>
    <cellStyle name="출력 2 2 5 2" xfId="30507"/>
    <cellStyle name="출력 2 2 6" xfId="30508"/>
    <cellStyle name="출력 2 2 6 2" xfId="30509"/>
    <cellStyle name="출력 2 2 7" xfId="30510"/>
    <cellStyle name="출력 2 2 7 2" xfId="30511"/>
    <cellStyle name="출력 2 2 8" xfId="30512"/>
    <cellStyle name="출력 2 2 8 2" xfId="30513"/>
    <cellStyle name="출력 2 2 8 3" xfId="30514"/>
    <cellStyle name="출력 2 2 9" xfId="30515"/>
    <cellStyle name="출력 2 2 9 2" xfId="30516"/>
    <cellStyle name="출력 2 2 9 3" xfId="30517"/>
    <cellStyle name="출력 2 3" xfId="30518"/>
    <cellStyle name="출력 2 4" xfId="30519"/>
    <cellStyle name="출력 3" xfId="30520"/>
    <cellStyle name="출력 3 2" xfId="30521"/>
    <cellStyle name="출력 3 2 10" xfId="30522"/>
    <cellStyle name="출력 3 2 10 2" xfId="30523"/>
    <cellStyle name="출력 3 2 10 3" xfId="30524"/>
    <cellStyle name="출력 3 2 11" xfId="30525"/>
    <cellStyle name="출력 3 2 11 2" xfId="30526"/>
    <cellStyle name="출력 3 2 11 3" xfId="30527"/>
    <cellStyle name="출력 3 2 12" xfId="30528"/>
    <cellStyle name="출력 3 2 13" xfId="30529"/>
    <cellStyle name="출력 3 2 2" xfId="30530"/>
    <cellStyle name="출력 3 2 2 2" xfId="30531"/>
    <cellStyle name="출력 3 2 3" xfId="30532"/>
    <cellStyle name="출력 3 2 3 2" xfId="30533"/>
    <cellStyle name="출력 3 2 4" xfId="30534"/>
    <cellStyle name="출력 3 2 4 2" xfId="30535"/>
    <cellStyle name="출력 3 2 5" xfId="30536"/>
    <cellStyle name="출력 3 2 5 2" xfId="30537"/>
    <cellStyle name="출력 3 2 6" xfId="30538"/>
    <cellStyle name="출력 3 2 6 2" xfId="30539"/>
    <cellStyle name="출력 3 2 7" xfId="30540"/>
    <cellStyle name="출력 3 2 7 2" xfId="30541"/>
    <cellStyle name="출력 3 2 8" xfId="30542"/>
    <cellStyle name="출력 3 2 8 2" xfId="30543"/>
    <cellStyle name="출력 3 2 8 3" xfId="30544"/>
    <cellStyle name="출력 3 2 9" xfId="30545"/>
    <cellStyle name="출력 3 2 9 2" xfId="30546"/>
    <cellStyle name="출력 3 2 9 3" xfId="30547"/>
    <cellStyle name="출력 3 3" xfId="30548"/>
    <cellStyle name="출력 4" xfId="30549"/>
    <cellStyle name="출력 4 2" xfId="30550"/>
    <cellStyle name="출력 5" xfId="30551"/>
    <cellStyle name="출력 6" xfId="30552"/>
    <cellStyle name="출력 7" xfId="30553"/>
    <cellStyle name="출력 8" xfId="30554"/>
    <cellStyle name="출력 9" xfId="30555"/>
    <cellStyle name="콤" xfId="30556"/>
    <cellStyle name="콤_ROTATION 유동" xfId="30557"/>
    <cellStyle name="콤_ROTATION 유동_도금 열처리 주단조 평가품의(040329)" xfId="30558"/>
    <cellStyle name="콤_ROTATION 유동_도금 열처리 주단조 평가품의(040329)_도금 열처리 주단조 평가품의(040329)" xfId="30559"/>
    <cellStyle name="콤_ROTATION 유동_도금 열처리 주단조 평가품의(040329)업체" xfId="30560"/>
    <cellStyle name="콤_ROTATION 유동_열처리결과품의(031017)개발" xfId="30561"/>
    <cellStyle name="콤_ROTATION 유동_열처리결과품의(031017)개발_도금 열처리 주단조 평가품의(040329)" xfId="30562"/>
    <cellStyle name="콤_ROTATION 유동_용접업종 평가결과품의(040510)" xfId="30563"/>
    <cellStyle name="콤_ROTATION 유동_용접업종 평가결과품의(040510)_용접업종 평가결과품의(040510)" xfId="30564"/>
    <cellStyle name="콤_ROTATION 유동_용접업종 평가결과품의(040510)_용접업종 평가결과품의(040510)(1)" xfId="30565"/>
    <cellStyle name="콤_ROTATION 유동_용접업종 평가결과품의(040510)_주단조용접업종 평가결과품의(040510)(1)" xfId="30566"/>
    <cellStyle name="콤_ROTATION 유동_주단조 업종 평가결과품의(040407)" xfId="30567"/>
    <cellStyle name="콤_ROTATION 유동_주단조 업종 평가결과품의(040407)_용접업종 평가결과품의(040510)" xfId="30568"/>
    <cellStyle name="콤_ROTATION 유동_주단조 업종 평가결과품의(040407)_용접업종 평가결과품의(040510)(1)" xfId="30569"/>
    <cellStyle name="콤_ROTATION 유동_주단조 업종 평가결과품의(040407)_주단조용접업종 평가결과품의(040510)(1)" xfId="30570"/>
    <cellStyle name="콤_ROTATION 유동_주단조 업종 평가결과품의(040416)(1)" xfId="30571"/>
    <cellStyle name="콤_ROTATION 유동_주단조 업종 평가결과품의(040416)(1)_용접업종 평가결과품의(040510)" xfId="30572"/>
    <cellStyle name="콤_ROTATION 유동_주단조 업종 평가결과품의(040416)(1)_용접업종 평가결과품의(040510)(1)" xfId="30573"/>
    <cellStyle name="콤_ROTATION 유동_주단조 업종 평가결과품의(040416)(1)_주단조용접업종 평가결과품의(040510)(1)" xfId="30574"/>
    <cellStyle name="콤_ROTATION 유동_최신-SQ인증업체현황1343사(03년평가완료031229수정)" xfId="30575"/>
    <cellStyle name="콤_ROTATION 유동_최신-SQ인증업체현황1343사(03년평가완료031229수정)_용접업종 평가결과품의(040510)" xfId="30576"/>
    <cellStyle name="콤_ROTATION 유동_최신-SQ인증업체현황1343사(03년평가완료031229수정)_용접업종 평가결과품의(040510)(1)" xfId="30577"/>
    <cellStyle name="콤_ROTATION 유동_최신-SQ인증업체현황1343사(03년평가완료031229수정)_주단조용접업종 평가결과품의(040510)(1)" xfId="30578"/>
    <cellStyle name="콤_SLIDE 폭" xfId="30579"/>
    <cellStyle name="콤_SLIDE 폭_도금 열처리 주단조 평가품의(040329)" xfId="30580"/>
    <cellStyle name="콤_SLIDE 폭_도금 열처리 주단조 평가품의(040329)_도금 열처리 주단조 평가품의(040329)" xfId="30581"/>
    <cellStyle name="콤_SLIDE 폭_도금 열처리 주단조 평가품의(040329)업체" xfId="30582"/>
    <cellStyle name="콤_SLIDE 폭_열처리결과품의(031017)개발" xfId="30583"/>
    <cellStyle name="콤_SLIDE 폭_열처리결과품의(031017)개발_도금 열처리 주단조 평가품의(040329)" xfId="30584"/>
    <cellStyle name="콤_SLIDE 폭_용접업종 평가결과품의(040510)" xfId="30585"/>
    <cellStyle name="콤_SLIDE 폭_용접업종 평가결과품의(040510)_용접업종 평가결과품의(040510)" xfId="30586"/>
    <cellStyle name="콤_SLIDE 폭_용접업종 평가결과품의(040510)_용접업종 평가결과품의(040510)(1)" xfId="30587"/>
    <cellStyle name="콤_SLIDE 폭_용접업종 평가결과품의(040510)_주단조용접업종 평가결과품의(040510)(1)" xfId="30588"/>
    <cellStyle name="콤_SLIDE 폭_주단조 업종 평가결과품의(040407)" xfId="30589"/>
    <cellStyle name="콤_SLIDE 폭_주단조 업종 평가결과품의(040407)_용접업종 평가결과품의(040510)" xfId="30590"/>
    <cellStyle name="콤_SLIDE 폭_주단조 업종 평가결과품의(040407)_용접업종 평가결과품의(040510)(1)" xfId="30591"/>
    <cellStyle name="콤_SLIDE 폭_주단조 업종 평가결과품의(040407)_주단조용접업종 평가결과품의(040510)(1)" xfId="30592"/>
    <cellStyle name="콤_SLIDE 폭_주단조 업종 평가결과품의(040416)(1)" xfId="30593"/>
    <cellStyle name="콤_SLIDE 폭_주단조 업종 평가결과품의(040416)(1)_용접업종 평가결과품의(040510)" xfId="30594"/>
    <cellStyle name="콤_SLIDE 폭_주단조 업종 평가결과품의(040416)(1)_용접업종 평가결과품의(040510)(1)" xfId="30595"/>
    <cellStyle name="콤_SLIDE 폭_주단조 업종 평가결과품의(040416)(1)_주단조용접업종 평가결과품의(040510)(1)" xfId="30596"/>
    <cellStyle name="콤_SLIDE 폭_최신-SQ인증업체현황1343사(03년평가완료031229수정)" xfId="30597"/>
    <cellStyle name="콤_SLIDE 폭_최신-SQ인증업체현황1343사(03년평가완료031229수정)_용접업종 평가결과품의(040510)" xfId="30598"/>
    <cellStyle name="콤_SLIDE 폭_최신-SQ인증업체현황1343사(03년평가완료031229수정)_용접업종 평가결과품의(040510)(1)" xfId="30599"/>
    <cellStyle name="콤_SLIDE 폭_최신-SQ인증업체현황1343사(03년평가완료031229수정)_주단조용접업종 평가결과품의(040510)(1)" xfId="30600"/>
    <cellStyle name="콤_도금 열처리 주단조 평가품의(040329)" xfId="30601"/>
    <cellStyle name="콤_도금 열처리 주단조 평가품의(040329)_도금 열처리 주단조 평가품의(040329)" xfId="30602"/>
    <cellStyle name="콤_도금 열처리 주단조 평가품의(040329)업체" xfId="30603"/>
    <cellStyle name="콤_사전회의(1208)" xfId="30604"/>
    <cellStyle name="콤_사전회의(1208)_ROTATION 유동" xfId="30605"/>
    <cellStyle name="콤_사전회의(1208)_ROTATION 유동_도금 열처리 주단조 평가품의(040329)" xfId="30606"/>
    <cellStyle name="콤_사전회의(1208)_ROTATION 유동_도금 열처리 주단조 평가품의(040329)_도금 열처리 주단조 평가품의(040329)" xfId="30607"/>
    <cellStyle name="콤_사전회의(1208)_ROTATION 유동_도금 열처리 주단조 평가품의(040329)업체" xfId="30608"/>
    <cellStyle name="콤_사전회의(1208)_ROTATION 유동_열처리결과품의(031017)개발" xfId="30609"/>
    <cellStyle name="콤_사전회의(1208)_ROTATION 유동_열처리결과품의(031017)개발_도금 열처리 주단조 평가품의(040329)" xfId="30610"/>
    <cellStyle name="콤_사전회의(1208)_ROTATION 유동_용접업종 평가결과품의(040510)" xfId="30611"/>
    <cellStyle name="콤_사전회의(1208)_ROTATION 유동_용접업종 평가결과품의(040510)_용접업종 평가결과품의(040510)" xfId="30612"/>
    <cellStyle name="콤_사전회의(1208)_ROTATION 유동_용접업종 평가결과품의(040510)_용접업종 평가결과품의(040510)(1)" xfId="30613"/>
    <cellStyle name="콤_사전회의(1208)_ROTATION 유동_용접업종 평가결과품의(040510)_주단조용접업종 평가결과품의(040510)(1)" xfId="30614"/>
    <cellStyle name="콤_사전회의(1208)_ROTATION 유동_주단조 업종 평가결과품의(040407)" xfId="30615"/>
    <cellStyle name="콤_사전회의(1208)_ROTATION 유동_주단조 업종 평가결과품의(040407)_용접업종 평가결과품의(040510)" xfId="30616"/>
    <cellStyle name="콤_사전회의(1208)_ROTATION 유동_주단조 업종 평가결과품의(040407)_용접업종 평가결과품의(040510)(1)" xfId="30617"/>
    <cellStyle name="콤_사전회의(1208)_ROTATION 유동_주단조 업종 평가결과품의(040407)_주단조용접업종 평가결과품의(040510)(1)" xfId="30618"/>
    <cellStyle name="콤_사전회의(1208)_ROTATION 유동_주단조 업종 평가결과품의(040416)(1)" xfId="30619"/>
    <cellStyle name="콤_사전회의(1208)_ROTATION 유동_주단조 업종 평가결과품의(040416)(1)_용접업종 평가결과품의(040510)" xfId="30620"/>
    <cellStyle name="콤_사전회의(1208)_ROTATION 유동_주단조 업종 평가결과품의(040416)(1)_용접업종 평가결과품의(040510)(1)" xfId="30621"/>
    <cellStyle name="콤_사전회의(1208)_ROTATION 유동_주단조 업종 평가결과품의(040416)(1)_주단조용접업종 평가결과품의(040510)(1)" xfId="30622"/>
    <cellStyle name="콤_사전회의(1208)_ROTATION 유동_최신-SQ인증업체현황1343사(03년평가완료031229수정)" xfId="30623"/>
    <cellStyle name="콤_사전회의(1208)_ROTATION 유동_최신-SQ인증업체현황1343사(03년평가완료031229수정)_용접업종 평가결과품의(040510)" xfId="30624"/>
    <cellStyle name="콤_사전회의(1208)_ROTATION 유동_최신-SQ인증업체현황1343사(03년평가완료031229수정)_용접업종 평가결과품의(040510)(1)" xfId="30625"/>
    <cellStyle name="콤_사전회의(1208)_ROTATION 유동_최신-SQ인증업체현황1343사(03년평가완료031229수정)_주단조용접업종 평가결과품의(040510)(1)" xfId="30626"/>
    <cellStyle name="콤_사전회의(1208)_SLIDE 폭" xfId="30627"/>
    <cellStyle name="콤_사전회의(1208)_SLIDE 폭_도금 열처리 주단조 평가품의(040329)" xfId="30628"/>
    <cellStyle name="콤_사전회의(1208)_SLIDE 폭_도금 열처리 주단조 평가품의(040329)_도금 열처리 주단조 평가품의(040329)" xfId="30629"/>
    <cellStyle name="콤_사전회의(1208)_SLIDE 폭_도금 열처리 주단조 평가품의(040329)업체" xfId="30630"/>
    <cellStyle name="콤_사전회의(1208)_SLIDE 폭_열처리결과품의(031017)개발" xfId="30631"/>
    <cellStyle name="콤_사전회의(1208)_SLIDE 폭_열처리결과품의(031017)개발_도금 열처리 주단조 평가품의(040329)" xfId="30632"/>
    <cellStyle name="콤_사전회의(1208)_SLIDE 폭_용접업종 평가결과품의(040510)" xfId="30633"/>
    <cellStyle name="콤_사전회의(1208)_SLIDE 폭_용접업종 평가결과품의(040510)_용접업종 평가결과품의(040510)" xfId="30634"/>
    <cellStyle name="콤_사전회의(1208)_SLIDE 폭_용접업종 평가결과품의(040510)_용접업종 평가결과품의(040510)(1)" xfId="30635"/>
    <cellStyle name="콤_사전회의(1208)_SLIDE 폭_용접업종 평가결과품의(040510)_주단조용접업종 평가결과품의(040510)(1)" xfId="30636"/>
    <cellStyle name="콤_사전회의(1208)_SLIDE 폭_주단조 업종 평가결과품의(040407)" xfId="30637"/>
    <cellStyle name="콤_사전회의(1208)_SLIDE 폭_주단조 업종 평가결과품의(040407)_용접업종 평가결과품의(040510)" xfId="30638"/>
    <cellStyle name="콤_사전회의(1208)_SLIDE 폭_주단조 업종 평가결과품의(040407)_용접업종 평가결과품의(040510)(1)" xfId="30639"/>
    <cellStyle name="콤_사전회의(1208)_SLIDE 폭_주단조 업종 평가결과품의(040407)_주단조용접업종 평가결과품의(040510)(1)" xfId="30640"/>
    <cellStyle name="콤_사전회의(1208)_SLIDE 폭_주단조 업종 평가결과품의(040416)(1)" xfId="30641"/>
    <cellStyle name="콤_사전회의(1208)_SLIDE 폭_주단조 업종 평가결과품의(040416)(1)_용접업종 평가결과품의(040510)" xfId="30642"/>
    <cellStyle name="콤_사전회의(1208)_SLIDE 폭_주단조 업종 평가결과품의(040416)(1)_용접업종 평가결과품의(040510)(1)" xfId="30643"/>
    <cellStyle name="콤_사전회의(1208)_SLIDE 폭_주단조 업종 평가결과품의(040416)(1)_주단조용접업종 평가결과품의(040510)(1)" xfId="30644"/>
    <cellStyle name="콤_사전회의(1208)_SLIDE 폭_최신-SQ인증업체현황1343사(03년평가완료031229수정)" xfId="30645"/>
    <cellStyle name="콤_사전회의(1208)_SLIDE 폭_최신-SQ인증업체현황1343사(03년평가완료031229수정)_용접업종 평가결과품의(040510)" xfId="30646"/>
    <cellStyle name="콤_사전회의(1208)_SLIDE 폭_최신-SQ인증업체현황1343사(03년평가완료031229수정)_용접업종 평가결과품의(040510)(1)" xfId="30647"/>
    <cellStyle name="콤_사전회의(1208)_SLIDE 폭_최신-SQ인증업체현황1343사(03년평가완료031229수정)_주단조용접업종 평가결과품의(040510)(1)" xfId="30648"/>
    <cellStyle name="콤_사전회의(1208)_도금 열처리 주단조 평가품의(040329)" xfId="30649"/>
    <cellStyle name="콤_사전회의(1208)_도금 열처리 주단조 평가품의(040329)_도금 열처리 주단조 평가품의(040329)" xfId="30650"/>
    <cellStyle name="콤_사전회의(1208)_도금 열처리 주단조 평가품의(040329)업체" xfId="30651"/>
    <cellStyle name="콤_사전회의(1208)_새벽시장1" xfId="30652"/>
    <cellStyle name="콤_사전회의(1208)_새벽시장1_도금 열처리 주단조 평가품의(040329)" xfId="30653"/>
    <cellStyle name="콤_사전회의(1208)_새벽시장1_도금 열처리 주단조 평가품의(040329)_도금 열처리 주단조 평가품의(040329)" xfId="30654"/>
    <cellStyle name="콤_사전회의(1208)_새벽시장1_도금 열처리 주단조 평가품의(040329)업체" xfId="30655"/>
    <cellStyle name="콤_사전회의(1208)_새벽시장1_열처리결과품의(031017)개발" xfId="30656"/>
    <cellStyle name="콤_사전회의(1208)_새벽시장1_열처리결과품의(031017)개발_도금 열처리 주단조 평가품의(040329)" xfId="30657"/>
    <cellStyle name="콤_사전회의(1208)_새벽시장1_용접업종 평가결과품의(040510)" xfId="30658"/>
    <cellStyle name="콤_사전회의(1208)_새벽시장1_용접업종 평가결과품의(040510)_용접업종 평가결과품의(040510)" xfId="30659"/>
    <cellStyle name="콤_사전회의(1208)_새벽시장1_용접업종 평가결과품의(040510)_용접업종 평가결과품의(040510)(1)" xfId="30660"/>
    <cellStyle name="콤_사전회의(1208)_새벽시장1_용접업종 평가결과품의(040510)_주단조용접업종 평가결과품의(040510)(1)" xfId="30661"/>
    <cellStyle name="콤_사전회의(1208)_새벽시장1_주단조 업종 평가결과품의(040407)" xfId="30662"/>
    <cellStyle name="콤_사전회의(1208)_새벽시장1_주단조 업종 평가결과품의(040407)_용접업종 평가결과품의(040510)" xfId="30663"/>
    <cellStyle name="콤_사전회의(1208)_새벽시장1_주단조 업종 평가결과품의(040407)_용접업종 평가결과품의(040510)(1)" xfId="30664"/>
    <cellStyle name="콤_사전회의(1208)_새벽시장1_주단조 업종 평가결과품의(040407)_주단조용접업종 평가결과품의(040510)(1)" xfId="30665"/>
    <cellStyle name="콤_사전회의(1208)_새벽시장1_주단조 업종 평가결과품의(040416)(1)" xfId="30666"/>
    <cellStyle name="콤_사전회의(1208)_새벽시장1_주단조 업종 평가결과품의(040416)(1)_용접업종 평가결과품의(040510)" xfId="30667"/>
    <cellStyle name="콤_사전회의(1208)_새벽시장1_주단조 업종 평가결과품의(040416)(1)_용접업종 평가결과품의(040510)(1)" xfId="30668"/>
    <cellStyle name="콤_사전회의(1208)_새벽시장1_주단조 업종 평가결과품의(040416)(1)_주단조용접업종 평가결과품의(040510)(1)" xfId="30669"/>
    <cellStyle name="콤_사전회의(1208)_새벽시장1_최신-SQ인증업체현황1343사(03년평가완료031229수정)" xfId="30670"/>
    <cellStyle name="콤_사전회의(1208)_새벽시장1_최신-SQ인증업체현황1343사(03년평가완료031229수정)_용접업종 평가결과품의(040510)" xfId="30671"/>
    <cellStyle name="콤_사전회의(1208)_새벽시장1_최신-SQ인증업체현황1343사(03년평가완료031229수정)_용접업종 평가결과품의(040510)(1)" xfId="30672"/>
    <cellStyle name="콤_사전회의(1208)_새벽시장1_최신-SQ인증업체현황1343사(03년평가완료031229수정)_주단조용접업종 평가결과품의(040510)(1)" xfId="30673"/>
    <cellStyle name="콤_사전회의(1208)_새벽시장3" xfId="30674"/>
    <cellStyle name="콤_사전회의(1208)_새벽시장3_도금 열처리 주단조 평가품의(040329)" xfId="30675"/>
    <cellStyle name="콤_사전회의(1208)_새벽시장3_도금 열처리 주단조 평가품의(040329)_도금 열처리 주단조 평가품의(040329)" xfId="30676"/>
    <cellStyle name="콤_사전회의(1208)_새벽시장3_도금 열처리 주단조 평가품의(040329)업체" xfId="30677"/>
    <cellStyle name="콤_사전회의(1208)_새벽시장3_열처리결과품의(031017)개발" xfId="30678"/>
    <cellStyle name="콤_사전회의(1208)_새벽시장3_열처리결과품의(031017)개발_도금 열처리 주단조 평가품의(040329)" xfId="30679"/>
    <cellStyle name="콤_사전회의(1208)_새벽시장3_용접업종 평가결과품의(040510)" xfId="30680"/>
    <cellStyle name="콤_사전회의(1208)_새벽시장3_용접업종 평가결과품의(040510)_용접업종 평가결과품의(040510)" xfId="30681"/>
    <cellStyle name="콤_사전회의(1208)_새벽시장3_용접업종 평가결과품의(040510)_용접업종 평가결과품의(040510)(1)" xfId="30682"/>
    <cellStyle name="콤_사전회의(1208)_새벽시장3_용접업종 평가결과품의(040510)_주단조용접업종 평가결과품의(040510)(1)" xfId="30683"/>
    <cellStyle name="콤_사전회의(1208)_새벽시장3_주단조 업종 평가결과품의(040407)" xfId="30684"/>
    <cellStyle name="콤_사전회의(1208)_새벽시장3_주단조 업종 평가결과품의(040407)_용접업종 평가결과품의(040510)" xfId="30685"/>
    <cellStyle name="콤_사전회의(1208)_새벽시장3_주단조 업종 평가결과품의(040407)_용접업종 평가결과품의(040510)(1)" xfId="30686"/>
    <cellStyle name="콤_사전회의(1208)_새벽시장3_주단조 업종 평가결과품의(040407)_주단조용접업종 평가결과품의(040510)(1)" xfId="30687"/>
    <cellStyle name="콤_사전회의(1208)_새벽시장3_주단조 업종 평가결과품의(040416)(1)" xfId="30688"/>
    <cellStyle name="콤_사전회의(1208)_새벽시장3_주단조 업종 평가결과품의(040416)(1)_용접업종 평가결과품의(040510)" xfId="30689"/>
    <cellStyle name="콤_사전회의(1208)_새벽시장3_주단조 업종 평가결과품의(040416)(1)_용접업종 평가결과품의(040510)(1)" xfId="30690"/>
    <cellStyle name="콤_사전회의(1208)_새벽시장3_주단조 업종 평가결과품의(040416)(1)_주단조용접업종 평가결과품의(040510)(1)" xfId="30691"/>
    <cellStyle name="콤_사전회의(1208)_새벽시장3_최신-SQ인증업체현황1343사(03년평가완료031229수정)" xfId="30692"/>
    <cellStyle name="콤_사전회의(1208)_새벽시장3_최신-SQ인증업체현황1343사(03년평가완료031229수정)_용접업종 평가결과품의(040510)" xfId="30693"/>
    <cellStyle name="콤_사전회의(1208)_새벽시장3_최신-SQ인증업체현황1343사(03년평가완료031229수정)_용접업종 평가결과품의(040510)(1)" xfId="30694"/>
    <cellStyle name="콤_사전회의(1208)_새벽시장3_최신-SQ인증업체현황1343사(03년평가완료031229수정)_주단조용접업종 평가결과품의(040510)(1)" xfId="30695"/>
    <cellStyle name="콤_사전회의(1208)_새벽시장5" xfId="30696"/>
    <cellStyle name="콤_사전회의(1208)_새벽시장5_도금 열처리 주단조 평가품의(040329)" xfId="30697"/>
    <cellStyle name="콤_사전회의(1208)_새벽시장5_도금 열처리 주단조 평가품의(040329)_도금 열처리 주단조 평가품의(040329)" xfId="30698"/>
    <cellStyle name="콤_사전회의(1208)_새벽시장5_도금 열처리 주단조 평가품의(040329)업체" xfId="30699"/>
    <cellStyle name="콤_사전회의(1208)_새벽시장5_열처리결과품의(031017)개발" xfId="30700"/>
    <cellStyle name="콤_사전회의(1208)_새벽시장5_열처리결과품의(031017)개발_도금 열처리 주단조 평가품의(040329)" xfId="30701"/>
    <cellStyle name="콤_사전회의(1208)_새벽시장5_용접업종 평가결과품의(040510)" xfId="30702"/>
    <cellStyle name="콤_사전회의(1208)_새벽시장5_용접업종 평가결과품의(040510)_용접업종 평가결과품의(040510)" xfId="30703"/>
    <cellStyle name="콤_사전회의(1208)_새벽시장5_용접업종 평가결과품의(040510)_용접업종 평가결과품의(040510)(1)" xfId="30704"/>
    <cellStyle name="콤_사전회의(1208)_새벽시장5_용접업종 평가결과품의(040510)_주단조용접업종 평가결과품의(040510)(1)" xfId="30705"/>
    <cellStyle name="콤_사전회의(1208)_새벽시장5_주단조 업종 평가결과품의(040407)" xfId="30706"/>
    <cellStyle name="콤_사전회의(1208)_새벽시장5_주단조 업종 평가결과품의(040407)_용접업종 평가결과품의(040510)" xfId="30707"/>
    <cellStyle name="콤_사전회의(1208)_새벽시장5_주단조 업종 평가결과품의(040407)_용접업종 평가결과품의(040510)(1)" xfId="30708"/>
    <cellStyle name="콤_사전회의(1208)_새벽시장5_주단조 업종 평가결과품의(040407)_주단조용접업종 평가결과품의(040510)(1)" xfId="30709"/>
    <cellStyle name="콤_사전회의(1208)_새벽시장5_주단조 업종 평가결과품의(040416)(1)" xfId="30710"/>
    <cellStyle name="콤_사전회의(1208)_새벽시장5_주단조 업종 평가결과품의(040416)(1)_용접업종 평가결과품의(040510)" xfId="30711"/>
    <cellStyle name="콤_사전회의(1208)_새벽시장5_주단조 업종 평가결과품의(040416)(1)_용접업종 평가결과품의(040510)(1)" xfId="30712"/>
    <cellStyle name="콤_사전회의(1208)_새벽시장5_주단조 업종 평가결과품의(040416)(1)_주단조용접업종 평가결과품의(040510)(1)" xfId="30713"/>
    <cellStyle name="콤_사전회의(1208)_새벽시장5_최신-SQ인증업체현황1343사(03년평가완료031229수정)" xfId="30714"/>
    <cellStyle name="콤_사전회의(1208)_새벽시장5_최신-SQ인증업체현황1343사(03년평가완료031229수정)_용접업종 평가결과품의(040510)" xfId="30715"/>
    <cellStyle name="콤_사전회의(1208)_새벽시장5_최신-SQ인증업체현황1343사(03년평가완료031229수정)_용접업종 평가결과품의(040510)(1)" xfId="30716"/>
    <cellStyle name="콤_사전회의(1208)_새벽시장5_최신-SQ인증업체현황1343사(03년평가완료031229수정)_주단조용접업종 평가결과품의(040510)(1)" xfId="30717"/>
    <cellStyle name="콤_사전회의(1208)_새벽시장7" xfId="30718"/>
    <cellStyle name="콤_사전회의(1208)_새벽시장7_도금 열처리 주단조 평가품의(040329)" xfId="30719"/>
    <cellStyle name="콤_사전회의(1208)_새벽시장7_도금 열처리 주단조 평가품의(040329)_도금 열처리 주단조 평가품의(040329)" xfId="30720"/>
    <cellStyle name="콤_사전회의(1208)_새벽시장7_도금 열처리 주단조 평가품의(040329)업체" xfId="30721"/>
    <cellStyle name="콤_사전회의(1208)_새벽시장7_열처리결과품의(031017)개발" xfId="30722"/>
    <cellStyle name="콤_사전회의(1208)_새벽시장7_열처리결과품의(031017)개발_도금 열처리 주단조 평가품의(040329)" xfId="30723"/>
    <cellStyle name="콤_사전회의(1208)_새벽시장7_용접업종 평가결과품의(040510)" xfId="30724"/>
    <cellStyle name="콤_사전회의(1208)_새벽시장7_용접업종 평가결과품의(040510)_용접업종 평가결과품의(040510)" xfId="30725"/>
    <cellStyle name="콤_사전회의(1208)_새벽시장7_용접업종 평가결과품의(040510)_용접업종 평가결과품의(040510)(1)" xfId="30726"/>
    <cellStyle name="콤_사전회의(1208)_새벽시장7_용접업종 평가결과품의(040510)_주단조용접업종 평가결과품의(040510)(1)" xfId="30727"/>
    <cellStyle name="콤_사전회의(1208)_새벽시장7_주단조 업종 평가결과품의(040407)" xfId="30728"/>
    <cellStyle name="콤_사전회의(1208)_새벽시장7_주단조 업종 평가결과품의(040407)_용접업종 평가결과품의(040510)" xfId="30729"/>
    <cellStyle name="콤_사전회의(1208)_새벽시장7_주단조 업종 평가결과품의(040407)_용접업종 평가결과품의(040510)(1)" xfId="30730"/>
    <cellStyle name="콤_사전회의(1208)_새벽시장7_주단조 업종 평가결과품의(040407)_주단조용접업종 평가결과품의(040510)(1)" xfId="30731"/>
    <cellStyle name="콤_사전회의(1208)_새벽시장7_주단조 업종 평가결과품의(040416)(1)" xfId="30732"/>
    <cellStyle name="콤_사전회의(1208)_새벽시장7_주단조 업종 평가결과품의(040416)(1)_용접업종 평가결과품의(040510)" xfId="30733"/>
    <cellStyle name="콤_사전회의(1208)_새벽시장7_주단조 업종 평가결과품의(040416)(1)_용접업종 평가결과품의(040510)(1)" xfId="30734"/>
    <cellStyle name="콤_사전회의(1208)_새벽시장7_주단조 업종 평가결과품의(040416)(1)_주단조용접업종 평가결과품의(040510)(1)" xfId="30735"/>
    <cellStyle name="콤_사전회의(1208)_새벽시장7_최신-SQ인증업체현황1343사(03년평가완료031229수정)" xfId="30736"/>
    <cellStyle name="콤_사전회의(1208)_새벽시장7_최신-SQ인증업체현황1343사(03년평가완료031229수정)_용접업종 평가결과품의(040510)" xfId="30737"/>
    <cellStyle name="콤_사전회의(1208)_새벽시장7_최신-SQ인증업체현황1343사(03년평가완료031229수정)_용접업종 평가결과품의(040510)(1)" xfId="30738"/>
    <cellStyle name="콤_사전회의(1208)_새벽시장7_최신-SQ인증업체현황1343사(03년평가완료031229수정)_주단조용접업종 평가결과품의(040510)(1)" xfId="30739"/>
    <cellStyle name="콤_사전회의(1208)_새벽시장8.10xls" xfId="30740"/>
    <cellStyle name="콤_사전회의(1208)_새벽시장8.10xls_도금 열처리 주단조 평가품의(040329)" xfId="30741"/>
    <cellStyle name="콤_사전회의(1208)_새벽시장8.10xls_도금 열처리 주단조 평가품의(040329)_도금 열처리 주단조 평가품의(040329)" xfId="30742"/>
    <cellStyle name="콤_사전회의(1208)_새벽시장8.10xls_도금 열처리 주단조 평가품의(040329)업체" xfId="30743"/>
    <cellStyle name="콤_사전회의(1208)_새벽시장8.10xls_열처리결과품의(031017)개발" xfId="30744"/>
    <cellStyle name="콤_사전회의(1208)_새벽시장8.10xls_열처리결과품의(031017)개발_도금 열처리 주단조 평가품의(040329)" xfId="30745"/>
    <cellStyle name="콤_사전회의(1208)_새벽시장8.10xls_용접업종 평가결과품의(040510)" xfId="30746"/>
    <cellStyle name="콤_사전회의(1208)_새벽시장8.10xls_용접업종 평가결과품의(040510)_용접업종 평가결과품의(040510)" xfId="30747"/>
    <cellStyle name="콤_사전회의(1208)_새벽시장8.10xls_용접업종 평가결과품의(040510)_용접업종 평가결과품의(040510)(1)" xfId="30748"/>
    <cellStyle name="콤_사전회의(1208)_새벽시장8.10xls_용접업종 평가결과품의(040510)_주단조용접업종 평가결과품의(040510)(1)" xfId="30749"/>
    <cellStyle name="콤_사전회의(1208)_새벽시장8.10xls_주단조 업종 평가결과품의(040407)" xfId="30750"/>
    <cellStyle name="콤_사전회의(1208)_새벽시장8.10xls_주단조 업종 평가결과품의(040407)_용접업종 평가결과품의(040510)" xfId="30751"/>
    <cellStyle name="콤_사전회의(1208)_새벽시장8.10xls_주단조 업종 평가결과품의(040407)_용접업종 평가결과품의(040510)(1)" xfId="30752"/>
    <cellStyle name="콤_사전회의(1208)_새벽시장8.10xls_주단조 업종 평가결과품의(040407)_주단조용접업종 평가결과품의(040510)(1)" xfId="30753"/>
    <cellStyle name="콤_사전회의(1208)_새벽시장8.10xls_주단조 업종 평가결과품의(040416)(1)" xfId="30754"/>
    <cellStyle name="콤_사전회의(1208)_새벽시장8.10xls_주단조 업종 평가결과품의(040416)(1)_용접업종 평가결과품의(040510)" xfId="30755"/>
    <cellStyle name="콤_사전회의(1208)_새벽시장8.10xls_주단조 업종 평가결과품의(040416)(1)_용접업종 평가결과품의(040510)(1)" xfId="30756"/>
    <cellStyle name="콤_사전회의(1208)_새벽시장8.10xls_주단조 업종 평가결과품의(040416)(1)_주단조용접업종 평가결과품의(040510)(1)" xfId="30757"/>
    <cellStyle name="콤_사전회의(1208)_새벽시장8.10xls_최신-SQ인증업체현황1343사(03년평가완료031229수정)" xfId="30758"/>
    <cellStyle name="콤_사전회의(1208)_새벽시장8.10xls_최신-SQ인증업체현황1343사(03년평가완료031229수정)_용접업종 평가결과품의(040510)" xfId="30759"/>
    <cellStyle name="콤_사전회의(1208)_새벽시장8.10xls_최신-SQ인증업체현황1343사(03년평가완료031229수정)_용접업종 평가결과품의(040510)(1)" xfId="30760"/>
    <cellStyle name="콤_사전회의(1208)_새벽시장8.10xls_최신-SQ인증업체현황1343사(03년평가완료031229수정)_주단조용접업종 평가결과품의(040510)(1)" xfId="30761"/>
    <cellStyle name="콤_사전회의(1208)_새벽시장8.26xls" xfId="30762"/>
    <cellStyle name="콤_사전회의(1208)_새벽시장8.26xls_도금 열처리 주단조 평가품의(040329)" xfId="30763"/>
    <cellStyle name="콤_사전회의(1208)_새벽시장8.26xls_도금 열처리 주단조 평가품의(040329)_도금 열처리 주단조 평가품의(040329)" xfId="30764"/>
    <cellStyle name="콤_사전회의(1208)_새벽시장8.26xls_도금 열처리 주단조 평가품의(040329)업체" xfId="30765"/>
    <cellStyle name="콤_사전회의(1208)_새벽시장8.26xls_열처리결과품의(031017)개발" xfId="30766"/>
    <cellStyle name="콤_사전회의(1208)_새벽시장8.26xls_열처리결과품의(031017)개발_도금 열처리 주단조 평가품의(040329)" xfId="30767"/>
    <cellStyle name="콤_사전회의(1208)_새벽시장8.26xls_용접업종 평가결과품의(040510)" xfId="30768"/>
    <cellStyle name="콤_사전회의(1208)_새벽시장8.26xls_용접업종 평가결과품의(040510)_용접업종 평가결과품의(040510)" xfId="30769"/>
    <cellStyle name="콤_사전회의(1208)_새벽시장8.26xls_용접업종 평가결과품의(040510)_용접업종 평가결과품의(040510)(1)" xfId="30770"/>
    <cellStyle name="콤_사전회의(1208)_새벽시장8.26xls_용접업종 평가결과품의(040510)_주단조용접업종 평가결과품의(040510)(1)" xfId="30771"/>
    <cellStyle name="콤_사전회의(1208)_새벽시장8.26xls_주단조 업종 평가결과품의(040407)" xfId="30772"/>
    <cellStyle name="콤_사전회의(1208)_새벽시장8.26xls_주단조 업종 평가결과품의(040407)_용접업종 평가결과품의(040510)" xfId="30773"/>
    <cellStyle name="콤_사전회의(1208)_새벽시장8.26xls_주단조 업종 평가결과품의(040407)_용접업종 평가결과품의(040510)(1)" xfId="30774"/>
    <cellStyle name="콤_사전회의(1208)_새벽시장8.26xls_주단조 업종 평가결과품의(040407)_주단조용접업종 평가결과품의(040510)(1)" xfId="30775"/>
    <cellStyle name="콤_사전회의(1208)_새벽시장8.26xls_주단조 업종 평가결과품의(040416)(1)" xfId="30776"/>
    <cellStyle name="콤_사전회의(1208)_새벽시장8.26xls_주단조 업종 평가결과품의(040416)(1)_용접업종 평가결과품의(040510)" xfId="30777"/>
    <cellStyle name="콤_사전회의(1208)_새벽시장8.26xls_주단조 업종 평가결과품의(040416)(1)_용접업종 평가결과품의(040510)(1)" xfId="30778"/>
    <cellStyle name="콤_사전회의(1208)_새벽시장8.26xls_주단조 업종 평가결과품의(040416)(1)_주단조용접업종 평가결과품의(040510)(1)" xfId="30779"/>
    <cellStyle name="콤_사전회의(1208)_새벽시장8.26xls_최신-SQ인증업체현황1343사(03년평가완료031229수정)" xfId="30780"/>
    <cellStyle name="콤_사전회의(1208)_새벽시장8.26xls_최신-SQ인증업체현황1343사(03년평가완료031229수정)_용접업종 평가결과품의(040510)" xfId="30781"/>
    <cellStyle name="콤_사전회의(1208)_새벽시장8.26xls_최신-SQ인증업체현황1343사(03년평가완료031229수정)_용접업종 평가결과품의(040510)(1)" xfId="30782"/>
    <cellStyle name="콤_사전회의(1208)_새벽시장8.26xls_최신-SQ인증업체현황1343사(03년평가완료031229수정)_주단조용접업종 평가결과품의(040510)(1)" xfId="30783"/>
    <cellStyle name="콤_사전회의(1208)_새벽시장9.16" xfId="30784"/>
    <cellStyle name="콤_사전회의(1208)_새벽시장9.16_도금 열처리 주단조 평가품의(040329)" xfId="30785"/>
    <cellStyle name="콤_사전회의(1208)_새벽시장9.16_도금 열처리 주단조 평가품의(040329)_도금 열처리 주단조 평가품의(040329)" xfId="30786"/>
    <cellStyle name="콤_사전회의(1208)_새벽시장9.16_도금 열처리 주단조 평가품의(040329)업체" xfId="30787"/>
    <cellStyle name="콤_사전회의(1208)_새벽시장9.16_열처리결과품의(031017)개발" xfId="30788"/>
    <cellStyle name="콤_사전회의(1208)_새벽시장9.16_열처리결과품의(031017)개발_도금 열처리 주단조 평가품의(040329)" xfId="30789"/>
    <cellStyle name="콤_사전회의(1208)_새벽시장9.16_용접업종 평가결과품의(040510)" xfId="30790"/>
    <cellStyle name="콤_사전회의(1208)_새벽시장9.16_용접업종 평가결과품의(040510)_용접업종 평가결과품의(040510)" xfId="30791"/>
    <cellStyle name="콤_사전회의(1208)_새벽시장9.16_용접업종 평가결과품의(040510)_용접업종 평가결과품의(040510)(1)" xfId="30792"/>
    <cellStyle name="콤_사전회의(1208)_새벽시장9.16_용접업종 평가결과품의(040510)_주단조용접업종 평가결과품의(040510)(1)" xfId="30793"/>
    <cellStyle name="콤_사전회의(1208)_새벽시장9.16_주단조 업종 평가결과품의(040407)" xfId="30794"/>
    <cellStyle name="콤_사전회의(1208)_새벽시장9.16_주단조 업종 평가결과품의(040407)_용접업종 평가결과품의(040510)" xfId="30795"/>
    <cellStyle name="콤_사전회의(1208)_새벽시장9.16_주단조 업종 평가결과품의(040407)_용접업종 평가결과품의(040510)(1)" xfId="30796"/>
    <cellStyle name="콤_사전회의(1208)_새벽시장9.16_주단조 업종 평가결과품의(040407)_주단조용접업종 평가결과품의(040510)(1)" xfId="30797"/>
    <cellStyle name="콤_사전회의(1208)_새벽시장9.16_주단조 업종 평가결과품의(040416)(1)" xfId="30798"/>
    <cellStyle name="콤_사전회의(1208)_새벽시장9.16_주단조 업종 평가결과품의(040416)(1)_용접업종 평가결과품의(040510)" xfId="30799"/>
    <cellStyle name="콤_사전회의(1208)_새벽시장9.16_주단조 업종 평가결과품의(040416)(1)_용접업종 평가결과품의(040510)(1)" xfId="30800"/>
    <cellStyle name="콤_사전회의(1208)_새벽시장9.16_주단조 업종 평가결과품의(040416)(1)_주단조용접업종 평가결과품의(040510)(1)" xfId="30801"/>
    <cellStyle name="콤_사전회의(1208)_새벽시장9.16_최신-SQ인증업체현황1343사(03년평가완료031229수정)" xfId="30802"/>
    <cellStyle name="콤_사전회의(1208)_새벽시장9.16_최신-SQ인증업체현황1343사(03년평가완료031229수정)_용접업종 평가결과품의(040510)" xfId="30803"/>
    <cellStyle name="콤_사전회의(1208)_새벽시장9.16_최신-SQ인증업체현황1343사(03년평가완료031229수정)_용접업종 평가결과품의(040510)(1)" xfId="30804"/>
    <cellStyle name="콤_사전회의(1208)_새벽시장9.16_최신-SQ인증업체현황1343사(03년평가완료031229수정)_주단조용접업종 평가결과품의(040510)(1)" xfId="30805"/>
    <cellStyle name="콤_사전회의(1208)_열처리결과품의(031017)개발" xfId="30806"/>
    <cellStyle name="콤_사전회의(1208)_열처리결과품의(031017)개발_도금 열처리 주단조 평가품의(040329)" xfId="30807"/>
    <cellStyle name="콤_사전회의(1208)_용접업종 평가결과품의(040510)" xfId="30808"/>
    <cellStyle name="콤_사전회의(1208)_용접업종 평가결과품의(040510)_용접업종 평가결과품의(040510)" xfId="30809"/>
    <cellStyle name="콤_사전회의(1208)_용접업종 평가결과품의(040510)_용접업종 평가결과품의(040510)(1)" xfId="30810"/>
    <cellStyle name="콤_사전회의(1208)_용접업종 평가결과품의(040510)_주단조용접업종 평가결과품의(040510)(1)" xfId="30811"/>
    <cellStyle name="콤_사전회의(1208)_주단조 업종 평가결과품의(040407)" xfId="30812"/>
    <cellStyle name="콤_사전회의(1208)_주단조 업종 평가결과품의(040407)_용접업종 평가결과품의(040510)" xfId="30813"/>
    <cellStyle name="콤_사전회의(1208)_주단조 업종 평가결과품의(040407)_용접업종 평가결과품의(040510)(1)" xfId="30814"/>
    <cellStyle name="콤_사전회의(1208)_주단조 업종 평가결과품의(040407)_주단조용접업종 평가결과품의(040510)(1)" xfId="30815"/>
    <cellStyle name="콤_사전회의(1208)_주단조 업종 평가결과품의(040416)(1)" xfId="30816"/>
    <cellStyle name="콤_사전회의(1208)_주단조 업종 평가결과품의(040416)(1)_용접업종 평가결과품의(040510)" xfId="30817"/>
    <cellStyle name="콤_사전회의(1208)_주단조 업종 평가결과품의(040416)(1)_용접업종 평가결과품의(040510)(1)" xfId="30818"/>
    <cellStyle name="콤_사전회의(1208)_주단조 업종 평가결과품의(040416)(1)_주단조용접업종 평가결과품의(040510)(1)" xfId="30819"/>
    <cellStyle name="콤_사전회의(1208)_최신-SQ인증업체현황1343사(03년평가완료031229수정)" xfId="30820"/>
    <cellStyle name="콤_사전회의(1208)_최신-SQ인증업체현황1343사(03년평가완료031229수정)_용접업종 평가결과품의(040510)" xfId="30821"/>
    <cellStyle name="콤_사전회의(1208)_최신-SQ인증업체현황1343사(03년평가완료031229수정)_용접업종 평가결과품의(040510)(1)" xfId="30822"/>
    <cellStyle name="콤_사전회의(1208)_최신-SQ인증업체현황1343사(03년평가완료031229수정)_주단조용접업종 평가결과품의(040510)(1)" xfId="30823"/>
    <cellStyle name="콤_새벽시장1" xfId="30824"/>
    <cellStyle name="콤_새벽시장1_도금 열처리 주단조 평가품의(040329)" xfId="30825"/>
    <cellStyle name="콤_새벽시장1_도금 열처리 주단조 평가품의(040329)_도금 열처리 주단조 평가품의(040329)" xfId="30826"/>
    <cellStyle name="콤_새벽시장1_도금 열처리 주단조 평가품의(040329)업체" xfId="30827"/>
    <cellStyle name="콤_새벽시장1_열처리결과품의(031017)개발" xfId="30828"/>
    <cellStyle name="콤_새벽시장1_열처리결과품의(031017)개발_도금 열처리 주단조 평가품의(040329)" xfId="30829"/>
    <cellStyle name="콤_새벽시장1_용접업종 평가결과품의(040510)" xfId="30830"/>
    <cellStyle name="콤_새벽시장1_용접업종 평가결과품의(040510)_용접업종 평가결과품의(040510)" xfId="30831"/>
    <cellStyle name="콤_새벽시장1_용접업종 평가결과품의(040510)_용접업종 평가결과품의(040510)(1)" xfId="30832"/>
    <cellStyle name="콤_새벽시장1_용접업종 평가결과품의(040510)_주단조용접업종 평가결과품의(040510)(1)" xfId="30833"/>
    <cellStyle name="콤_새벽시장1_주단조 업종 평가결과품의(040407)" xfId="30834"/>
    <cellStyle name="콤_새벽시장1_주단조 업종 평가결과품의(040407)_용접업종 평가결과품의(040510)" xfId="30835"/>
    <cellStyle name="콤_새벽시장1_주단조 업종 평가결과품의(040407)_용접업종 평가결과품의(040510)(1)" xfId="30836"/>
    <cellStyle name="콤_새벽시장1_주단조 업종 평가결과품의(040407)_주단조용접업종 평가결과품의(040510)(1)" xfId="30837"/>
    <cellStyle name="콤_새벽시장1_주단조 업종 평가결과품의(040416)(1)" xfId="30838"/>
    <cellStyle name="콤_새벽시장1_주단조 업종 평가결과품의(040416)(1)_용접업종 평가결과품의(040510)" xfId="30839"/>
    <cellStyle name="콤_새벽시장1_주단조 업종 평가결과품의(040416)(1)_용접업종 평가결과품의(040510)(1)" xfId="30840"/>
    <cellStyle name="콤_새벽시장1_주단조 업종 평가결과품의(040416)(1)_주단조용접업종 평가결과품의(040510)(1)" xfId="30841"/>
    <cellStyle name="콤_새벽시장1_최신-SQ인증업체현황1343사(03년평가완료031229수정)" xfId="30842"/>
    <cellStyle name="콤_새벽시장1_최신-SQ인증업체현황1343사(03년평가완료031229수정)_용접업종 평가결과품의(040510)" xfId="30843"/>
    <cellStyle name="콤_새벽시장1_최신-SQ인증업체현황1343사(03년평가완료031229수정)_용접업종 평가결과품의(040510)(1)" xfId="30844"/>
    <cellStyle name="콤_새벽시장1_최신-SQ인증업체현황1343사(03년평가완료031229수정)_주단조용접업종 평가결과품의(040510)(1)" xfId="30845"/>
    <cellStyle name="콤_새벽시장3" xfId="30846"/>
    <cellStyle name="콤_새벽시장3_도금 열처리 주단조 평가품의(040329)" xfId="30847"/>
    <cellStyle name="콤_새벽시장3_도금 열처리 주단조 평가품의(040329)_도금 열처리 주단조 평가품의(040329)" xfId="30848"/>
    <cellStyle name="콤_새벽시장3_도금 열처리 주단조 평가품의(040329)업체" xfId="30849"/>
    <cellStyle name="콤_새벽시장3_열처리결과품의(031017)개발" xfId="30850"/>
    <cellStyle name="콤_새벽시장3_열처리결과품의(031017)개발_도금 열처리 주단조 평가품의(040329)" xfId="30851"/>
    <cellStyle name="콤_새벽시장3_용접업종 평가결과품의(040510)" xfId="30852"/>
    <cellStyle name="콤_새벽시장3_용접업종 평가결과품의(040510)_용접업종 평가결과품의(040510)" xfId="30853"/>
    <cellStyle name="콤_새벽시장3_용접업종 평가결과품의(040510)_용접업종 평가결과품의(040510)(1)" xfId="30854"/>
    <cellStyle name="콤_새벽시장3_용접업종 평가결과품의(040510)_주단조용접업종 평가결과품의(040510)(1)" xfId="30855"/>
    <cellStyle name="콤_새벽시장3_주단조 업종 평가결과품의(040407)" xfId="30856"/>
    <cellStyle name="콤_새벽시장3_주단조 업종 평가결과품의(040407)_용접업종 평가결과품의(040510)" xfId="30857"/>
    <cellStyle name="콤_새벽시장3_주단조 업종 평가결과품의(040407)_용접업종 평가결과품의(040510)(1)" xfId="30858"/>
    <cellStyle name="콤_새벽시장3_주단조 업종 평가결과품의(040407)_주단조용접업종 평가결과품의(040510)(1)" xfId="30859"/>
    <cellStyle name="콤_새벽시장3_주단조 업종 평가결과품의(040416)(1)" xfId="30860"/>
    <cellStyle name="콤_새벽시장3_주단조 업종 평가결과품의(040416)(1)_용접업종 평가결과품의(040510)" xfId="30861"/>
    <cellStyle name="콤_새벽시장3_주단조 업종 평가결과품의(040416)(1)_용접업종 평가결과품의(040510)(1)" xfId="30862"/>
    <cellStyle name="콤_새벽시장3_주단조 업종 평가결과품의(040416)(1)_주단조용접업종 평가결과품의(040510)(1)" xfId="30863"/>
    <cellStyle name="콤_새벽시장3_최신-SQ인증업체현황1343사(03년평가완료031229수정)" xfId="30864"/>
    <cellStyle name="콤_새벽시장3_최신-SQ인증업체현황1343사(03년평가완료031229수정)_용접업종 평가결과품의(040510)" xfId="30865"/>
    <cellStyle name="콤_새벽시장3_최신-SQ인증업체현황1343사(03년평가완료031229수정)_용접업종 평가결과품의(040510)(1)" xfId="30866"/>
    <cellStyle name="콤_새벽시장3_최신-SQ인증업체현황1343사(03년평가완료031229수정)_주단조용접업종 평가결과품의(040510)(1)" xfId="30867"/>
    <cellStyle name="콤_새벽시장5" xfId="30868"/>
    <cellStyle name="콤_새벽시장5_도금 열처리 주단조 평가품의(040329)" xfId="30869"/>
    <cellStyle name="콤_새벽시장5_도금 열처리 주단조 평가품의(040329)_도금 열처리 주단조 평가품의(040329)" xfId="30870"/>
    <cellStyle name="콤_새벽시장5_도금 열처리 주단조 평가품의(040329)업체" xfId="30871"/>
    <cellStyle name="콤_새벽시장5_열처리결과품의(031017)개발" xfId="30872"/>
    <cellStyle name="콤_새벽시장5_열처리결과품의(031017)개발_도금 열처리 주단조 평가품의(040329)" xfId="30873"/>
    <cellStyle name="콤_새벽시장5_용접업종 평가결과품의(040510)" xfId="30874"/>
    <cellStyle name="콤_새벽시장5_용접업종 평가결과품의(040510)_용접업종 평가결과품의(040510)" xfId="30875"/>
    <cellStyle name="콤_새벽시장5_용접업종 평가결과품의(040510)_용접업종 평가결과품의(040510)(1)" xfId="30876"/>
    <cellStyle name="콤_새벽시장5_용접업종 평가결과품의(040510)_주단조용접업종 평가결과품의(040510)(1)" xfId="30877"/>
    <cellStyle name="콤_새벽시장5_주단조 업종 평가결과품의(040407)" xfId="30878"/>
    <cellStyle name="콤_새벽시장5_주단조 업종 평가결과품의(040407)_용접업종 평가결과품의(040510)" xfId="30879"/>
    <cellStyle name="콤_새벽시장5_주단조 업종 평가결과품의(040407)_용접업종 평가결과품의(040510)(1)" xfId="30880"/>
    <cellStyle name="콤_새벽시장5_주단조 업종 평가결과품의(040407)_주단조용접업종 평가결과품의(040510)(1)" xfId="30881"/>
    <cellStyle name="콤_새벽시장5_주단조 업종 평가결과품의(040416)(1)" xfId="30882"/>
    <cellStyle name="콤_새벽시장5_주단조 업종 평가결과품의(040416)(1)_용접업종 평가결과품의(040510)" xfId="30883"/>
    <cellStyle name="콤_새벽시장5_주단조 업종 평가결과품의(040416)(1)_용접업종 평가결과품의(040510)(1)" xfId="30884"/>
    <cellStyle name="콤_새벽시장5_주단조 업종 평가결과품의(040416)(1)_주단조용접업종 평가결과품의(040510)(1)" xfId="30885"/>
    <cellStyle name="콤_새벽시장5_최신-SQ인증업체현황1343사(03년평가완료031229수정)" xfId="30886"/>
    <cellStyle name="콤_새벽시장5_최신-SQ인증업체현황1343사(03년평가완료031229수정)_용접업종 평가결과품의(040510)" xfId="30887"/>
    <cellStyle name="콤_새벽시장5_최신-SQ인증업체현황1343사(03년평가완료031229수정)_용접업종 평가결과품의(040510)(1)" xfId="30888"/>
    <cellStyle name="콤_새벽시장5_최신-SQ인증업체현황1343사(03년평가완료031229수정)_주단조용접업종 평가결과품의(040510)(1)" xfId="30889"/>
    <cellStyle name="콤_새벽시장7" xfId="30890"/>
    <cellStyle name="콤_새벽시장7_도금 열처리 주단조 평가품의(040329)" xfId="30891"/>
    <cellStyle name="콤_새벽시장7_도금 열처리 주단조 평가품의(040329)_도금 열처리 주단조 평가품의(040329)" xfId="30892"/>
    <cellStyle name="콤_새벽시장7_도금 열처리 주단조 평가품의(040329)업체" xfId="30893"/>
    <cellStyle name="콤_새벽시장7_열처리결과품의(031017)개발" xfId="30894"/>
    <cellStyle name="콤_새벽시장7_열처리결과품의(031017)개발_도금 열처리 주단조 평가품의(040329)" xfId="30895"/>
    <cellStyle name="콤_새벽시장7_용접업종 평가결과품의(040510)" xfId="30896"/>
    <cellStyle name="콤_새벽시장7_용접업종 평가결과품의(040510)_용접업종 평가결과품의(040510)" xfId="30897"/>
    <cellStyle name="콤_새벽시장7_용접업종 평가결과품의(040510)_용접업종 평가결과품의(040510)(1)" xfId="30898"/>
    <cellStyle name="콤_새벽시장7_용접업종 평가결과품의(040510)_주단조용접업종 평가결과품의(040510)(1)" xfId="30899"/>
    <cellStyle name="콤_새벽시장7_주단조 업종 평가결과품의(040407)" xfId="30900"/>
    <cellStyle name="콤_새벽시장7_주단조 업종 평가결과품의(040407)_용접업종 평가결과품의(040510)" xfId="30901"/>
    <cellStyle name="콤_새벽시장7_주단조 업종 평가결과품의(040407)_용접업종 평가결과품의(040510)(1)" xfId="30902"/>
    <cellStyle name="콤_새벽시장7_주단조 업종 평가결과품의(040407)_주단조용접업종 평가결과품의(040510)(1)" xfId="30903"/>
    <cellStyle name="콤_새벽시장7_주단조 업종 평가결과품의(040416)(1)" xfId="30904"/>
    <cellStyle name="콤_새벽시장7_주단조 업종 평가결과품의(040416)(1)_용접업종 평가결과품의(040510)" xfId="30905"/>
    <cellStyle name="콤_새벽시장7_주단조 업종 평가결과품의(040416)(1)_용접업종 평가결과품의(040510)(1)" xfId="30906"/>
    <cellStyle name="콤_새벽시장7_주단조 업종 평가결과품의(040416)(1)_주단조용접업종 평가결과품의(040510)(1)" xfId="30907"/>
    <cellStyle name="콤_새벽시장7_최신-SQ인증업체현황1343사(03년평가완료031229수정)" xfId="30908"/>
    <cellStyle name="콤_새벽시장7_최신-SQ인증업체현황1343사(03년평가완료031229수정)_용접업종 평가결과품의(040510)" xfId="30909"/>
    <cellStyle name="콤_새벽시장7_최신-SQ인증업체현황1343사(03년평가완료031229수정)_용접업종 평가결과품의(040510)(1)" xfId="30910"/>
    <cellStyle name="콤_새벽시장7_최신-SQ인증업체현황1343사(03년평가완료031229수정)_주단조용접업종 평가결과품의(040510)(1)" xfId="30911"/>
    <cellStyle name="콤_새벽시장8.10xls" xfId="30912"/>
    <cellStyle name="콤_새벽시장8.10xls_도금 열처리 주단조 평가품의(040329)" xfId="30913"/>
    <cellStyle name="콤_새벽시장8.10xls_도금 열처리 주단조 평가품의(040329)_도금 열처리 주단조 평가품의(040329)" xfId="30914"/>
    <cellStyle name="콤_새벽시장8.10xls_도금 열처리 주단조 평가품의(040329)업체" xfId="30915"/>
    <cellStyle name="콤_새벽시장8.10xls_열처리결과품의(031017)개발" xfId="30916"/>
    <cellStyle name="콤_새벽시장8.10xls_열처리결과품의(031017)개발_도금 열처리 주단조 평가품의(040329)" xfId="30917"/>
    <cellStyle name="콤_새벽시장8.10xls_용접업종 평가결과품의(040510)" xfId="30918"/>
    <cellStyle name="콤_새벽시장8.10xls_용접업종 평가결과품의(040510)_용접업종 평가결과품의(040510)" xfId="30919"/>
    <cellStyle name="콤_새벽시장8.10xls_용접업종 평가결과품의(040510)_용접업종 평가결과품의(040510)(1)" xfId="30920"/>
    <cellStyle name="콤_새벽시장8.10xls_용접업종 평가결과품의(040510)_주단조용접업종 평가결과품의(040510)(1)" xfId="30921"/>
    <cellStyle name="콤_새벽시장8.10xls_주단조 업종 평가결과품의(040407)" xfId="30922"/>
    <cellStyle name="콤_새벽시장8.10xls_주단조 업종 평가결과품의(040407)_용접업종 평가결과품의(040510)" xfId="30923"/>
    <cellStyle name="콤_새벽시장8.10xls_주단조 업종 평가결과품의(040407)_용접업종 평가결과품의(040510)(1)" xfId="30924"/>
    <cellStyle name="콤_새벽시장8.10xls_주단조 업종 평가결과품의(040407)_주단조용접업종 평가결과품의(040510)(1)" xfId="30925"/>
    <cellStyle name="콤_새벽시장8.10xls_주단조 업종 평가결과품의(040416)(1)" xfId="30926"/>
    <cellStyle name="콤_새벽시장8.10xls_주단조 업종 평가결과품의(040416)(1)_용접업종 평가결과품의(040510)" xfId="30927"/>
    <cellStyle name="콤_새벽시장8.10xls_주단조 업종 평가결과품의(040416)(1)_용접업종 평가결과품의(040510)(1)" xfId="30928"/>
    <cellStyle name="콤_새벽시장8.10xls_주단조 업종 평가결과품의(040416)(1)_주단조용접업종 평가결과품의(040510)(1)" xfId="30929"/>
    <cellStyle name="콤_새벽시장8.10xls_최신-SQ인증업체현황1343사(03년평가완료031229수정)" xfId="30930"/>
    <cellStyle name="콤_새벽시장8.10xls_최신-SQ인증업체현황1343사(03년평가완료031229수정)_용접업종 평가결과품의(040510)" xfId="30931"/>
    <cellStyle name="콤_새벽시장8.10xls_최신-SQ인증업체현황1343사(03년평가완료031229수정)_용접업종 평가결과품의(040510)(1)" xfId="30932"/>
    <cellStyle name="콤_새벽시장8.10xls_최신-SQ인증업체현황1343사(03년평가완료031229수정)_주단조용접업종 평가결과품의(040510)(1)" xfId="30933"/>
    <cellStyle name="콤_새벽시장8.26xls" xfId="30934"/>
    <cellStyle name="콤_새벽시장8.26xls_도금 열처리 주단조 평가품의(040329)" xfId="30935"/>
    <cellStyle name="콤_새벽시장8.26xls_도금 열처리 주단조 평가품의(040329)_도금 열처리 주단조 평가품의(040329)" xfId="30936"/>
    <cellStyle name="콤_새벽시장8.26xls_도금 열처리 주단조 평가품의(040329)업체" xfId="30937"/>
    <cellStyle name="콤_새벽시장8.26xls_열처리결과품의(031017)개발" xfId="30938"/>
    <cellStyle name="콤_새벽시장8.26xls_열처리결과품의(031017)개발_도금 열처리 주단조 평가품의(040329)" xfId="30939"/>
    <cellStyle name="콤_새벽시장8.26xls_용접업종 평가결과품의(040510)" xfId="30940"/>
    <cellStyle name="콤_새벽시장8.26xls_용접업종 평가결과품의(040510)_용접업종 평가결과품의(040510)" xfId="30941"/>
    <cellStyle name="콤_새벽시장8.26xls_용접업종 평가결과품의(040510)_용접업종 평가결과품의(040510)(1)" xfId="30942"/>
    <cellStyle name="콤_새벽시장8.26xls_용접업종 평가결과품의(040510)_주단조용접업종 평가결과품의(040510)(1)" xfId="30943"/>
    <cellStyle name="콤_새벽시장8.26xls_주단조 업종 평가결과품의(040407)" xfId="30944"/>
    <cellStyle name="콤_새벽시장8.26xls_주단조 업종 평가결과품의(040407)_용접업종 평가결과품의(040510)" xfId="30945"/>
    <cellStyle name="콤_새벽시장8.26xls_주단조 업종 평가결과품의(040407)_용접업종 평가결과품의(040510)(1)" xfId="30946"/>
    <cellStyle name="콤_새벽시장8.26xls_주단조 업종 평가결과품의(040407)_주단조용접업종 평가결과품의(040510)(1)" xfId="30947"/>
    <cellStyle name="콤_새벽시장8.26xls_주단조 업종 평가결과품의(040416)(1)" xfId="30948"/>
    <cellStyle name="콤_새벽시장8.26xls_주단조 업종 평가결과품의(040416)(1)_용접업종 평가결과품의(040510)" xfId="30949"/>
    <cellStyle name="콤_새벽시장8.26xls_주단조 업종 평가결과품의(040416)(1)_용접업종 평가결과품의(040510)(1)" xfId="30950"/>
    <cellStyle name="콤_새벽시장8.26xls_주단조 업종 평가결과품의(040416)(1)_주단조용접업종 평가결과품의(040510)(1)" xfId="30951"/>
    <cellStyle name="콤_새벽시장8.26xls_최신-SQ인증업체현황1343사(03년평가완료031229수정)" xfId="30952"/>
    <cellStyle name="콤_새벽시장8.26xls_최신-SQ인증업체현황1343사(03년평가완료031229수정)_용접업종 평가결과품의(040510)" xfId="30953"/>
    <cellStyle name="콤_새벽시장8.26xls_최신-SQ인증업체현황1343사(03년평가완료031229수정)_용접업종 평가결과품의(040510)(1)" xfId="30954"/>
    <cellStyle name="콤_새벽시장8.26xls_최신-SQ인증업체현황1343사(03년평가완료031229수정)_주단조용접업종 평가결과품의(040510)(1)" xfId="30955"/>
    <cellStyle name="콤_새벽시장9.16" xfId="30956"/>
    <cellStyle name="콤_새벽시장9.16_도금 열처리 주단조 평가품의(040329)" xfId="30957"/>
    <cellStyle name="콤_새벽시장9.16_도금 열처리 주단조 평가품의(040329)_도금 열처리 주단조 평가품의(040329)" xfId="30958"/>
    <cellStyle name="콤_새벽시장9.16_도금 열처리 주단조 평가품의(040329)업체" xfId="30959"/>
    <cellStyle name="콤_새벽시장9.16_열처리결과품의(031017)개발" xfId="30960"/>
    <cellStyle name="콤_새벽시장9.16_열처리결과품의(031017)개발_도금 열처리 주단조 평가품의(040329)" xfId="30961"/>
    <cellStyle name="콤_새벽시장9.16_용접업종 평가결과품의(040510)" xfId="30962"/>
    <cellStyle name="콤_새벽시장9.16_용접업종 평가결과품의(040510)_용접업종 평가결과품의(040510)" xfId="30963"/>
    <cellStyle name="콤_새벽시장9.16_용접업종 평가결과품의(040510)_용접업종 평가결과품의(040510)(1)" xfId="30964"/>
    <cellStyle name="콤_새벽시장9.16_용접업종 평가결과품의(040510)_주단조용접업종 평가결과품의(040510)(1)" xfId="30965"/>
    <cellStyle name="콤_새벽시장9.16_주단조 업종 평가결과품의(040407)" xfId="30966"/>
    <cellStyle name="콤_새벽시장9.16_주단조 업종 평가결과품의(040407)_용접업종 평가결과품의(040510)" xfId="30967"/>
    <cellStyle name="콤_새벽시장9.16_주단조 업종 평가결과품의(040407)_용접업종 평가결과품의(040510)(1)" xfId="30968"/>
    <cellStyle name="콤_새벽시장9.16_주단조 업종 평가결과품의(040407)_주단조용접업종 평가결과품의(040510)(1)" xfId="30969"/>
    <cellStyle name="콤_새벽시장9.16_주단조 업종 평가결과품의(040416)(1)" xfId="30970"/>
    <cellStyle name="콤_새벽시장9.16_주단조 업종 평가결과품의(040416)(1)_용접업종 평가결과품의(040510)" xfId="30971"/>
    <cellStyle name="콤_새벽시장9.16_주단조 업종 평가결과품의(040416)(1)_용접업종 평가결과품의(040510)(1)" xfId="30972"/>
    <cellStyle name="콤_새벽시장9.16_주단조 업종 평가결과품의(040416)(1)_주단조용접업종 평가결과품의(040510)(1)" xfId="30973"/>
    <cellStyle name="콤_새벽시장9.16_최신-SQ인증업체현황1343사(03년평가완료031229수정)" xfId="30974"/>
    <cellStyle name="콤_새벽시장9.16_최신-SQ인증업체현황1343사(03년평가완료031229수정)_용접업종 평가결과품의(040510)" xfId="30975"/>
    <cellStyle name="콤_새벽시장9.16_최신-SQ인증업체현황1343사(03년평가완료031229수정)_용접업종 평가결과품의(040510)(1)" xfId="30976"/>
    <cellStyle name="콤_새벽시장9.16_최신-SQ인증업체현황1343사(03년평가완료031229수정)_주단조용접업종 평가결과품의(040510)(1)" xfId="30977"/>
    <cellStyle name="콤_열처리결과품의(031017)개발" xfId="30978"/>
    <cellStyle name="콤_열처리결과품의(031017)개발_도금 열처리 주단조 평가품의(040329)" xfId="30979"/>
    <cellStyle name="콤_용접업종 평가결과품의(040510)" xfId="30980"/>
    <cellStyle name="콤_용접업종 평가결과품의(040510)_용접업종 평가결과품의(040510)" xfId="30981"/>
    <cellStyle name="콤_용접업종 평가결과품의(040510)_용접업종 평가결과품의(040510)(1)" xfId="30982"/>
    <cellStyle name="콤_용접업종 평가결과품의(040510)_주단조용접업종 평가결과품의(040510)(1)" xfId="30983"/>
    <cellStyle name="콤_주단조 업종 평가결과품의(040407)" xfId="30984"/>
    <cellStyle name="콤_주단조 업종 평가결과품의(040407)_용접업종 평가결과품의(040510)" xfId="30985"/>
    <cellStyle name="콤_주단조 업종 평가결과품의(040407)_용접업종 평가결과품의(040510)(1)" xfId="30986"/>
    <cellStyle name="콤_주단조 업종 평가결과품의(040407)_주단조용접업종 평가결과품의(040510)(1)" xfId="30987"/>
    <cellStyle name="콤_주단조 업종 평가결과품의(040416)(1)" xfId="30988"/>
    <cellStyle name="콤_주단조 업종 평가결과품의(040416)(1)_용접업종 평가결과품의(040510)" xfId="30989"/>
    <cellStyle name="콤_주단조 업종 평가결과품의(040416)(1)_용접업종 평가결과품의(040510)(1)" xfId="30990"/>
    <cellStyle name="콤_주단조 업종 평가결과품의(040416)(1)_주단조용접업종 평가결과품의(040510)(1)" xfId="30991"/>
    <cellStyle name="콤_최신-SQ인증업체현황1343사(03년평가완료031229수정)" xfId="30992"/>
    <cellStyle name="콤_최신-SQ인증업체현황1343사(03년평가완료031229수정)_용접업종 평가결과품의(040510)" xfId="30993"/>
    <cellStyle name="콤_최신-SQ인증업체현황1343사(03년평가완료031229수정)_용접업종 평가결과품의(040510)(1)" xfId="30994"/>
    <cellStyle name="콤_최신-SQ인증업체현황1343사(03년평가완료031229수정)_주단조용접업종 평가결과품의(040510)(1)" xfId="30995"/>
    <cellStyle name="콤_출장계획서" xfId="30996"/>
    <cellStyle name="콤_출장계획서_ROTATION 유동" xfId="30997"/>
    <cellStyle name="콤_출장계획서_ROTATION 유동_도금 열처리 주단조 평가품의(040329)" xfId="30998"/>
    <cellStyle name="콤_출장계획서_ROTATION 유동_도금 열처리 주단조 평가품의(040329)_도금 열처리 주단조 평가품의(040329)" xfId="30999"/>
    <cellStyle name="콤_출장계획서_ROTATION 유동_도금 열처리 주단조 평가품의(040329)업체" xfId="31000"/>
    <cellStyle name="콤_출장계획서_ROTATION 유동_열처리결과품의(031017)개발" xfId="31001"/>
    <cellStyle name="콤_출장계획서_ROTATION 유동_열처리결과품의(031017)개발_도금 열처리 주단조 평가품의(040329)" xfId="31002"/>
    <cellStyle name="콤_출장계획서_ROTATION 유동_용접업종 평가결과품의(040510)" xfId="31003"/>
    <cellStyle name="콤_출장계획서_ROTATION 유동_용접업종 평가결과품의(040510)_용접업종 평가결과품의(040510)" xfId="31004"/>
    <cellStyle name="콤_출장계획서_ROTATION 유동_용접업종 평가결과품의(040510)_용접업종 평가결과품의(040510)(1)" xfId="31005"/>
    <cellStyle name="콤_출장계획서_ROTATION 유동_용접업종 평가결과품의(040510)_주단조용접업종 평가결과품의(040510)(1)" xfId="31006"/>
    <cellStyle name="콤_출장계획서_ROTATION 유동_주단조 업종 평가결과품의(040407)" xfId="31007"/>
    <cellStyle name="콤_출장계획서_ROTATION 유동_주단조 업종 평가결과품의(040407)_용접업종 평가결과품의(040510)" xfId="31008"/>
    <cellStyle name="콤_출장계획서_ROTATION 유동_주단조 업종 평가결과품의(040407)_용접업종 평가결과품의(040510)(1)" xfId="31009"/>
    <cellStyle name="콤_출장계획서_ROTATION 유동_주단조 업종 평가결과품의(040407)_주단조용접업종 평가결과품의(040510)(1)" xfId="31010"/>
    <cellStyle name="콤_출장계획서_ROTATION 유동_주단조 업종 평가결과품의(040416)(1)" xfId="31011"/>
    <cellStyle name="콤_출장계획서_ROTATION 유동_주단조 업종 평가결과품의(040416)(1)_용접업종 평가결과품의(040510)" xfId="31012"/>
    <cellStyle name="콤_출장계획서_ROTATION 유동_주단조 업종 평가결과품의(040416)(1)_용접업종 평가결과품의(040510)(1)" xfId="31013"/>
    <cellStyle name="콤_출장계획서_ROTATION 유동_주단조 업종 평가결과품의(040416)(1)_주단조용접업종 평가결과품의(040510)(1)" xfId="31014"/>
    <cellStyle name="콤_출장계획서_ROTATION 유동_최신-SQ인증업체현황1343사(03년평가완료031229수정)" xfId="31015"/>
    <cellStyle name="콤_출장계획서_ROTATION 유동_최신-SQ인증업체현황1343사(03년평가완료031229수정)_용접업종 평가결과품의(040510)" xfId="31016"/>
    <cellStyle name="콤_출장계획서_ROTATION 유동_최신-SQ인증업체현황1343사(03년평가완료031229수정)_용접업종 평가결과품의(040510)(1)" xfId="31017"/>
    <cellStyle name="콤_출장계획서_ROTATION 유동_최신-SQ인증업체현황1343사(03년평가완료031229수정)_주단조용접업종 평가결과품의(040510)(1)" xfId="31018"/>
    <cellStyle name="콤_출장계획서_SLIDE 폭" xfId="31019"/>
    <cellStyle name="콤_출장계획서_SLIDE 폭_도금 열처리 주단조 평가품의(040329)" xfId="31020"/>
    <cellStyle name="콤_출장계획서_SLIDE 폭_도금 열처리 주단조 평가품의(040329)_도금 열처리 주단조 평가품의(040329)" xfId="31021"/>
    <cellStyle name="콤_출장계획서_SLIDE 폭_도금 열처리 주단조 평가품의(040329)업체" xfId="31022"/>
    <cellStyle name="콤_출장계획서_SLIDE 폭_열처리결과품의(031017)개발" xfId="31023"/>
    <cellStyle name="콤_출장계획서_SLIDE 폭_열처리결과품의(031017)개발_도금 열처리 주단조 평가품의(040329)" xfId="31024"/>
    <cellStyle name="콤_출장계획서_SLIDE 폭_용접업종 평가결과품의(040510)" xfId="31025"/>
    <cellStyle name="콤_출장계획서_SLIDE 폭_용접업종 평가결과품의(040510)_용접업종 평가결과품의(040510)" xfId="31026"/>
    <cellStyle name="콤_출장계획서_SLIDE 폭_용접업종 평가결과품의(040510)_용접업종 평가결과품의(040510)(1)" xfId="31027"/>
    <cellStyle name="콤_출장계획서_SLIDE 폭_용접업종 평가결과품의(040510)_주단조용접업종 평가결과품의(040510)(1)" xfId="31028"/>
    <cellStyle name="콤_출장계획서_SLIDE 폭_주단조 업종 평가결과품의(040407)" xfId="31029"/>
    <cellStyle name="콤_출장계획서_SLIDE 폭_주단조 업종 평가결과품의(040407)_용접업종 평가결과품의(040510)" xfId="31030"/>
    <cellStyle name="콤_출장계획서_SLIDE 폭_주단조 업종 평가결과품의(040407)_용접업종 평가결과품의(040510)(1)" xfId="31031"/>
    <cellStyle name="콤_출장계획서_SLIDE 폭_주단조 업종 평가결과품의(040407)_주단조용접업종 평가결과품의(040510)(1)" xfId="31032"/>
    <cellStyle name="콤_출장계획서_SLIDE 폭_주단조 업종 평가결과품의(040416)(1)" xfId="31033"/>
    <cellStyle name="콤_출장계획서_SLIDE 폭_주단조 업종 평가결과품의(040416)(1)_용접업종 평가결과품의(040510)" xfId="31034"/>
    <cellStyle name="콤_출장계획서_SLIDE 폭_주단조 업종 평가결과품의(040416)(1)_용접업종 평가결과품의(040510)(1)" xfId="31035"/>
    <cellStyle name="콤_출장계획서_SLIDE 폭_주단조 업종 평가결과품의(040416)(1)_주단조용접업종 평가결과품의(040510)(1)" xfId="31036"/>
    <cellStyle name="콤_출장계획서_SLIDE 폭_최신-SQ인증업체현황1343사(03년평가완료031229수정)" xfId="31037"/>
    <cellStyle name="콤_출장계획서_SLIDE 폭_최신-SQ인증업체현황1343사(03년평가완료031229수정)_용접업종 평가결과품의(040510)" xfId="31038"/>
    <cellStyle name="콤_출장계획서_SLIDE 폭_최신-SQ인증업체현황1343사(03년평가완료031229수정)_용접업종 평가결과품의(040510)(1)" xfId="31039"/>
    <cellStyle name="콤_출장계획서_SLIDE 폭_최신-SQ인증업체현황1343사(03년평가완료031229수정)_주단조용접업종 평가결과품의(040510)(1)" xfId="31040"/>
    <cellStyle name="콤_출장계획서_도금 열처리 주단조 평가품의(040329)" xfId="31041"/>
    <cellStyle name="콤_출장계획서_도금 열처리 주단조 평가품의(040329)_도금 열처리 주단조 평가품의(040329)" xfId="31042"/>
    <cellStyle name="콤_출장계획서_도금 열처리 주단조 평가품의(040329)업체" xfId="31043"/>
    <cellStyle name="콤_출장계획서_새벽시장1" xfId="31044"/>
    <cellStyle name="콤_출장계획서_새벽시장1_도금 열처리 주단조 평가품의(040329)" xfId="31045"/>
    <cellStyle name="콤_출장계획서_새벽시장1_도금 열처리 주단조 평가품의(040329)_도금 열처리 주단조 평가품의(040329)" xfId="31046"/>
    <cellStyle name="콤_출장계획서_새벽시장1_도금 열처리 주단조 평가품의(040329)업체" xfId="31047"/>
    <cellStyle name="콤_출장계획서_새벽시장1_열처리결과품의(031017)개발" xfId="31048"/>
    <cellStyle name="콤_출장계획서_새벽시장1_열처리결과품의(031017)개발_도금 열처리 주단조 평가품의(040329)" xfId="31049"/>
    <cellStyle name="콤_출장계획서_새벽시장1_용접업종 평가결과품의(040510)" xfId="31050"/>
    <cellStyle name="콤_출장계획서_새벽시장1_용접업종 평가결과품의(040510)_용접업종 평가결과품의(040510)" xfId="31051"/>
    <cellStyle name="콤_출장계획서_새벽시장1_용접업종 평가결과품의(040510)_용접업종 평가결과품의(040510)(1)" xfId="31052"/>
    <cellStyle name="콤_출장계획서_새벽시장1_용접업종 평가결과품의(040510)_주단조용접업종 평가결과품의(040510)(1)" xfId="31053"/>
    <cellStyle name="콤_출장계획서_새벽시장1_주단조 업종 평가결과품의(040407)" xfId="31054"/>
    <cellStyle name="콤_출장계획서_새벽시장1_주단조 업종 평가결과품의(040407)_용접업종 평가결과품의(040510)" xfId="31055"/>
    <cellStyle name="콤_출장계획서_새벽시장1_주단조 업종 평가결과품의(040407)_용접업종 평가결과품의(040510)(1)" xfId="31056"/>
    <cellStyle name="콤_출장계획서_새벽시장1_주단조 업종 평가결과품의(040407)_주단조용접업종 평가결과품의(040510)(1)" xfId="31057"/>
    <cellStyle name="콤_출장계획서_새벽시장1_주단조 업종 평가결과품의(040416)(1)" xfId="31058"/>
    <cellStyle name="콤_출장계획서_새벽시장1_주단조 업종 평가결과품의(040416)(1)_용접업종 평가결과품의(040510)" xfId="31059"/>
    <cellStyle name="콤_출장계획서_새벽시장1_주단조 업종 평가결과품의(040416)(1)_용접업종 평가결과품의(040510)(1)" xfId="31060"/>
    <cellStyle name="콤_출장계획서_새벽시장1_주단조 업종 평가결과품의(040416)(1)_주단조용접업종 평가결과품의(040510)(1)" xfId="31061"/>
    <cellStyle name="콤_출장계획서_새벽시장1_최신-SQ인증업체현황1343사(03년평가완료031229수정)" xfId="31062"/>
    <cellStyle name="콤_출장계획서_새벽시장1_최신-SQ인증업체현황1343사(03년평가완료031229수정)_용접업종 평가결과품의(040510)" xfId="31063"/>
    <cellStyle name="콤_출장계획서_새벽시장1_최신-SQ인증업체현황1343사(03년평가완료031229수정)_용접업종 평가결과품의(040510)(1)" xfId="31064"/>
    <cellStyle name="콤_출장계획서_새벽시장1_최신-SQ인증업체현황1343사(03년평가완료031229수정)_주단조용접업종 평가결과품의(040510)(1)" xfId="31065"/>
    <cellStyle name="콤_출장계획서_새벽시장3" xfId="31066"/>
    <cellStyle name="콤_출장계획서_새벽시장3_도금 열처리 주단조 평가품의(040329)" xfId="31067"/>
    <cellStyle name="콤_출장계획서_새벽시장3_도금 열처리 주단조 평가품의(040329)_도금 열처리 주단조 평가품의(040329)" xfId="31068"/>
    <cellStyle name="콤_출장계획서_새벽시장3_도금 열처리 주단조 평가품의(040329)업체" xfId="31069"/>
    <cellStyle name="콤_출장계획서_새벽시장3_열처리결과품의(031017)개발" xfId="31070"/>
    <cellStyle name="콤_출장계획서_새벽시장3_열처리결과품의(031017)개발_도금 열처리 주단조 평가품의(040329)" xfId="31071"/>
    <cellStyle name="콤_출장계획서_새벽시장3_용접업종 평가결과품의(040510)" xfId="31072"/>
    <cellStyle name="콤_출장계획서_새벽시장3_용접업종 평가결과품의(040510)_용접업종 평가결과품의(040510)" xfId="31073"/>
    <cellStyle name="콤_출장계획서_새벽시장3_용접업종 평가결과품의(040510)_용접업종 평가결과품의(040510)(1)" xfId="31074"/>
    <cellStyle name="콤_출장계획서_새벽시장3_용접업종 평가결과품의(040510)_주단조용접업종 평가결과품의(040510)(1)" xfId="31075"/>
    <cellStyle name="콤_출장계획서_새벽시장3_주단조 업종 평가결과품의(040407)" xfId="31076"/>
    <cellStyle name="콤_출장계획서_새벽시장3_주단조 업종 평가결과품의(040407)_용접업종 평가결과품의(040510)" xfId="31077"/>
    <cellStyle name="콤_출장계획서_새벽시장3_주단조 업종 평가결과품의(040407)_용접업종 평가결과품의(040510)(1)" xfId="31078"/>
    <cellStyle name="콤_출장계획서_새벽시장3_주단조 업종 평가결과품의(040407)_주단조용접업종 평가결과품의(040510)(1)" xfId="31079"/>
    <cellStyle name="콤_출장계획서_새벽시장3_주단조 업종 평가결과품의(040416)(1)" xfId="31080"/>
    <cellStyle name="콤_출장계획서_새벽시장3_주단조 업종 평가결과품의(040416)(1)_용접업종 평가결과품의(040510)" xfId="31081"/>
    <cellStyle name="콤_출장계획서_새벽시장3_주단조 업종 평가결과품의(040416)(1)_용접업종 평가결과품의(040510)(1)" xfId="31082"/>
    <cellStyle name="콤_출장계획서_새벽시장3_주단조 업종 평가결과품의(040416)(1)_주단조용접업종 평가결과품의(040510)(1)" xfId="31083"/>
    <cellStyle name="콤_출장계획서_새벽시장3_최신-SQ인증업체현황1343사(03년평가완료031229수정)" xfId="31084"/>
    <cellStyle name="콤_출장계획서_새벽시장3_최신-SQ인증업체현황1343사(03년평가완료031229수정)_용접업종 평가결과품의(040510)" xfId="31085"/>
    <cellStyle name="콤_출장계획서_새벽시장3_최신-SQ인증업체현황1343사(03년평가완료031229수정)_용접업종 평가결과품의(040510)(1)" xfId="31086"/>
    <cellStyle name="콤_출장계획서_새벽시장3_최신-SQ인증업체현황1343사(03년평가완료031229수정)_주단조용접업종 평가결과품의(040510)(1)" xfId="31087"/>
    <cellStyle name="콤_출장계획서_새벽시장5" xfId="31088"/>
    <cellStyle name="콤_출장계획서_새벽시장5_도금 열처리 주단조 평가품의(040329)" xfId="31089"/>
    <cellStyle name="콤_출장계획서_새벽시장5_도금 열처리 주단조 평가품의(040329)_도금 열처리 주단조 평가품의(040329)" xfId="31090"/>
    <cellStyle name="콤_출장계획서_새벽시장5_도금 열처리 주단조 평가품의(040329)업체" xfId="31091"/>
    <cellStyle name="콤_출장계획서_새벽시장5_열처리결과품의(031017)개발" xfId="31092"/>
    <cellStyle name="콤_출장계획서_새벽시장5_열처리결과품의(031017)개발_도금 열처리 주단조 평가품의(040329)" xfId="31093"/>
    <cellStyle name="콤_출장계획서_새벽시장5_용접업종 평가결과품의(040510)" xfId="31094"/>
    <cellStyle name="콤_출장계획서_새벽시장5_용접업종 평가결과품의(040510)_용접업종 평가결과품의(040510)" xfId="31095"/>
    <cellStyle name="콤_출장계획서_새벽시장5_용접업종 평가결과품의(040510)_용접업종 평가결과품의(040510)(1)" xfId="31096"/>
    <cellStyle name="콤_출장계획서_새벽시장5_용접업종 평가결과품의(040510)_주단조용접업종 평가결과품의(040510)(1)" xfId="31097"/>
    <cellStyle name="콤_출장계획서_새벽시장5_주단조 업종 평가결과품의(040407)" xfId="31098"/>
    <cellStyle name="콤_출장계획서_새벽시장5_주단조 업종 평가결과품의(040407)_용접업종 평가결과품의(040510)" xfId="31099"/>
    <cellStyle name="콤_출장계획서_새벽시장5_주단조 업종 평가결과품의(040407)_용접업종 평가결과품의(040510)(1)" xfId="31100"/>
    <cellStyle name="콤_출장계획서_새벽시장5_주단조 업종 평가결과품의(040407)_주단조용접업종 평가결과품의(040510)(1)" xfId="31101"/>
    <cellStyle name="콤_출장계획서_새벽시장5_주단조 업종 평가결과품의(040416)(1)" xfId="31102"/>
    <cellStyle name="콤_출장계획서_새벽시장5_주단조 업종 평가결과품의(040416)(1)_용접업종 평가결과품의(040510)" xfId="31103"/>
    <cellStyle name="콤_출장계획서_새벽시장5_주단조 업종 평가결과품의(040416)(1)_용접업종 평가결과품의(040510)(1)" xfId="31104"/>
    <cellStyle name="콤_출장계획서_새벽시장5_주단조 업종 평가결과품의(040416)(1)_주단조용접업종 평가결과품의(040510)(1)" xfId="31105"/>
    <cellStyle name="콤_출장계획서_새벽시장5_최신-SQ인증업체현황1343사(03년평가완료031229수정)" xfId="31106"/>
    <cellStyle name="콤_출장계획서_새벽시장5_최신-SQ인증업체현황1343사(03년평가완료031229수정)_용접업종 평가결과품의(040510)" xfId="31107"/>
    <cellStyle name="콤_출장계획서_새벽시장5_최신-SQ인증업체현황1343사(03년평가완료031229수정)_용접업종 평가결과품의(040510)(1)" xfId="31108"/>
    <cellStyle name="콤_출장계획서_새벽시장5_최신-SQ인증업체현황1343사(03년평가완료031229수정)_주단조용접업종 평가결과품의(040510)(1)" xfId="31109"/>
    <cellStyle name="콤_출장계획서_새벽시장7" xfId="31110"/>
    <cellStyle name="콤_출장계획서_새벽시장7_도금 열처리 주단조 평가품의(040329)" xfId="31111"/>
    <cellStyle name="콤_출장계획서_새벽시장7_도금 열처리 주단조 평가품의(040329)_도금 열처리 주단조 평가품의(040329)" xfId="31112"/>
    <cellStyle name="콤_출장계획서_새벽시장7_도금 열처리 주단조 평가품의(040329)업체" xfId="31113"/>
    <cellStyle name="콤_출장계획서_새벽시장7_열처리결과품의(031017)개발" xfId="31114"/>
    <cellStyle name="콤_출장계획서_새벽시장7_열처리결과품의(031017)개발_도금 열처리 주단조 평가품의(040329)" xfId="31115"/>
    <cellStyle name="콤_출장계획서_새벽시장7_용접업종 평가결과품의(040510)" xfId="31116"/>
    <cellStyle name="콤_출장계획서_새벽시장7_용접업종 평가결과품의(040510)_용접업종 평가결과품의(040510)" xfId="31117"/>
    <cellStyle name="콤_출장계획서_새벽시장7_용접업종 평가결과품의(040510)_용접업종 평가결과품의(040510)(1)" xfId="31118"/>
    <cellStyle name="콤_출장계획서_새벽시장7_용접업종 평가결과품의(040510)_주단조용접업종 평가결과품의(040510)(1)" xfId="31119"/>
    <cellStyle name="콤_출장계획서_새벽시장7_주단조 업종 평가결과품의(040407)" xfId="31120"/>
    <cellStyle name="콤_출장계획서_새벽시장7_주단조 업종 평가결과품의(040407)_용접업종 평가결과품의(040510)" xfId="31121"/>
    <cellStyle name="콤_출장계획서_새벽시장7_주단조 업종 평가결과품의(040407)_용접업종 평가결과품의(040510)(1)" xfId="31122"/>
    <cellStyle name="콤_출장계획서_새벽시장7_주단조 업종 평가결과품의(040407)_주단조용접업종 평가결과품의(040510)(1)" xfId="31123"/>
    <cellStyle name="콤_출장계획서_새벽시장7_주단조 업종 평가결과품의(040416)(1)" xfId="31124"/>
    <cellStyle name="콤_출장계획서_새벽시장7_주단조 업종 평가결과품의(040416)(1)_용접업종 평가결과품의(040510)" xfId="31125"/>
    <cellStyle name="콤_출장계획서_새벽시장7_주단조 업종 평가결과품의(040416)(1)_용접업종 평가결과품의(040510)(1)" xfId="31126"/>
    <cellStyle name="콤_출장계획서_새벽시장7_주단조 업종 평가결과품의(040416)(1)_주단조용접업종 평가결과품의(040510)(1)" xfId="31127"/>
    <cellStyle name="콤_출장계획서_새벽시장7_최신-SQ인증업체현황1343사(03년평가완료031229수정)" xfId="31128"/>
    <cellStyle name="콤_출장계획서_새벽시장7_최신-SQ인증업체현황1343사(03년평가완료031229수정)_용접업종 평가결과품의(040510)" xfId="31129"/>
    <cellStyle name="콤_출장계획서_새벽시장7_최신-SQ인증업체현황1343사(03년평가완료031229수정)_용접업종 평가결과품의(040510)(1)" xfId="31130"/>
    <cellStyle name="콤_출장계획서_새벽시장7_최신-SQ인증업체현황1343사(03년평가완료031229수정)_주단조용접업종 평가결과품의(040510)(1)" xfId="31131"/>
    <cellStyle name="콤_출장계획서_새벽시장8.10xls" xfId="31132"/>
    <cellStyle name="콤_출장계획서_새벽시장8.10xls_도금 열처리 주단조 평가품의(040329)" xfId="31133"/>
    <cellStyle name="콤_출장계획서_새벽시장8.10xls_도금 열처리 주단조 평가품의(040329)_도금 열처리 주단조 평가품의(040329)" xfId="31134"/>
    <cellStyle name="콤_출장계획서_새벽시장8.10xls_도금 열처리 주단조 평가품의(040329)업체" xfId="31135"/>
    <cellStyle name="콤_출장계획서_새벽시장8.10xls_열처리결과품의(031017)개발" xfId="31136"/>
    <cellStyle name="콤_출장계획서_새벽시장8.10xls_열처리결과품의(031017)개발_도금 열처리 주단조 평가품의(040329)" xfId="31137"/>
    <cellStyle name="콤_출장계획서_새벽시장8.10xls_용접업종 평가결과품의(040510)" xfId="31138"/>
    <cellStyle name="콤_출장계획서_새벽시장8.10xls_용접업종 평가결과품의(040510)_용접업종 평가결과품의(040510)" xfId="31139"/>
    <cellStyle name="콤_출장계획서_새벽시장8.10xls_용접업종 평가결과품의(040510)_용접업종 평가결과품의(040510)(1)" xfId="31140"/>
    <cellStyle name="콤_출장계획서_새벽시장8.10xls_용접업종 평가결과품의(040510)_주단조용접업종 평가결과품의(040510)(1)" xfId="31141"/>
    <cellStyle name="콤_출장계획서_새벽시장8.10xls_주단조 업종 평가결과품의(040407)" xfId="31142"/>
    <cellStyle name="콤_출장계획서_새벽시장8.10xls_주단조 업종 평가결과품의(040407)_용접업종 평가결과품의(040510)" xfId="31143"/>
    <cellStyle name="콤_출장계획서_새벽시장8.10xls_주단조 업종 평가결과품의(040407)_용접업종 평가결과품의(040510)(1)" xfId="31144"/>
    <cellStyle name="콤_출장계획서_새벽시장8.10xls_주단조 업종 평가결과품의(040407)_주단조용접업종 평가결과품의(040510)(1)" xfId="31145"/>
    <cellStyle name="콤_출장계획서_새벽시장8.10xls_주단조 업종 평가결과품의(040416)(1)" xfId="31146"/>
    <cellStyle name="콤_출장계획서_새벽시장8.10xls_주단조 업종 평가결과품의(040416)(1)_용접업종 평가결과품의(040510)" xfId="31147"/>
    <cellStyle name="콤_출장계획서_새벽시장8.10xls_주단조 업종 평가결과품의(040416)(1)_용접업종 평가결과품의(040510)(1)" xfId="31148"/>
    <cellStyle name="콤_출장계획서_새벽시장8.10xls_주단조 업종 평가결과품의(040416)(1)_주단조용접업종 평가결과품의(040510)(1)" xfId="31149"/>
    <cellStyle name="콤_출장계획서_새벽시장8.10xls_최신-SQ인증업체현황1343사(03년평가완료031229수정)" xfId="31150"/>
    <cellStyle name="콤_출장계획서_새벽시장8.10xls_최신-SQ인증업체현황1343사(03년평가완료031229수정)_용접업종 평가결과품의(040510)" xfId="31151"/>
    <cellStyle name="콤_출장계획서_새벽시장8.10xls_최신-SQ인증업체현황1343사(03년평가완료031229수정)_용접업종 평가결과품의(040510)(1)" xfId="31152"/>
    <cellStyle name="콤_출장계획서_새벽시장8.10xls_최신-SQ인증업체현황1343사(03년평가완료031229수정)_주단조용접업종 평가결과품의(040510)(1)" xfId="31153"/>
    <cellStyle name="콤_출장계획서_새벽시장8.26xls" xfId="31154"/>
    <cellStyle name="콤_출장계획서_새벽시장8.26xls_도금 열처리 주단조 평가품의(040329)" xfId="31155"/>
    <cellStyle name="콤_출장계획서_새벽시장8.26xls_도금 열처리 주단조 평가품의(040329)_도금 열처리 주단조 평가품의(040329)" xfId="31156"/>
    <cellStyle name="콤_출장계획서_새벽시장8.26xls_도금 열처리 주단조 평가품의(040329)업체" xfId="31157"/>
    <cellStyle name="콤_출장계획서_새벽시장8.26xls_열처리결과품의(031017)개발" xfId="31158"/>
    <cellStyle name="콤_출장계획서_새벽시장8.26xls_열처리결과품의(031017)개발_도금 열처리 주단조 평가품의(040329)" xfId="31159"/>
    <cellStyle name="콤_출장계획서_새벽시장8.26xls_용접업종 평가결과품의(040510)" xfId="31160"/>
    <cellStyle name="콤_출장계획서_새벽시장8.26xls_용접업종 평가결과품의(040510)_용접업종 평가결과품의(040510)" xfId="31161"/>
    <cellStyle name="콤_출장계획서_새벽시장8.26xls_용접업종 평가결과품의(040510)_용접업종 평가결과품의(040510)(1)" xfId="31162"/>
    <cellStyle name="콤_출장계획서_새벽시장8.26xls_용접업종 평가결과품의(040510)_주단조용접업종 평가결과품의(040510)(1)" xfId="31163"/>
    <cellStyle name="콤_출장계획서_새벽시장8.26xls_주단조 업종 평가결과품의(040407)" xfId="31164"/>
    <cellStyle name="콤_출장계획서_새벽시장8.26xls_주단조 업종 평가결과품의(040407)_용접업종 평가결과품의(040510)" xfId="31165"/>
    <cellStyle name="콤_출장계획서_새벽시장8.26xls_주단조 업종 평가결과품의(040407)_용접업종 평가결과품의(040510)(1)" xfId="31166"/>
    <cellStyle name="콤_출장계획서_새벽시장8.26xls_주단조 업종 평가결과품의(040407)_주단조용접업종 평가결과품의(040510)(1)" xfId="31167"/>
    <cellStyle name="콤_출장계획서_새벽시장8.26xls_주단조 업종 평가결과품의(040416)(1)" xfId="31168"/>
    <cellStyle name="콤_출장계획서_새벽시장8.26xls_주단조 업종 평가결과품의(040416)(1)_용접업종 평가결과품의(040510)" xfId="31169"/>
    <cellStyle name="콤_출장계획서_새벽시장8.26xls_주단조 업종 평가결과품의(040416)(1)_용접업종 평가결과품의(040510)(1)" xfId="31170"/>
    <cellStyle name="콤_출장계획서_새벽시장8.26xls_주단조 업종 평가결과품의(040416)(1)_주단조용접업종 평가결과품의(040510)(1)" xfId="31171"/>
    <cellStyle name="콤_출장계획서_새벽시장8.26xls_최신-SQ인증업체현황1343사(03년평가완료031229수정)" xfId="31172"/>
    <cellStyle name="콤_출장계획서_새벽시장8.26xls_최신-SQ인증업체현황1343사(03년평가완료031229수정)_용접업종 평가결과품의(040510)" xfId="31173"/>
    <cellStyle name="콤_출장계획서_새벽시장8.26xls_최신-SQ인증업체현황1343사(03년평가완료031229수정)_용접업종 평가결과품의(040510)(1)" xfId="31174"/>
    <cellStyle name="콤_출장계획서_새벽시장8.26xls_최신-SQ인증업체현황1343사(03년평가완료031229수정)_주단조용접업종 평가결과품의(040510)(1)" xfId="31175"/>
    <cellStyle name="콤_출장계획서_새벽시장9.16" xfId="31176"/>
    <cellStyle name="콤_출장계획서_새벽시장9.16_도금 열처리 주단조 평가품의(040329)" xfId="31177"/>
    <cellStyle name="콤_출장계획서_새벽시장9.16_도금 열처리 주단조 평가품의(040329)_도금 열처리 주단조 평가품의(040329)" xfId="31178"/>
    <cellStyle name="콤_출장계획서_새벽시장9.16_도금 열처리 주단조 평가품의(040329)업체" xfId="31179"/>
    <cellStyle name="콤_출장계획서_새벽시장9.16_열처리결과품의(031017)개발" xfId="31180"/>
    <cellStyle name="콤_출장계획서_새벽시장9.16_열처리결과품의(031017)개발_도금 열처리 주단조 평가품의(040329)" xfId="31181"/>
    <cellStyle name="콤_출장계획서_새벽시장9.16_용접업종 평가결과품의(040510)" xfId="31182"/>
    <cellStyle name="콤_출장계획서_새벽시장9.16_용접업종 평가결과품의(040510)_용접업종 평가결과품의(040510)" xfId="31183"/>
    <cellStyle name="콤_출장계획서_새벽시장9.16_용접업종 평가결과품의(040510)_용접업종 평가결과품의(040510)(1)" xfId="31184"/>
    <cellStyle name="콤_출장계획서_새벽시장9.16_용접업종 평가결과품의(040510)_주단조용접업종 평가결과품의(040510)(1)" xfId="31185"/>
    <cellStyle name="콤_출장계획서_새벽시장9.16_주단조 업종 평가결과품의(040407)" xfId="31186"/>
    <cellStyle name="콤_출장계획서_새벽시장9.16_주단조 업종 평가결과품의(040407)_용접업종 평가결과품의(040510)" xfId="31187"/>
    <cellStyle name="콤_출장계획서_새벽시장9.16_주단조 업종 평가결과품의(040407)_용접업종 평가결과품의(040510)(1)" xfId="31188"/>
    <cellStyle name="콤_출장계획서_새벽시장9.16_주단조 업종 평가결과품의(040407)_주단조용접업종 평가결과품의(040510)(1)" xfId="31189"/>
    <cellStyle name="콤_출장계획서_새벽시장9.16_주단조 업종 평가결과품의(040416)(1)" xfId="31190"/>
    <cellStyle name="콤_출장계획서_새벽시장9.16_주단조 업종 평가결과품의(040416)(1)_용접업종 평가결과품의(040510)" xfId="31191"/>
    <cellStyle name="콤_출장계획서_새벽시장9.16_주단조 업종 평가결과품의(040416)(1)_용접업종 평가결과품의(040510)(1)" xfId="31192"/>
    <cellStyle name="콤_출장계획서_새벽시장9.16_주단조 업종 평가결과품의(040416)(1)_주단조용접업종 평가결과품의(040510)(1)" xfId="31193"/>
    <cellStyle name="콤_출장계획서_새벽시장9.16_최신-SQ인증업체현황1343사(03년평가완료031229수정)" xfId="31194"/>
    <cellStyle name="콤_출장계획서_새벽시장9.16_최신-SQ인증업체현황1343사(03년평가완료031229수정)_용접업종 평가결과품의(040510)" xfId="31195"/>
    <cellStyle name="콤_출장계획서_새벽시장9.16_최신-SQ인증업체현황1343사(03년평가완료031229수정)_용접업종 평가결과품의(040510)(1)" xfId="31196"/>
    <cellStyle name="콤_출장계획서_새벽시장9.16_최신-SQ인증업체현황1343사(03년평가완료031229수정)_주단조용접업종 평가결과품의(040510)(1)" xfId="31197"/>
    <cellStyle name="콤_출장계획서_열처리결과품의(031017)개발" xfId="31198"/>
    <cellStyle name="콤_출장계획서_열처리결과품의(031017)개발_도금 열처리 주단조 평가품의(040329)" xfId="31199"/>
    <cellStyle name="콤_출장계획서_용접업종 평가결과품의(040510)" xfId="31200"/>
    <cellStyle name="콤_출장계획서_용접업종 평가결과품의(040510)_용접업종 평가결과품의(040510)" xfId="31201"/>
    <cellStyle name="콤_출장계획서_용접업종 평가결과품의(040510)_용접업종 평가결과품의(040510)(1)" xfId="31202"/>
    <cellStyle name="콤_출장계획서_용접업종 평가결과품의(040510)_주단조용접업종 평가결과품의(040510)(1)" xfId="31203"/>
    <cellStyle name="콤_출장계획서_주단조 업종 평가결과품의(040407)" xfId="31204"/>
    <cellStyle name="콤_출장계획서_주단조 업종 평가결과품의(040407)_용접업종 평가결과품의(040510)" xfId="31205"/>
    <cellStyle name="콤_출장계획서_주단조 업종 평가결과품의(040407)_용접업종 평가결과품의(040510)(1)" xfId="31206"/>
    <cellStyle name="콤_출장계획서_주단조 업종 평가결과품의(040407)_주단조용접업종 평가결과품의(040510)(1)" xfId="31207"/>
    <cellStyle name="콤_출장계획서_주단조 업종 평가결과품의(040416)(1)" xfId="31208"/>
    <cellStyle name="콤_출장계획서_주단조 업종 평가결과품의(040416)(1)_용접업종 평가결과품의(040510)" xfId="31209"/>
    <cellStyle name="콤_출장계획서_주단조 업종 평가결과품의(040416)(1)_용접업종 평가결과품의(040510)(1)" xfId="31210"/>
    <cellStyle name="콤_출장계획서_주단조 업종 평가결과품의(040416)(1)_주단조용접업종 평가결과품의(040510)(1)" xfId="31211"/>
    <cellStyle name="콤_출장계획서_최신-SQ인증업체현황1343사(03년평가완료031229수정)" xfId="31212"/>
    <cellStyle name="콤_출장계획서_최신-SQ인증업체현황1343사(03년평가완료031229수정)_용접업종 평가결과품의(040510)" xfId="31213"/>
    <cellStyle name="콤_출장계획서_최신-SQ인증업체현황1343사(03년평가완료031229수정)_용접업종 평가결과품의(040510)(1)" xfId="31214"/>
    <cellStyle name="콤_출장계획서_최신-SQ인증업체현황1343사(03년평가완료031229수정)_주단조용접업종 평가결과품의(040510)(1)" xfId="31215"/>
    <cellStyle name="콤마 [" xfId="31216"/>
    <cellStyle name="콤마 [0]_ " xfId="31217"/>
    <cellStyle name="콤마,_x0005__x0014_" xfId="31218"/>
    <cellStyle name="콤마,_x0005__x0014_ 2" xfId="31219"/>
    <cellStyle name="콤마_ " xfId="31220"/>
    <cellStyle name="통" xfId="31221"/>
    <cellStyle name="통_ROTATION 유동" xfId="31222"/>
    <cellStyle name="통_ROTATION 유동_도금 열처리 주단조 평가품의(040329)" xfId="31223"/>
    <cellStyle name="통_ROTATION 유동_도금 열처리 주단조 평가품의(040329)_도금 열처리 주단조 평가품의(040329)" xfId="31224"/>
    <cellStyle name="통_ROTATION 유동_도금 열처리 주단조 평가품의(040329)업체" xfId="31225"/>
    <cellStyle name="통_ROTATION 유동_열처리결과품의(031017)개발" xfId="31226"/>
    <cellStyle name="통_ROTATION 유동_열처리결과품의(031017)개발_도금 열처리 주단조 평가품의(040329)" xfId="31227"/>
    <cellStyle name="통_ROTATION 유동_용접업종 평가결과품의(040510)" xfId="31228"/>
    <cellStyle name="통_ROTATION 유동_용접업종 평가결과품의(040510)_용접업종 평가결과품의(040510)" xfId="31229"/>
    <cellStyle name="통_ROTATION 유동_용접업종 평가결과품의(040510)_용접업종 평가결과품의(040510)(1)" xfId="31230"/>
    <cellStyle name="통_ROTATION 유동_용접업종 평가결과품의(040510)_주단조용접업종 평가결과품의(040510)(1)" xfId="31231"/>
    <cellStyle name="통_ROTATION 유동_주단조 업종 평가결과품의(040407)" xfId="31232"/>
    <cellStyle name="통_ROTATION 유동_주단조 업종 평가결과품의(040407)_용접업종 평가결과품의(040510)" xfId="31233"/>
    <cellStyle name="통_ROTATION 유동_주단조 업종 평가결과품의(040407)_용접업종 평가결과품의(040510)(1)" xfId="31234"/>
    <cellStyle name="통_ROTATION 유동_주단조 업종 평가결과품의(040407)_주단조용접업종 평가결과품의(040510)(1)" xfId="31235"/>
    <cellStyle name="통_ROTATION 유동_주단조 업종 평가결과품의(040416)(1)" xfId="31236"/>
    <cellStyle name="통_ROTATION 유동_주단조 업종 평가결과품의(040416)(1)_용접업종 평가결과품의(040510)" xfId="31237"/>
    <cellStyle name="통_ROTATION 유동_주단조 업종 평가결과품의(040416)(1)_용접업종 평가결과품의(040510)(1)" xfId="31238"/>
    <cellStyle name="통_ROTATION 유동_주단조 업종 평가결과품의(040416)(1)_주단조용접업종 평가결과품의(040510)(1)" xfId="31239"/>
    <cellStyle name="통_ROTATION 유동_최신-SQ인증업체현황1343사(03년평가완료031229수정)" xfId="31240"/>
    <cellStyle name="통_ROTATION 유동_최신-SQ인증업체현황1343사(03년평가완료031229수정)_용접업종 평가결과품의(040510)" xfId="31241"/>
    <cellStyle name="통_ROTATION 유동_최신-SQ인증업체현황1343사(03년평가완료031229수정)_용접업종 평가결과품의(040510)(1)" xfId="31242"/>
    <cellStyle name="통_ROTATION 유동_최신-SQ인증업체현황1343사(03년평가완료031229수정)_주단조용접업종 평가결과품의(040510)(1)" xfId="31243"/>
    <cellStyle name="통_SLIDE 폭" xfId="31244"/>
    <cellStyle name="통_SLIDE 폭_도금 열처리 주단조 평가품의(040329)" xfId="31245"/>
    <cellStyle name="통_SLIDE 폭_도금 열처리 주단조 평가품의(040329)_도금 열처리 주단조 평가품의(040329)" xfId="31246"/>
    <cellStyle name="통_SLIDE 폭_도금 열처리 주단조 평가품의(040329)업체" xfId="31247"/>
    <cellStyle name="통_SLIDE 폭_열처리결과품의(031017)개발" xfId="31248"/>
    <cellStyle name="통_SLIDE 폭_열처리결과품의(031017)개발_도금 열처리 주단조 평가품의(040329)" xfId="31249"/>
    <cellStyle name="통_SLIDE 폭_용접업종 평가결과품의(040510)" xfId="31250"/>
    <cellStyle name="통_SLIDE 폭_용접업종 평가결과품의(040510)_용접업종 평가결과품의(040510)" xfId="31251"/>
    <cellStyle name="통_SLIDE 폭_용접업종 평가결과품의(040510)_용접업종 평가결과품의(040510)(1)" xfId="31252"/>
    <cellStyle name="통_SLIDE 폭_용접업종 평가결과품의(040510)_주단조용접업종 평가결과품의(040510)(1)" xfId="31253"/>
    <cellStyle name="통_SLIDE 폭_주단조 업종 평가결과품의(040407)" xfId="31254"/>
    <cellStyle name="통_SLIDE 폭_주단조 업종 평가결과품의(040407)_용접업종 평가결과품의(040510)" xfId="31255"/>
    <cellStyle name="통_SLIDE 폭_주단조 업종 평가결과품의(040407)_용접업종 평가결과품의(040510)(1)" xfId="31256"/>
    <cellStyle name="통_SLIDE 폭_주단조 업종 평가결과품의(040407)_주단조용접업종 평가결과품의(040510)(1)" xfId="31257"/>
    <cellStyle name="통_SLIDE 폭_주단조 업종 평가결과품의(040416)(1)" xfId="31258"/>
    <cellStyle name="통_SLIDE 폭_주단조 업종 평가결과품의(040416)(1)_용접업종 평가결과품의(040510)" xfId="31259"/>
    <cellStyle name="통_SLIDE 폭_주단조 업종 평가결과품의(040416)(1)_용접업종 평가결과품의(040510)(1)" xfId="31260"/>
    <cellStyle name="통_SLIDE 폭_주단조 업종 평가결과품의(040416)(1)_주단조용접업종 평가결과품의(040510)(1)" xfId="31261"/>
    <cellStyle name="통_SLIDE 폭_최신-SQ인증업체현황1343사(03년평가완료031229수정)" xfId="31262"/>
    <cellStyle name="통_SLIDE 폭_최신-SQ인증업체현황1343사(03년평가완료031229수정)_용접업종 평가결과품의(040510)" xfId="31263"/>
    <cellStyle name="통_SLIDE 폭_최신-SQ인증업체현황1343사(03년평가완료031229수정)_용접업종 평가결과품의(040510)(1)" xfId="31264"/>
    <cellStyle name="통_SLIDE 폭_최신-SQ인증업체현황1343사(03년평가완료031229수정)_주단조용접업종 평가결과품의(040510)(1)" xfId="31265"/>
    <cellStyle name="통_도금 열처리 주단조 평가품의(040329)" xfId="31266"/>
    <cellStyle name="통_도금 열처리 주단조 평가품의(040329)_도금 열처리 주단조 평가품의(040329)" xfId="31267"/>
    <cellStyle name="통_도금 열처리 주단조 평가품의(040329)업체" xfId="31268"/>
    <cellStyle name="통_사전회의(1208)" xfId="31269"/>
    <cellStyle name="통_사전회의(1208)_ROTATION 유동" xfId="31270"/>
    <cellStyle name="통_사전회의(1208)_ROTATION 유동_도금 열처리 주단조 평가품의(040329)" xfId="31271"/>
    <cellStyle name="통_사전회의(1208)_ROTATION 유동_도금 열처리 주단조 평가품의(040329)_도금 열처리 주단조 평가품의(040329)" xfId="31272"/>
    <cellStyle name="통_사전회의(1208)_ROTATION 유동_도금 열처리 주단조 평가품의(040329)업체" xfId="31273"/>
    <cellStyle name="통_사전회의(1208)_ROTATION 유동_열처리결과품의(031017)개발" xfId="31274"/>
    <cellStyle name="통_사전회의(1208)_ROTATION 유동_열처리결과품의(031017)개발_도금 열처리 주단조 평가품의(040329)" xfId="31275"/>
    <cellStyle name="통_사전회의(1208)_ROTATION 유동_용접업종 평가결과품의(040510)" xfId="31276"/>
    <cellStyle name="통_사전회의(1208)_ROTATION 유동_용접업종 평가결과품의(040510)_용접업종 평가결과품의(040510)" xfId="31277"/>
    <cellStyle name="통_사전회의(1208)_ROTATION 유동_용접업종 평가결과품의(040510)_용접업종 평가결과품의(040510)(1)" xfId="31278"/>
    <cellStyle name="통_사전회의(1208)_ROTATION 유동_용접업종 평가결과품의(040510)_주단조용접업종 평가결과품의(040510)(1)" xfId="31279"/>
    <cellStyle name="통_사전회의(1208)_ROTATION 유동_주단조 업종 평가결과품의(040407)" xfId="31280"/>
    <cellStyle name="통_사전회의(1208)_ROTATION 유동_주단조 업종 평가결과품의(040407)_용접업종 평가결과품의(040510)" xfId="31281"/>
    <cellStyle name="통_사전회의(1208)_ROTATION 유동_주단조 업종 평가결과품의(040407)_용접업종 평가결과품의(040510)(1)" xfId="31282"/>
    <cellStyle name="통_사전회의(1208)_ROTATION 유동_주단조 업종 평가결과품의(040407)_주단조용접업종 평가결과품의(040510)(1)" xfId="31283"/>
    <cellStyle name="통_사전회의(1208)_ROTATION 유동_주단조 업종 평가결과품의(040416)(1)" xfId="31284"/>
    <cellStyle name="통_사전회의(1208)_ROTATION 유동_주단조 업종 평가결과품의(040416)(1)_용접업종 평가결과품의(040510)" xfId="31285"/>
    <cellStyle name="통_사전회의(1208)_ROTATION 유동_주단조 업종 평가결과품의(040416)(1)_용접업종 평가결과품의(040510)(1)" xfId="31286"/>
    <cellStyle name="통_사전회의(1208)_ROTATION 유동_주단조 업종 평가결과품의(040416)(1)_주단조용접업종 평가결과품의(040510)(1)" xfId="31287"/>
    <cellStyle name="통_사전회의(1208)_ROTATION 유동_최신-SQ인증업체현황1343사(03년평가완료031229수정)" xfId="31288"/>
    <cellStyle name="통_사전회의(1208)_ROTATION 유동_최신-SQ인증업체현황1343사(03년평가완료031229수정)_용접업종 평가결과품의(040510)" xfId="31289"/>
    <cellStyle name="통_사전회의(1208)_ROTATION 유동_최신-SQ인증업체현황1343사(03년평가완료031229수정)_용접업종 평가결과품의(040510)(1)" xfId="31290"/>
    <cellStyle name="통_사전회의(1208)_ROTATION 유동_최신-SQ인증업체현황1343사(03년평가완료031229수정)_주단조용접업종 평가결과품의(040510)(1)" xfId="31291"/>
    <cellStyle name="통_사전회의(1208)_SLIDE 폭" xfId="31292"/>
    <cellStyle name="통_사전회의(1208)_SLIDE 폭_도금 열처리 주단조 평가품의(040329)" xfId="31293"/>
    <cellStyle name="통_사전회의(1208)_SLIDE 폭_도금 열처리 주단조 평가품의(040329)_도금 열처리 주단조 평가품의(040329)" xfId="31294"/>
    <cellStyle name="통_사전회의(1208)_SLIDE 폭_도금 열처리 주단조 평가품의(040329)업체" xfId="31295"/>
    <cellStyle name="통_사전회의(1208)_SLIDE 폭_열처리결과품의(031017)개발" xfId="31296"/>
    <cellStyle name="통_사전회의(1208)_SLIDE 폭_열처리결과품의(031017)개발_도금 열처리 주단조 평가품의(040329)" xfId="31297"/>
    <cellStyle name="통_사전회의(1208)_SLIDE 폭_용접업종 평가결과품의(040510)" xfId="31298"/>
    <cellStyle name="통_사전회의(1208)_SLIDE 폭_용접업종 평가결과품의(040510)_용접업종 평가결과품의(040510)" xfId="31299"/>
    <cellStyle name="통_사전회의(1208)_SLIDE 폭_용접업종 평가결과품의(040510)_용접업종 평가결과품의(040510)(1)" xfId="31300"/>
    <cellStyle name="통_사전회의(1208)_SLIDE 폭_용접업종 평가결과품의(040510)_주단조용접업종 평가결과품의(040510)(1)" xfId="31301"/>
    <cellStyle name="통_사전회의(1208)_SLIDE 폭_주단조 업종 평가결과품의(040407)" xfId="31302"/>
    <cellStyle name="통_사전회의(1208)_SLIDE 폭_주단조 업종 평가결과품의(040407)_용접업종 평가결과품의(040510)" xfId="31303"/>
    <cellStyle name="통_사전회의(1208)_SLIDE 폭_주단조 업종 평가결과품의(040407)_용접업종 평가결과품의(040510)(1)" xfId="31304"/>
    <cellStyle name="통_사전회의(1208)_SLIDE 폭_주단조 업종 평가결과품의(040407)_주단조용접업종 평가결과품의(040510)(1)" xfId="31305"/>
    <cellStyle name="통_사전회의(1208)_SLIDE 폭_주단조 업종 평가결과품의(040416)(1)" xfId="31306"/>
    <cellStyle name="통_사전회의(1208)_SLIDE 폭_주단조 업종 평가결과품의(040416)(1)_용접업종 평가결과품의(040510)" xfId="31307"/>
    <cellStyle name="통_사전회의(1208)_SLIDE 폭_주단조 업종 평가결과품의(040416)(1)_용접업종 평가결과품의(040510)(1)" xfId="31308"/>
    <cellStyle name="통_사전회의(1208)_SLIDE 폭_주단조 업종 평가결과품의(040416)(1)_주단조용접업종 평가결과품의(040510)(1)" xfId="31309"/>
    <cellStyle name="통_사전회의(1208)_SLIDE 폭_최신-SQ인증업체현황1343사(03년평가완료031229수정)" xfId="31310"/>
    <cellStyle name="통_사전회의(1208)_SLIDE 폭_최신-SQ인증업체현황1343사(03년평가완료031229수정)_용접업종 평가결과품의(040510)" xfId="31311"/>
    <cellStyle name="통_사전회의(1208)_SLIDE 폭_최신-SQ인증업체현황1343사(03년평가완료031229수정)_용접업종 평가결과품의(040510)(1)" xfId="31312"/>
    <cellStyle name="통_사전회의(1208)_SLIDE 폭_최신-SQ인증업체현황1343사(03년평가완료031229수정)_주단조용접업종 평가결과품의(040510)(1)" xfId="31313"/>
    <cellStyle name="통_사전회의(1208)_도금 열처리 주단조 평가품의(040329)" xfId="31314"/>
    <cellStyle name="통_사전회의(1208)_도금 열처리 주단조 평가품의(040329)_도금 열처리 주단조 평가품의(040329)" xfId="31315"/>
    <cellStyle name="통_사전회의(1208)_도금 열처리 주단조 평가품의(040329)업체" xfId="31316"/>
    <cellStyle name="통_사전회의(1208)_새벽시장1" xfId="31317"/>
    <cellStyle name="통_사전회의(1208)_새벽시장1_도금 열처리 주단조 평가품의(040329)" xfId="31318"/>
    <cellStyle name="통_사전회의(1208)_새벽시장1_도금 열처리 주단조 평가품의(040329)_도금 열처리 주단조 평가품의(040329)" xfId="31319"/>
    <cellStyle name="통_사전회의(1208)_새벽시장1_도금 열처리 주단조 평가품의(040329)업체" xfId="31320"/>
    <cellStyle name="통_사전회의(1208)_새벽시장1_열처리결과품의(031017)개발" xfId="31321"/>
    <cellStyle name="통_사전회의(1208)_새벽시장1_열처리결과품의(031017)개발_도금 열처리 주단조 평가품의(040329)" xfId="31322"/>
    <cellStyle name="통_사전회의(1208)_새벽시장1_용접업종 평가결과품의(040510)" xfId="31323"/>
    <cellStyle name="통_사전회의(1208)_새벽시장1_용접업종 평가결과품의(040510)_용접업종 평가결과품의(040510)" xfId="31324"/>
    <cellStyle name="통_사전회의(1208)_새벽시장1_용접업종 평가결과품의(040510)_용접업종 평가결과품의(040510)(1)" xfId="31325"/>
    <cellStyle name="통_사전회의(1208)_새벽시장1_용접업종 평가결과품의(040510)_주단조용접업종 평가결과품의(040510)(1)" xfId="31326"/>
    <cellStyle name="통_사전회의(1208)_새벽시장1_주단조 업종 평가결과품의(040407)" xfId="31327"/>
    <cellStyle name="통_사전회의(1208)_새벽시장1_주단조 업종 평가결과품의(040407)_용접업종 평가결과품의(040510)" xfId="31328"/>
    <cellStyle name="통_사전회의(1208)_새벽시장1_주단조 업종 평가결과품의(040407)_용접업종 평가결과품의(040510)(1)" xfId="31329"/>
    <cellStyle name="통_사전회의(1208)_새벽시장1_주단조 업종 평가결과품의(040407)_주단조용접업종 평가결과품의(040510)(1)" xfId="31330"/>
    <cellStyle name="통_사전회의(1208)_새벽시장1_주단조 업종 평가결과품의(040416)(1)" xfId="31331"/>
    <cellStyle name="통_사전회의(1208)_새벽시장1_주단조 업종 평가결과품의(040416)(1)_용접업종 평가결과품의(040510)" xfId="31332"/>
    <cellStyle name="통_사전회의(1208)_새벽시장1_주단조 업종 평가결과품의(040416)(1)_용접업종 평가결과품의(040510)(1)" xfId="31333"/>
    <cellStyle name="통_사전회의(1208)_새벽시장1_주단조 업종 평가결과품의(040416)(1)_주단조용접업종 평가결과품의(040510)(1)" xfId="31334"/>
    <cellStyle name="통_사전회의(1208)_새벽시장1_최신-SQ인증업체현황1343사(03년평가완료031229수정)" xfId="31335"/>
    <cellStyle name="통_사전회의(1208)_새벽시장1_최신-SQ인증업체현황1343사(03년평가완료031229수정)_용접업종 평가결과품의(040510)" xfId="31336"/>
    <cellStyle name="통_사전회의(1208)_새벽시장1_최신-SQ인증업체현황1343사(03년평가완료031229수정)_용접업종 평가결과품의(040510)(1)" xfId="31337"/>
    <cellStyle name="통_사전회의(1208)_새벽시장1_최신-SQ인증업체현황1343사(03년평가완료031229수정)_주단조용접업종 평가결과품의(040510)(1)" xfId="31338"/>
    <cellStyle name="통_사전회의(1208)_새벽시장3" xfId="31339"/>
    <cellStyle name="통_사전회의(1208)_새벽시장3_도금 열처리 주단조 평가품의(040329)" xfId="31340"/>
    <cellStyle name="통_사전회의(1208)_새벽시장3_도금 열처리 주단조 평가품의(040329)_도금 열처리 주단조 평가품의(040329)" xfId="31341"/>
    <cellStyle name="통_사전회의(1208)_새벽시장3_도금 열처리 주단조 평가품의(040329)업체" xfId="31342"/>
    <cellStyle name="통_사전회의(1208)_새벽시장3_열처리결과품의(031017)개발" xfId="31343"/>
    <cellStyle name="통_사전회의(1208)_새벽시장3_열처리결과품의(031017)개발_도금 열처리 주단조 평가품의(040329)" xfId="31344"/>
    <cellStyle name="통_사전회의(1208)_새벽시장3_용접업종 평가결과품의(040510)" xfId="31345"/>
    <cellStyle name="통_사전회의(1208)_새벽시장3_용접업종 평가결과품의(040510)_용접업종 평가결과품의(040510)" xfId="31346"/>
    <cellStyle name="통_사전회의(1208)_새벽시장3_용접업종 평가결과품의(040510)_용접업종 평가결과품의(040510)(1)" xfId="31347"/>
    <cellStyle name="통_사전회의(1208)_새벽시장3_용접업종 평가결과품의(040510)_주단조용접업종 평가결과품의(040510)(1)" xfId="31348"/>
    <cellStyle name="통_사전회의(1208)_새벽시장3_주단조 업종 평가결과품의(040407)" xfId="31349"/>
    <cellStyle name="통_사전회의(1208)_새벽시장3_주단조 업종 평가결과품의(040407)_용접업종 평가결과품의(040510)" xfId="31350"/>
    <cellStyle name="통_사전회의(1208)_새벽시장3_주단조 업종 평가결과품의(040407)_용접업종 평가결과품의(040510)(1)" xfId="31351"/>
    <cellStyle name="통_사전회의(1208)_새벽시장3_주단조 업종 평가결과품의(040407)_주단조용접업종 평가결과품의(040510)(1)" xfId="31352"/>
    <cellStyle name="통_사전회의(1208)_새벽시장3_주단조 업종 평가결과품의(040416)(1)" xfId="31353"/>
    <cellStyle name="통_사전회의(1208)_새벽시장3_주단조 업종 평가결과품의(040416)(1)_용접업종 평가결과품의(040510)" xfId="31354"/>
    <cellStyle name="통_사전회의(1208)_새벽시장3_주단조 업종 평가결과품의(040416)(1)_용접업종 평가결과품의(040510)(1)" xfId="31355"/>
    <cellStyle name="통_사전회의(1208)_새벽시장3_주단조 업종 평가결과품의(040416)(1)_주단조용접업종 평가결과품의(040510)(1)" xfId="31356"/>
    <cellStyle name="통_사전회의(1208)_새벽시장3_최신-SQ인증업체현황1343사(03년평가완료031229수정)" xfId="31357"/>
    <cellStyle name="통_사전회의(1208)_새벽시장3_최신-SQ인증업체현황1343사(03년평가완료031229수정)_용접업종 평가결과품의(040510)" xfId="31358"/>
    <cellStyle name="통_사전회의(1208)_새벽시장3_최신-SQ인증업체현황1343사(03년평가완료031229수정)_용접업종 평가결과품의(040510)(1)" xfId="31359"/>
    <cellStyle name="통_사전회의(1208)_새벽시장3_최신-SQ인증업체현황1343사(03년평가완료031229수정)_주단조용접업종 평가결과품의(040510)(1)" xfId="31360"/>
    <cellStyle name="통_사전회의(1208)_새벽시장5" xfId="31361"/>
    <cellStyle name="통_사전회의(1208)_새벽시장5_도금 열처리 주단조 평가품의(040329)" xfId="31362"/>
    <cellStyle name="통_사전회의(1208)_새벽시장5_도금 열처리 주단조 평가품의(040329)_도금 열처리 주단조 평가품의(040329)" xfId="31363"/>
    <cellStyle name="통_사전회의(1208)_새벽시장5_도금 열처리 주단조 평가품의(040329)업체" xfId="31364"/>
    <cellStyle name="통_사전회의(1208)_새벽시장5_열처리결과품의(031017)개발" xfId="31365"/>
    <cellStyle name="통_사전회의(1208)_새벽시장5_열처리결과품의(031017)개발_도금 열처리 주단조 평가품의(040329)" xfId="31366"/>
    <cellStyle name="통_사전회의(1208)_새벽시장5_용접업종 평가결과품의(040510)" xfId="31367"/>
    <cellStyle name="통_사전회의(1208)_새벽시장5_용접업종 평가결과품의(040510)_용접업종 평가결과품의(040510)" xfId="31368"/>
    <cellStyle name="통_사전회의(1208)_새벽시장5_용접업종 평가결과품의(040510)_용접업종 평가결과품의(040510)(1)" xfId="31369"/>
    <cellStyle name="통_사전회의(1208)_새벽시장5_용접업종 평가결과품의(040510)_주단조용접업종 평가결과품의(040510)(1)" xfId="31370"/>
    <cellStyle name="통_사전회의(1208)_새벽시장5_주단조 업종 평가결과품의(040407)" xfId="31371"/>
    <cellStyle name="통_사전회의(1208)_새벽시장5_주단조 업종 평가결과품의(040407)_용접업종 평가결과품의(040510)" xfId="31372"/>
    <cellStyle name="통_사전회의(1208)_새벽시장5_주단조 업종 평가결과품의(040407)_용접업종 평가결과품의(040510)(1)" xfId="31373"/>
    <cellStyle name="통_사전회의(1208)_새벽시장5_주단조 업종 평가결과품의(040407)_주단조용접업종 평가결과품의(040510)(1)" xfId="31374"/>
    <cellStyle name="통_사전회의(1208)_새벽시장5_주단조 업종 평가결과품의(040416)(1)" xfId="31375"/>
    <cellStyle name="통_사전회의(1208)_새벽시장5_주단조 업종 평가결과품의(040416)(1)_용접업종 평가결과품의(040510)" xfId="31376"/>
    <cellStyle name="통_사전회의(1208)_새벽시장5_주단조 업종 평가결과품의(040416)(1)_용접업종 평가결과품의(040510)(1)" xfId="31377"/>
    <cellStyle name="통_사전회의(1208)_새벽시장5_주단조 업종 평가결과품의(040416)(1)_주단조용접업종 평가결과품의(040510)(1)" xfId="31378"/>
    <cellStyle name="통_사전회의(1208)_새벽시장5_최신-SQ인증업체현황1343사(03년평가완료031229수정)" xfId="31379"/>
    <cellStyle name="통_사전회의(1208)_새벽시장5_최신-SQ인증업체현황1343사(03년평가완료031229수정)_용접업종 평가결과품의(040510)" xfId="31380"/>
    <cellStyle name="통_사전회의(1208)_새벽시장5_최신-SQ인증업체현황1343사(03년평가완료031229수정)_용접업종 평가결과품의(040510)(1)" xfId="31381"/>
    <cellStyle name="통_사전회의(1208)_새벽시장5_최신-SQ인증업체현황1343사(03년평가완료031229수정)_주단조용접업종 평가결과품의(040510)(1)" xfId="31382"/>
    <cellStyle name="통_사전회의(1208)_새벽시장7" xfId="31383"/>
    <cellStyle name="통_사전회의(1208)_새벽시장7_도금 열처리 주단조 평가품의(040329)" xfId="31384"/>
    <cellStyle name="통_사전회의(1208)_새벽시장7_도금 열처리 주단조 평가품의(040329)_도금 열처리 주단조 평가품의(040329)" xfId="31385"/>
    <cellStyle name="통_사전회의(1208)_새벽시장7_도금 열처리 주단조 평가품의(040329)업체" xfId="31386"/>
    <cellStyle name="통_사전회의(1208)_새벽시장7_열처리결과품의(031017)개발" xfId="31387"/>
    <cellStyle name="통_사전회의(1208)_새벽시장7_열처리결과품의(031017)개발_도금 열처리 주단조 평가품의(040329)" xfId="31388"/>
    <cellStyle name="통_사전회의(1208)_새벽시장7_용접업종 평가결과품의(040510)" xfId="31389"/>
    <cellStyle name="통_사전회의(1208)_새벽시장7_용접업종 평가결과품의(040510)_용접업종 평가결과품의(040510)" xfId="31390"/>
    <cellStyle name="통_사전회의(1208)_새벽시장7_용접업종 평가결과품의(040510)_용접업종 평가결과품의(040510)(1)" xfId="31391"/>
    <cellStyle name="통_사전회의(1208)_새벽시장7_용접업종 평가결과품의(040510)_주단조용접업종 평가결과품의(040510)(1)" xfId="31392"/>
    <cellStyle name="통_사전회의(1208)_새벽시장7_주단조 업종 평가결과품의(040407)" xfId="31393"/>
    <cellStyle name="통_사전회의(1208)_새벽시장7_주단조 업종 평가결과품의(040407)_용접업종 평가결과품의(040510)" xfId="31394"/>
    <cellStyle name="통_사전회의(1208)_새벽시장7_주단조 업종 평가결과품의(040407)_용접업종 평가결과품의(040510)(1)" xfId="31395"/>
    <cellStyle name="통_사전회의(1208)_새벽시장7_주단조 업종 평가결과품의(040407)_주단조용접업종 평가결과품의(040510)(1)" xfId="31396"/>
    <cellStyle name="통_사전회의(1208)_새벽시장7_주단조 업종 평가결과품의(040416)(1)" xfId="31397"/>
    <cellStyle name="통_사전회의(1208)_새벽시장7_주단조 업종 평가결과품의(040416)(1)_용접업종 평가결과품의(040510)" xfId="31398"/>
    <cellStyle name="통_사전회의(1208)_새벽시장7_주단조 업종 평가결과품의(040416)(1)_용접업종 평가결과품의(040510)(1)" xfId="31399"/>
    <cellStyle name="통_사전회의(1208)_새벽시장7_주단조 업종 평가결과품의(040416)(1)_주단조용접업종 평가결과품의(040510)(1)" xfId="31400"/>
    <cellStyle name="통_사전회의(1208)_새벽시장7_최신-SQ인증업체현황1343사(03년평가완료031229수정)" xfId="31401"/>
    <cellStyle name="통_사전회의(1208)_새벽시장7_최신-SQ인증업체현황1343사(03년평가완료031229수정)_용접업종 평가결과품의(040510)" xfId="31402"/>
    <cellStyle name="통_사전회의(1208)_새벽시장7_최신-SQ인증업체현황1343사(03년평가완료031229수정)_용접업종 평가결과품의(040510)(1)" xfId="31403"/>
    <cellStyle name="통_사전회의(1208)_새벽시장7_최신-SQ인증업체현황1343사(03년평가완료031229수정)_주단조용접업종 평가결과품의(040510)(1)" xfId="31404"/>
    <cellStyle name="통_사전회의(1208)_새벽시장8.10xls" xfId="31405"/>
    <cellStyle name="통_사전회의(1208)_새벽시장8.10xls_도금 열처리 주단조 평가품의(040329)" xfId="31406"/>
    <cellStyle name="통_사전회의(1208)_새벽시장8.10xls_도금 열처리 주단조 평가품의(040329)_도금 열처리 주단조 평가품의(040329)" xfId="31407"/>
    <cellStyle name="통_사전회의(1208)_새벽시장8.10xls_도금 열처리 주단조 평가품의(040329)업체" xfId="31408"/>
    <cellStyle name="통_사전회의(1208)_새벽시장8.10xls_열처리결과품의(031017)개발" xfId="31409"/>
    <cellStyle name="통_사전회의(1208)_새벽시장8.10xls_열처리결과품의(031017)개발_도금 열처리 주단조 평가품의(040329)" xfId="31410"/>
    <cellStyle name="통_사전회의(1208)_새벽시장8.10xls_용접업종 평가결과품의(040510)" xfId="31411"/>
    <cellStyle name="통_사전회의(1208)_새벽시장8.10xls_용접업종 평가결과품의(040510)_용접업종 평가결과품의(040510)" xfId="31412"/>
    <cellStyle name="통_사전회의(1208)_새벽시장8.10xls_용접업종 평가결과품의(040510)_용접업종 평가결과품의(040510)(1)" xfId="31413"/>
    <cellStyle name="통_사전회의(1208)_새벽시장8.10xls_용접업종 평가결과품의(040510)_주단조용접업종 평가결과품의(040510)(1)" xfId="31414"/>
    <cellStyle name="통_사전회의(1208)_새벽시장8.10xls_주단조 업종 평가결과품의(040407)" xfId="31415"/>
    <cellStyle name="통_사전회의(1208)_새벽시장8.10xls_주단조 업종 평가결과품의(040407)_용접업종 평가결과품의(040510)" xfId="31416"/>
    <cellStyle name="통_사전회의(1208)_새벽시장8.10xls_주단조 업종 평가결과품의(040407)_용접업종 평가결과품의(040510)(1)" xfId="31417"/>
    <cellStyle name="통_사전회의(1208)_새벽시장8.10xls_주단조 업종 평가결과품의(040407)_주단조용접업종 평가결과품의(040510)(1)" xfId="31418"/>
    <cellStyle name="통_사전회의(1208)_새벽시장8.10xls_주단조 업종 평가결과품의(040416)(1)" xfId="31419"/>
    <cellStyle name="통_사전회의(1208)_새벽시장8.10xls_주단조 업종 평가결과품의(040416)(1)_용접업종 평가결과품의(040510)" xfId="31420"/>
    <cellStyle name="통_사전회의(1208)_새벽시장8.10xls_주단조 업종 평가결과품의(040416)(1)_용접업종 평가결과품의(040510)(1)" xfId="31421"/>
    <cellStyle name="통_사전회의(1208)_새벽시장8.10xls_주단조 업종 평가결과품의(040416)(1)_주단조용접업종 평가결과품의(040510)(1)" xfId="31422"/>
    <cellStyle name="통_사전회의(1208)_새벽시장8.10xls_최신-SQ인증업체현황1343사(03년평가완료031229수정)" xfId="31423"/>
    <cellStyle name="통_사전회의(1208)_새벽시장8.10xls_최신-SQ인증업체현황1343사(03년평가완료031229수정)_용접업종 평가결과품의(040510)" xfId="31424"/>
    <cellStyle name="통_사전회의(1208)_새벽시장8.10xls_최신-SQ인증업체현황1343사(03년평가완료031229수정)_용접업종 평가결과품의(040510)(1)" xfId="31425"/>
    <cellStyle name="통_사전회의(1208)_새벽시장8.10xls_최신-SQ인증업체현황1343사(03년평가완료031229수정)_주단조용접업종 평가결과품의(040510)(1)" xfId="31426"/>
    <cellStyle name="통_사전회의(1208)_새벽시장8.26xls" xfId="31427"/>
    <cellStyle name="통_사전회의(1208)_새벽시장8.26xls_도금 열처리 주단조 평가품의(040329)" xfId="31428"/>
    <cellStyle name="통_사전회의(1208)_새벽시장8.26xls_도금 열처리 주단조 평가품의(040329)_도금 열처리 주단조 평가품의(040329)" xfId="31429"/>
    <cellStyle name="통_사전회의(1208)_새벽시장8.26xls_도금 열처리 주단조 평가품의(040329)업체" xfId="31430"/>
    <cellStyle name="통_사전회의(1208)_새벽시장8.26xls_열처리결과품의(031017)개발" xfId="31431"/>
    <cellStyle name="통_사전회의(1208)_새벽시장8.26xls_열처리결과품의(031017)개발_도금 열처리 주단조 평가품의(040329)" xfId="31432"/>
    <cellStyle name="통_사전회의(1208)_새벽시장8.26xls_용접업종 평가결과품의(040510)" xfId="31433"/>
    <cellStyle name="통_사전회의(1208)_새벽시장8.26xls_용접업종 평가결과품의(040510)_용접업종 평가결과품의(040510)" xfId="31434"/>
    <cellStyle name="통_사전회의(1208)_새벽시장8.26xls_용접업종 평가결과품의(040510)_용접업종 평가결과품의(040510)(1)" xfId="31435"/>
    <cellStyle name="통_사전회의(1208)_새벽시장8.26xls_용접업종 평가결과품의(040510)_주단조용접업종 평가결과품의(040510)(1)" xfId="31436"/>
    <cellStyle name="통_사전회의(1208)_새벽시장8.26xls_주단조 업종 평가결과품의(040407)" xfId="31437"/>
    <cellStyle name="통_사전회의(1208)_새벽시장8.26xls_주단조 업종 평가결과품의(040407)_용접업종 평가결과품의(040510)" xfId="31438"/>
    <cellStyle name="통_사전회의(1208)_새벽시장8.26xls_주단조 업종 평가결과품의(040407)_용접업종 평가결과품의(040510)(1)" xfId="31439"/>
    <cellStyle name="통_사전회의(1208)_새벽시장8.26xls_주단조 업종 평가결과품의(040407)_주단조용접업종 평가결과품의(040510)(1)" xfId="31440"/>
    <cellStyle name="통_사전회의(1208)_새벽시장8.26xls_주단조 업종 평가결과품의(040416)(1)" xfId="31441"/>
    <cellStyle name="통_사전회의(1208)_새벽시장8.26xls_주단조 업종 평가결과품의(040416)(1)_용접업종 평가결과품의(040510)" xfId="31442"/>
    <cellStyle name="통_사전회의(1208)_새벽시장8.26xls_주단조 업종 평가결과품의(040416)(1)_용접업종 평가결과품의(040510)(1)" xfId="31443"/>
    <cellStyle name="통_사전회의(1208)_새벽시장8.26xls_주단조 업종 평가결과품의(040416)(1)_주단조용접업종 평가결과품의(040510)(1)" xfId="31444"/>
    <cellStyle name="통_사전회의(1208)_새벽시장8.26xls_최신-SQ인증업체현황1343사(03년평가완료031229수정)" xfId="31445"/>
    <cellStyle name="통_사전회의(1208)_새벽시장8.26xls_최신-SQ인증업체현황1343사(03년평가완료031229수정)_용접업종 평가결과품의(040510)" xfId="31446"/>
    <cellStyle name="통_사전회의(1208)_새벽시장8.26xls_최신-SQ인증업체현황1343사(03년평가완료031229수정)_용접업종 평가결과품의(040510)(1)" xfId="31447"/>
    <cellStyle name="통_사전회의(1208)_새벽시장8.26xls_최신-SQ인증업체현황1343사(03년평가완료031229수정)_주단조용접업종 평가결과품의(040510)(1)" xfId="31448"/>
    <cellStyle name="통_사전회의(1208)_새벽시장9.16" xfId="31449"/>
    <cellStyle name="통_사전회의(1208)_새벽시장9.16_도금 열처리 주단조 평가품의(040329)" xfId="31450"/>
    <cellStyle name="통_사전회의(1208)_새벽시장9.16_도금 열처리 주단조 평가품의(040329)_도금 열처리 주단조 평가품의(040329)" xfId="31451"/>
    <cellStyle name="통_사전회의(1208)_새벽시장9.16_도금 열처리 주단조 평가품의(040329)업체" xfId="31452"/>
    <cellStyle name="통_사전회의(1208)_새벽시장9.16_열처리결과품의(031017)개발" xfId="31453"/>
    <cellStyle name="통_사전회의(1208)_새벽시장9.16_열처리결과품의(031017)개발_도금 열처리 주단조 평가품의(040329)" xfId="31454"/>
    <cellStyle name="통_사전회의(1208)_새벽시장9.16_용접업종 평가결과품의(040510)" xfId="31455"/>
    <cellStyle name="통_사전회의(1208)_새벽시장9.16_용접업종 평가결과품의(040510)_용접업종 평가결과품의(040510)" xfId="31456"/>
    <cellStyle name="통_사전회의(1208)_새벽시장9.16_용접업종 평가결과품의(040510)_용접업종 평가결과품의(040510)(1)" xfId="31457"/>
    <cellStyle name="통_사전회의(1208)_새벽시장9.16_용접업종 평가결과품의(040510)_주단조용접업종 평가결과품의(040510)(1)" xfId="31458"/>
    <cellStyle name="통_사전회의(1208)_새벽시장9.16_주단조 업종 평가결과품의(040407)" xfId="31459"/>
    <cellStyle name="통_사전회의(1208)_새벽시장9.16_주단조 업종 평가결과품의(040407)_용접업종 평가결과품의(040510)" xfId="31460"/>
    <cellStyle name="통_사전회의(1208)_새벽시장9.16_주단조 업종 평가결과품의(040407)_용접업종 평가결과품의(040510)(1)" xfId="31461"/>
    <cellStyle name="통_사전회의(1208)_새벽시장9.16_주단조 업종 평가결과품의(040407)_주단조용접업종 평가결과품의(040510)(1)" xfId="31462"/>
    <cellStyle name="통_사전회의(1208)_새벽시장9.16_주단조 업종 평가결과품의(040416)(1)" xfId="31463"/>
    <cellStyle name="통_사전회의(1208)_새벽시장9.16_주단조 업종 평가결과품의(040416)(1)_용접업종 평가결과품의(040510)" xfId="31464"/>
    <cellStyle name="통_사전회의(1208)_새벽시장9.16_주단조 업종 평가결과품의(040416)(1)_용접업종 평가결과품의(040510)(1)" xfId="31465"/>
    <cellStyle name="통_사전회의(1208)_새벽시장9.16_주단조 업종 평가결과품의(040416)(1)_주단조용접업종 평가결과품의(040510)(1)" xfId="31466"/>
    <cellStyle name="통_사전회의(1208)_새벽시장9.16_최신-SQ인증업체현황1343사(03년평가완료031229수정)" xfId="31467"/>
    <cellStyle name="통_사전회의(1208)_새벽시장9.16_최신-SQ인증업체현황1343사(03년평가완료031229수정)_용접업종 평가결과품의(040510)" xfId="31468"/>
    <cellStyle name="통_사전회의(1208)_새벽시장9.16_최신-SQ인증업체현황1343사(03년평가완료031229수정)_용접업종 평가결과품의(040510)(1)" xfId="31469"/>
    <cellStyle name="통_사전회의(1208)_새벽시장9.16_최신-SQ인증업체현황1343사(03년평가완료031229수정)_주단조용접업종 평가결과품의(040510)(1)" xfId="31470"/>
    <cellStyle name="통_사전회의(1208)_열처리결과품의(031017)개발" xfId="31471"/>
    <cellStyle name="통_사전회의(1208)_열처리결과품의(031017)개발_도금 열처리 주단조 평가품의(040329)" xfId="31472"/>
    <cellStyle name="통_사전회의(1208)_용접업종 평가결과품의(040510)" xfId="31473"/>
    <cellStyle name="통_사전회의(1208)_용접업종 평가결과품의(040510)_용접업종 평가결과품의(040510)" xfId="31474"/>
    <cellStyle name="통_사전회의(1208)_용접업종 평가결과품의(040510)_용접업종 평가결과품의(040510)(1)" xfId="31475"/>
    <cellStyle name="통_사전회의(1208)_용접업종 평가결과품의(040510)_주단조용접업종 평가결과품의(040510)(1)" xfId="31476"/>
    <cellStyle name="통_사전회의(1208)_주단조 업종 평가결과품의(040407)" xfId="31477"/>
    <cellStyle name="통_사전회의(1208)_주단조 업종 평가결과품의(040407)_용접업종 평가결과품의(040510)" xfId="31478"/>
    <cellStyle name="통_사전회의(1208)_주단조 업종 평가결과품의(040407)_용접업종 평가결과품의(040510)(1)" xfId="31479"/>
    <cellStyle name="통_사전회의(1208)_주단조 업종 평가결과품의(040407)_주단조용접업종 평가결과품의(040510)(1)" xfId="31480"/>
    <cellStyle name="통_사전회의(1208)_주단조 업종 평가결과품의(040416)(1)" xfId="31481"/>
    <cellStyle name="통_사전회의(1208)_주단조 업종 평가결과품의(040416)(1)_용접업종 평가결과품의(040510)" xfId="31482"/>
    <cellStyle name="통_사전회의(1208)_주단조 업종 평가결과품의(040416)(1)_용접업종 평가결과품의(040510)(1)" xfId="31483"/>
    <cellStyle name="통_사전회의(1208)_주단조 업종 평가결과품의(040416)(1)_주단조용접업종 평가결과품의(040510)(1)" xfId="31484"/>
    <cellStyle name="통_사전회의(1208)_최신-SQ인증업체현황1343사(03년평가완료031229수정)" xfId="31485"/>
    <cellStyle name="통_사전회의(1208)_최신-SQ인증업체현황1343사(03년평가완료031229수정)_용접업종 평가결과품의(040510)" xfId="31486"/>
    <cellStyle name="통_사전회의(1208)_최신-SQ인증업체현황1343사(03년평가완료031229수정)_용접업종 평가결과품의(040510)(1)" xfId="31487"/>
    <cellStyle name="통_사전회의(1208)_최신-SQ인증업체현황1343사(03년평가완료031229수정)_주단조용접업종 평가결과품의(040510)(1)" xfId="31488"/>
    <cellStyle name="통_새벽시장1" xfId="31489"/>
    <cellStyle name="통_새벽시장1_도금 열처리 주단조 평가품의(040329)" xfId="31490"/>
    <cellStyle name="통_새벽시장1_도금 열처리 주단조 평가품의(040329)_도금 열처리 주단조 평가품의(040329)" xfId="31491"/>
    <cellStyle name="통_새벽시장1_도금 열처리 주단조 평가품의(040329)업체" xfId="31492"/>
    <cellStyle name="통_새벽시장1_열처리결과품의(031017)개발" xfId="31493"/>
    <cellStyle name="통_새벽시장1_열처리결과품의(031017)개발_도금 열처리 주단조 평가품의(040329)" xfId="31494"/>
    <cellStyle name="통_새벽시장1_용접업종 평가결과품의(040510)" xfId="31495"/>
    <cellStyle name="통_새벽시장1_용접업종 평가결과품의(040510)_용접업종 평가결과품의(040510)" xfId="31496"/>
    <cellStyle name="통_새벽시장1_용접업종 평가결과품의(040510)_용접업종 평가결과품의(040510)(1)" xfId="31497"/>
    <cellStyle name="통_새벽시장1_용접업종 평가결과품의(040510)_주단조용접업종 평가결과품의(040510)(1)" xfId="31498"/>
    <cellStyle name="통_새벽시장1_주단조 업종 평가결과품의(040407)" xfId="31499"/>
    <cellStyle name="통_새벽시장1_주단조 업종 평가결과품의(040407)_용접업종 평가결과품의(040510)" xfId="31500"/>
    <cellStyle name="통_새벽시장1_주단조 업종 평가결과품의(040407)_용접업종 평가결과품의(040510)(1)" xfId="31501"/>
    <cellStyle name="통_새벽시장1_주단조 업종 평가결과품의(040407)_주단조용접업종 평가결과품의(040510)(1)" xfId="31502"/>
    <cellStyle name="통_새벽시장1_주단조 업종 평가결과품의(040416)(1)" xfId="31503"/>
    <cellStyle name="통_새벽시장1_주단조 업종 평가결과품의(040416)(1)_용접업종 평가결과품의(040510)" xfId="31504"/>
    <cellStyle name="통_새벽시장1_주단조 업종 평가결과품의(040416)(1)_용접업종 평가결과품의(040510)(1)" xfId="31505"/>
    <cellStyle name="통_새벽시장1_주단조 업종 평가결과품의(040416)(1)_주단조용접업종 평가결과품의(040510)(1)" xfId="31506"/>
    <cellStyle name="통_새벽시장1_최신-SQ인증업체현황1343사(03년평가완료031229수정)" xfId="31507"/>
    <cellStyle name="통_새벽시장1_최신-SQ인증업체현황1343사(03년평가완료031229수정)_용접업종 평가결과품의(040510)" xfId="31508"/>
    <cellStyle name="통_새벽시장1_최신-SQ인증업체현황1343사(03년평가완료031229수정)_용접업종 평가결과품의(040510)(1)" xfId="31509"/>
    <cellStyle name="통_새벽시장1_최신-SQ인증업체현황1343사(03년평가완료031229수정)_주단조용접업종 평가결과품의(040510)(1)" xfId="31510"/>
    <cellStyle name="통_새벽시장3" xfId="31511"/>
    <cellStyle name="통_새벽시장3_도금 열처리 주단조 평가품의(040329)" xfId="31512"/>
    <cellStyle name="통_새벽시장3_도금 열처리 주단조 평가품의(040329)_도금 열처리 주단조 평가품의(040329)" xfId="31513"/>
    <cellStyle name="통_새벽시장3_도금 열처리 주단조 평가품의(040329)업체" xfId="31514"/>
    <cellStyle name="통_새벽시장3_열처리결과품의(031017)개발" xfId="31515"/>
    <cellStyle name="통_새벽시장3_열처리결과품의(031017)개발_도금 열처리 주단조 평가품의(040329)" xfId="31516"/>
    <cellStyle name="통_새벽시장3_용접업종 평가결과품의(040510)" xfId="31517"/>
    <cellStyle name="통_새벽시장3_용접업종 평가결과품의(040510)_용접업종 평가결과품의(040510)" xfId="31518"/>
    <cellStyle name="통_새벽시장3_용접업종 평가결과품의(040510)_용접업종 평가결과품의(040510)(1)" xfId="31519"/>
    <cellStyle name="통_새벽시장3_용접업종 평가결과품의(040510)_주단조용접업종 평가결과품의(040510)(1)" xfId="31520"/>
    <cellStyle name="통_새벽시장3_주단조 업종 평가결과품의(040407)" xfId="31521"/>
    <cellStyle name="통_새벽시장3_주단조 업종 평가결과품의(040407)_용접업종 평가결과품의(040510)" xfId="31522"/>
    <cellStyle name="통_새벽시장3_주단조 업종 평가결과품의(040407)_용접업종 평가결과품의(040510)(1)" xfId="31523"/>
    <cellStyle name="통_새벽시장3_주단조 업종 평가결과품의(040407)_주단조용접업종 평가결과품의(040510)(1)" xfId="31524"/>
    <cellStyle name="통_새벽시장3_주단조 업종 평가결과품의(040416)(1)" xfId="31525"/>
    <cellStyle name="통_새벽시장3_주단조 업종 평가결과품의(040416)(1)_용접업종 평가결과품의(040510)" xfId="31526"/>
    <cellStyle name="통_새벽시장3_주단조 업종 평가결과품의(040416)(1)_용접업종 평가결과품의(040510)(1)" xfId="31527"/>
    <cellStyle name="통_새벽시장3_주단조 업종 평가결과품의(040416)(1)_주단조용접업종 평가결과품의(040510)(1)" xfId="31528"/>
    <cellStyle name="통_새벽시장3_최신-SQ인증업체현황1343사(03년평가완료031229수정)" xfId="31529"/>
    <cellStyle name="통_새벽시장3_최신-SQ인증업체현황1343사(03년평가완료031229수정)_용접업종 평가결과품의(040510)" xfId="31530"/>
    <cellStyle name="통_새벽시장3_최신-SQ인증업체현황1343사(03년평가완료031229수정)_용접업종 평가결과품의(040510)(1)" xfId="31531"/>
    <cellStyle name="통_새벽시장3_최신-SQ인증업체현황1343사(03년평가완료031229수정)_주단조용접업종 평가결과품의(040510)(1)" xfId="31532"/>
    <cellStyle name="통_새벽시장5" xfId="31533"/>
    <cellStyle name="통_새벽시장5_도금 열처리 주단조 평가품의(040329)" xfId="31534"/>
    <cellStyle name="통_새벽시장5_도금 열처리 주단조 평가품의(040329)_도금 열처리 주단조 평가품의(040329)" xfId="31535"/>
    <cellStyle name="통_새벽시장5_도금 열처리 주단조 평가품의(040329)업체" xfId="31536"/>
    <cellStyle name="통_새벽시장5_열처리결과품의(031017)개발" xfId="31537"/>
    <cellStyle name="통_새벽시장5_열처리결과품의(031017)개발_도금 열처리 주단조 평가품의(040329)" xfId="31538"/>
    <cellStyle name="통_새벽시장5_용접업종 평가결과품의(040510)" xfId="31539"/>
    <cellStyle name="통_새벽시장5_용접업종 평가결과품의(040510)_용접업종 평가결과품의(040510)" xfId="31540"/>
    <cellStyle name="통_새벽시장5_용접업종 평가결과품의(040510)_용접업종 평가결과품의(040510)(1)" xfId="31541"/>
    <cellStyle name="통_새벽시장5_용접업종 평가결과품의(040510)_주단조용접업종 평가결과품의(040510)(1)" xfId="31542"/>
    <cellStyle name="통_새벽시장5_주단조 업종 평가결과품의(040407)" xfId="31543"/>
    <cellStyle name="통_새벽시장5_주단조 업종 평가결과품의(040407)_용접업종 평가결과품의(040510)" xfId="31544"/>
    <cellStyle name="통_새벽시장5_주단조 업종 평가결과품의(040407)_용접업종 평가결과품의(040510)(1)" xfId="31545"/>
    <cellStyle name="통_새벽시장5_주단조 업종 평가결과품의(040407)_주단조용접업종 평가결과품의(040510)(1)" xfId="31546"/>
    <cellStyle name="통_새벽시장5_주단조 업종 평가결과품의(040416)(1)" xfId="31547"/>
    <cellStyle name="통_새벽시장5_주단조 업종 평가결과품의(040416)(1)_용접업종 평가결과품의(040510)" xfId="31548"/>
    <cellStyle name="통_새벽시장5_주단조 업종 평가결과품의(040416)(1)_용접업종 평가결과품의(040510)(1)" xfId="31549"/>
    <cellStyle name="통_새벽시장5_주단조 업종 평가결과품의(040416)(1)_주단조용접업종 평가결과품의(040510)(1)" xfId="31550"/>
    <cellStyle name="통_새벽시장5_최신-SQ인증업체현황1343사(03년평가완료031229수정)" xfId="31551"/>
    <cellStyle name="통_새벽시장5_최신-SQ인증업체현황1343사(03년평가완료031229수정)_용접업종 평가결과품의(040510)" xfId="31552"/>
    <cellStyle name="통_새벽시장5_최신-SQ인증업체현황1343사(03년평가완료031229수정)_용접업종 평가결과품의(040510)(1)" xfId="31553"/>
    <cellStyle name="통_새벽시장5_최신-SQ인증업체현황1343사(03년평가완료031229수정)_주단조용접업종 평가결과품의(040510)(1)" xfId="31554"/>
    <cellStyle name="통_새벽시장7" xfId="31555"/>
    <cellStyle name="통_새벽시장7_도금 열처리 주단조 평가품의(040329)" xfId="31556"/>
    <cellStyle name="통_새벽시장7_도금 열처리 주단조 평가품의(040329)_도금 열처리 주단조 평가품의(040329)" xfId="31557"/>
    <cellStyle name="통_새벽시장7_도금 열처리 주단조 평가품의(040329)업체" xfId="31558"/>
    <cellStyle name="통_새벽시장7_열처리결과품의(031017)개발" xfId="31559"/>
    <cellStyle name="통_새벽시장7_열처리결과품의(031017)개발_도금 열처리 주단조 평가품의(040329)" xfId="31560"/>
    <cellStyle name="통_새벽시장7_용접업종 평가결과품의(040510)" xfId="31561"/>
    <cellStyle name="통_새벽시장7_용접업종 평가결과품의(040510)_용접업종 평가결과품의(040510)" xfId="31562"/>
    <cellStyle name="통_새벽시장7_용접업종 평가결과품의(040510)_용접업종 평가결과품의(040510)(1)" xfId="31563"/>
    <cellStyle name="통_새벽시장7_용접업종 평가결과품의(040510)_주단조용접업종 평가결과품의(040510)(1)" xfId="31564"/>
    <cellStyle name="통_새벽시장7_주단조 업종 평가결과품의(040407)" xfId="31565"/>
    <cellStyle name="통_새벽시장7_주단조 업종 평가결과품의(040407)_용접업종 평가결과품의(040510)" xfId="31566"/>
    <cellStyle name="통_새벽시장7_주단조 업종 평가결과품의(040407)_용접업종 평가결과품의(040510)(1)" xfId="31567"/>
    <cellStyle name="통_새벽시장7_주단조 업종 평가결과품의(040407)_주단조용접업종 평가결과품의(040510)(1)" xfId="31568"/>
    <cellStyle name="통_새벽시장7_주단조 업종 평가결과품의(040416)(1)" xfId="31569"/>
    <cellStyle name="통_새벽시장7_주단조 업종 평가결과품의(040416)(1)_용접업종 평가결과품의(040510)" xfId="31570"/>
    <cellStyle name="통_새벽시장7_주단조 업종 평가결과품의(040416)(1)_용접업종 평가결과품의(040510)(1)" xfId="31571"/>
    <cellStyle name="통_새벽시장7_주단조 업종 평가결과품의(040416)(1)_주단조용접업종 평가결과품의(040510)(1)" xfId="31572"/>
    <cellStyle name="통_새벽시장7_최신-SQ인증업체현황1343사(03년평가완료031229수정)" xfId="31573"/>
    <cellStyle name="통_새벽시장7_최신-SQ인증업체현황1343사(03년평가완료031229수정)_용접업종 평가결과품의(040510)" xfId="31574"/>
    <cellStyle name="통_새벽시장7_최신-SQ인증업체현황1343사(03년평가완료031229수정)_용접업종 평가결과품의(040510)(1)" xfId="31575"/>
    <cellStyle name="통_새벽시장7_최신-SQ인증업체현황1343사(03년평가완료031229수정)_주단조용접업종 평가결과품의(040510)(1)" xfId="31576"/>
    <cellStyle name="통_새벽시장8.10xls" xfId="31577"/>
    <cellStyle name="통_새벽시장8.10xls_도금 열처리 주단조 평가품의(040329)" xfId="31578"/>
    <cellStyle name="통_새벽시장8.10xls_도금 열처리 주단조 평가품의(040329)_도금 열처리 주단조 평가품의(040329)" xfId="31579"/>
    <cellStyle name="통_새벽시장8.10xls_도금 열처리 주단조 평가품의(040329)업체" xfId="31580"/>
    <cellStyle name="통_새벽시장8.10xls_열처리결과품의(031017)개발" xfId="31581"/>
    <cellStyle name="통_새벽시장8.10xls_열처리결과품의(031017)개발_도금 열처리 주단조 평가품의(040329)" xfId="31582"/>
    <cellStyle name="통_새벽시장8.10xls_용접업종 평가결과품의(040510)" xfId="31583"/>
    <cellStyle name="통_새벽시장8.10xls_용접업종 평가결과품의(040510)_용접업종 평가결과품의(040510)" xfId="31584"/>
    <cellStyle name="통_새벽시장8.10xls_용접업종 평가결과품의(040510)_용접업종 평가결과품의(040510)(1)" xfId="31585"/>
    <cellStyle name="통_새벽시장8.10xls_용접업종 평가결과품의(040510)_주단조용접업종 평가결과품의(040510)(1)" xfId="31586"/>
    <cellStyle name="통_새벽시장8.10xls_주단조 업종 평가결과품의(040407)" xfId="31587"/>
    <cellStyle name="통_새벽시장8.10xls_주단조 업종 평가결과품의(040407)_용접업종 평가결과품의(040510)" xfId="31588"/>
    <cellStyle name="통_새벽시장8.10xls_주단조 업종 평가결과품의(040407)_용접업종 평가결과품의(040510)(1)" xfId="31589"/>
    <cellStyle name="통_새벽시장8.10xls_주단조 업종 평가결과품의(040407)_주단조용접업종 평가결과품의(040510)(1)" xfId="31590"/>
    <cellStyle name="통_새벽시장8.10xls_주단조 업종 평가결과품의(040416)(1)" xfId="31591"/>
    <cellStyle name="통_새벽시장8.10xls_주단조 업종 평가결과품의(040416)(1)_용접업종 평가결과품의(040510)" xfId="31592"/>
    <cellStyle name="통_새벽시장8.10xls_주단조 업종 평가결과품의(040416)(1)_용접업종 평가결과품의(040510)(1)" xfId="31593"/>
    <cellStyle name="통_새벽시장8.10xls_주단조 업종 평가결과품의(040416)(1)_주단조용접업종 평가결과품의(040510)(1)" xfId="31594"/>
    <cellStyle name="통_새벽시장8.10xls_최신-SQ인증업체현황1343사(03년평가완료031229수정)" xfId="31595"/>
    <cellStyle name="통_새벽시장8.10xls_최신-SQ인증업체현황1343사(03년평가완료031229수정)_용접업종 평가결과품의(040510)" xfId="31596"/>
    <cellStyle name="통_새벽시장8.10xls_최신-SQ인증업체현황1343사(03년평가완료031229수정)_용접업종 평가결과품의(040510)(1)" xfId="31597"/>
    <cellStyle name="통_새벽시장8.10xls_최신-SQ인증업체현황1343사(03년평가완료031229수정)_주단조용접업종 평가결과품의(040510)(1)" xfId="31598"/>
    <cellStyle name="통_새벽시장8.26xls" xfId="31599"/>
    <cellStyle name="통_새벽시장8.26xls_도금 열처리 주단조 평가품의(040329)" xfId="31600"/>
    <cellStyle name="통_새벽시장8.26xls_도금 열처리 주단조 평가품의(040329)_도금 열처리 주단조 평가품의(040329)" xfId="31601"/>
    <cellStyle name="통_새벽시장8.26xls_도금 열처리 주단조 평가품의(040329)업체" xfId="31602"/>
    <cellStyle name="통_새벽시장8.26xls_열처리결과품의(031017)개발" xfId="31603"/>
    <cellStyle name="통_새벽시장8.26xls_열처리결과품의(031017)개발_도금 열처리 주단조 평가품의(040329)" xfId="31604"/>
    <cellStyle name="통_새벽시장8.26xls_용접업종 평가결과품의(040510)" xfId="31605"/>
    <cellStyle name="통_새벽시장8.26xls_용접업종 평가결과품의(040510)_용접업종 평가결과품의(040510)" xfId="31606"/>
    <cellStyle name="통_새벽시장8.26xls_용접업종 평가결과품의(040510)_용접업종 평가결과품의(040510)(1)" xfId="31607"/>
    <cellStyle name="통_새벽시장8.26xls_용접업종 평가결과품의(040510)_주단조용접업종 평가결과품의(040510)(1)" xfId="31608"/>
    <cellStyle name="통_새벽시장8.26xls_주단조 업종 평가결과품의(040407)" xfId="31609"/>
    <cellStyle name="통_새벽시장8.26xls_주단조 업종 평가결과품의(040407)_용접업종 평가결과품의(040510)" xfId="31610"/>
    <cellStyle name="통_새벽시장8.26xls_주단조 업종 평가결과품의(040407)_용접업종 평가결과품의(040510)(1)" xfId="31611"/>
    <cellStyle name="통_새벽시장8.26xls_주단조 업종 평가결과품의(040407)_주단조용접업종 평가결과품의(040510)(1)" xfId="31612"/>
    <cellStyle name="통_새벽시장8.26xls_주단조 업종 평가결과품의(040416)(1)" xfId="31613"/>
    <cellStyle name="통_새벽시장8.26xls_주단조 업종 평가결과품의(040416)(1)_용접업종 평가결과품의(040510)" xfId="31614"/>
    <cellStyle name="통_새벽시장8.26xls_주단조 업종 평가결과품의(040416)(1)_용접업종 평가결과품의(040510)(1)" xfId="31615"/>
    <cellStyle name="통_새벽시장8.26xls_주단조 업종 평가결과품의(040416)(1)_주단조용접업종 평가결과품의(040510)(1)" xfId="31616"/>
    <cellStyle name="통_새벽시장8.26xls_최신-SQ인증업체현황1343사(03년평가완료031229수정)" xfId="31617"/>
    <cellStyle name="통_새벽시장8.26xls_최신-SQ인증업체현황1343사(03년평가완료031229수정)_용접업종 평가결과품의(040510)" xfId="31618"/>
    <cellStyle name="통_새벽시장8.26xls_최신-SQ인증업체현황1343사(03년평가완료031229수정)_용접업종 평가결과품의(040510)(1)" xfId="31619"/>
    <cellStyle name="통_새벽시장8.26xls_최신-SQ인증업체현황1343사(03년평가완료031229수정)_주단조용접업종 평가결과품의(040510)(1)" xfId="31620"/>
    <cellStyle name="통_새벽시장9.16" xfId="31621"/>
    <cellStyle name="통_새벽시장9.16_도금 열처리 주단조 평가품의(040329)" xfId="31622"/>
    <cellStyle name="통_새벽시장9.16_도금 열처리 주단조 평가품의(040329)_도금 열처리 주단조 평가품의(040329)" xfId="31623"/>
    <cellStyle name="통_새벽시장9.16_도금 열처리 주단조 평가품의(040329)업체" xfId="31624"/>
    <cellStyle name="통_새벽시장9.16_열처리결과품의(031017)개발" xfId="31625"/>
    <cellStyle name="통_새벽시장9.16_열처리결과품의(031017)개발_도금 열처리 주단조 평가품의(040329)" xfId="31626"/>
    <cellStyle name="통_새벽시장9.16_용접업종 평가결과품의(040510)" xfId="31627"/>
    <cellStyle name="통_새벽시장9.16_용접업종 평가결과품의(040510)_용접업종 평가결과품의(040510)" xfId="31628"/>
    <cellStyle name="통_새벽시장9.16_용접업종 평가결과품의(040510)_용접업종 평가결과품의(040510)(1)" xfId="31629"/>
    <cellStyle name="통_새벽시장9.16_용접업종 평가결과품의(040510)_주단조용접업종 평가결과품의(040510)(1)" xfId="31630"/>
    <cellStyle name="통_새벽시장9.16_주단조 업종 평가결과품의(040407)" xfId="31631"/>
    <cellStyle name="통_새벽시장9.16_주단조 업종 평가결과품의(040407)_용접업종 평가결과품의(040510)" xfId="31632"/>
    <cellStyle name="통_새벽시장9.16_주단조 업종 평가결과품의(040407)_용접업종 평가결과품의(040510)(1)" xfId="31633"/>
    <cellStyle name="통_새벽시장9.16_주단조 업종 평가결과품의(040407)_주단조용접업종 평가결과품의(040510)(1)" xfId="31634"/>
    <cellStyle name="통_새벽시장9.16_주단조 업종 평가결과품의(040416)(1)" xfId="31635"/>
    <cellStyle name="통_새벽시장9.16_주단조 업종 평가결과품의(040416)(1)_용접업종 평가결과품의(040510)" xfId="31636"/>
    <cellStyle name="통_새벽시장9.16_주단조 업종 평가결과품의(040416)(1)_용접업종 평가결과품의(040510)(1)" xfId="31637"/>
    <cellStyle name="통_새벽시장9.16_주단조 업종 평가결과품의(040416)(1)_주단조용접업종 평가결과품의(040510)(1)" xfId="31638"/>
    <cellStyle name="통_새벽시장9.16_최신-SQ인증업체현황1343사(03년평가완료031229수정)" xfId="31639"/>
    <cellStyle name="통_새벽시장9.16_최신-SQ인증업체현황1343사(03년평가완료031229수정)_용접업종 평가결과품의(040510)" xfId="31640"/>
    <cellStyle name="통_새벽시장9.16_최신-SQ인증업체현황1343사(03년평가완료031229수정)_용접업종 평가결과품의(040510)(1)" xfId="31641"/>
    <cellStyle name="통_새벽시장9.16_최신-SQ인증업체현황1343사(03년평가완료031229수정)_주단조용접업종 평가결과품의(040510)(1)" xfId="31642"/>
    <cellStyle name="통_열처리결과품의(031017)개발" xfId="31643"/>
    <cellStyle name="통_열처리결과품의(031017)개발_도금 열처리 주단조 평가품의(040329)" xfId="31644"/>
    <cellStyle name="통_용접업종 평가결과품의(040510)" xfId="31645"/>
    <cellStyle name="통_용접업종 평가결과품의(040510)_용접업종 평가결과품의(040510)" xfId="31646"/>
    <cellStyle name="통_용접업종 평가결과품의(040510)_용접업종 평가결과품의(040510)(1)" xfId="31647"/>
    <cellStyle name="통_용접업종 평가결과품의(040510)_주단조용접업종 평가결과품의(040510)(1)" xfId="31648"/>
    <cellStyle name="통_주단조 업종 평가결과품의(040407)" xfId="31649"/>
    <cellStyle name="통_주단조 업종 평가결과품의(040407)_용접업종 평가결과품의(040510)" xfId="31650"/>
    <cellStyle name="통_주단조 업종 평가결과품의(040407)_용접업종 평가결과품의(040510)(1)" xfId="31651"/>
    <cellStyle name="통_주단조 업종 평가결과품의(040407)_주단조용접업종 평가결과품의(040510)(1)" xfId="31652"/>
    <cellStyle name="통_주단조 업종 평가결과품의(040416)(1)" xfId="31653"/>
    <cellStyle name="통_주단조 업종 평가결과품의(040416)(1)_용접업종 평가결과품의(040510)" xfId="31654"/>
    <cellStyle name="통_주단조 업종 평가결과품의(040416)(1)_용접업종 평가결과품의(040510)(1)" xfId="31655"/>
    <cellStyle name="통_주단조 업종 평가결과품의(040416)(1)_주단조용접업종 평가결과품의(040510)(1)" xfId="31656"/>
    <cellStyle name="통_최신-SQ인증업체현황1343사(03년평가완료031229수정)" xfId="31657"/>
    <cellStyle name="통_최신-SQ인증업체현황1343사(03년평가완료031229수정)_용접업종 평가결과품의(040510)" xfId="31658"/>
    <cellStyle name="통_최신-SQ인증업체현황1343사(03년평가완료031229수정)_용접업종 평가결과품의(040510)(1)" xfId="31659"/>
    <cellStyle name="통_최신-SQ인증업체현황1343사(03년평가완료031229수정)_주단조용접업종 평가결과품의(040510)(1)" xfId="31660"/>
    <cellStyle name="통_출장계획서" xfId="31661"/>
    <cellStyle name="통_출장계획서_ROTATION 유동" xfId="31662"/>
    <cellStyle name="통_출장계획서_ROTATION 유동_도금 열처리 주단조 평가품의(040329)" xfId="31663"/>
    <cellStyle name="통_출장계획서_ROTATION 유동_도금 열처리 주단조 평가품의(040329)_도금 열처리 주단조 평가품의(040329)" xfId="31664"/>
    <cellStyle name="통_출장계획서_ROTATION 유동_도금 열처리 주단조 평가품의(040329)업체" xfId="31665"/>
    <cellStyle name="통_출장계획서_ROTATION 유동_열처리결과품의(031017)개발" xfId="31666"/>
    <cellStyle name="통_출장계획서_ROTATION 유동_열처리결과품의(031017)개발_도금 열처리 주단조 평가품의(040329)" xfId="31667"/>
    <cellStyle name="통_출장계획서_ROTATION 유동_용접업종 평가결과품의(040510)" xfId="31668"/>
    <cellStyle name="통_출장계획서_ROTATION 유동_용접업종 평가결과품의(040510)_용접업종 평가결과품의(040510)" xfId="31669"/>
    <cellStyle name="통_출장계획서_ROTATION 유동_용접업종 평가결과품의(040510)_용접업종 평가결과품의(040510)(1)" xfId="31670"/>
    <cellStyle name="통_출장계획서_ROTATION 유동_용접업종 평가결과품의(040510)_주단조용접업종 평가결과품의(040510)(1)" xfId="31671"/>
    <cellStyle name="통_출장계획서_ROTATION 유동_주단조 업종 평가결과품의(040407)" xfId="31672"/>
    <cellStyle name="통_출장계획서_ROTATION 유동_주단조 업종 평가결과품의(040407)_용접업종 평가결과품의(040510)" xfId="31673"/>
    <cellStyle name="통_출장계획서_ROTATION 유동_주단조 업종 평가결과품의(040407)_용접업종 평가결과품의(040510)(1)" xfId="31674"/>
    <cellStyle name="통_출장계획서_ROTATION 유동_주단조 업종 평가결과품의(040407)_주단조용접업종 평가결과품의(040510)(1)" xfId="31675"/>
    <cellStyle name="통_출장계획서_ROTATION 유동_주단조 업종 평가결과품의(040416)(1)" xfId="31676"/>
    <cellStyle name="통_출장계획서_ROTATION 유동_주단조 업종 평가결과품의(040416)(1)_용접업종 평가결과품의(040510)" xfId="31677"/>
    <cellStyle name="통_출장계획서_ROTATION 유동_주단조 업종 평가결과품의(040416)(1)_용접업종 평가결과품의(040510)(1)" xfId="31678"/>
    <cellStyle name="통_출장계획서_ROTATION 유동_주단조 업종 평가결과품의(040416)(1)_주단조용접업종 평가결과품의(040510)(1)" xfId="31679"/>
    <cellStyle name="통_출장계획서_ROTATION 유동_최신-SQ인증업체현황1343사(03년평가완료031229수정)" xfId="31680"/>
    <cellStyle name="통_출장계획서_ROTATION 유동_최신-SQ인증업체현황1343사(03년평가완료031229수정)_용접업종 평가결과품의(040510)" xfId="31681"/>
    <cellStyle name="통_출장계획서_ROTATION 유동_최신-SQ인증업체현황1343사(03년평가완료031229수정)_용접업종 평가결과품의(040510)(1)" xfId="31682"/>
    <cellStyle name="통_출장계획서_ROTATION 유동_최신-SQ인증업체현황1343사(03년평가완료031229수정)_주단조용접업종 평가결과품의(040510)(1)" xfId="31683"/>
    <cellStyle name="통_출장계획서_SLIDE 폭" xfId="31684"/>
    <cellStyle name="통_출장계획서_SLIDE 폭_도금 열처리 주단조 평가품의(040329)" xfId="31685"/>
    <cellStyle name="통_출장계획서_SLIDE 폭_도금 열처리 주단조 평가품의(040329)_도금 열처리 주단조 평가품의(040329)" xfId="31686"/>
    <cellStyle name="통_출장계획서_SLIDE 폭_도금 열처리 주단조 평가품의(040329)업체" xfId="31687"/>
    <cellStyle name="통_출장계획서_SLIDE 폭_열처리결과품의(031017)개발" xfId="31688"/>
    <cellStyle name="통_출장계획서_SLIDE 폭_열처리결과품의(031017)개발_도금 열처리 주단조 평가품의(040329)" xfId="31689"/>
    <cellStyle name="통_출장계획서_SLIDE 폭_용접업종 평가결과품의(040510)" xfId="31690"/>
    <cellStyle name="통_출장계획서_SLIDE 폭_용접업종 평가결과품의(040510)_용접업종 평가결과품의(040510)" xfId="31691"/>
    <cellStyle name="통_출장계획서_SLIDE 폭_용접업종 평가결과품의(040510)_용접업종 평가결과품의(040510)(1)" xfId="31692"/>
    <cellStyle name="통_출장계획서_SLIDE 폭_용접업종 평가결과품의(040510)_주단조용접업종 평가결과품의(040510)(1)" xfId="31693"/>
    <cellStyle name="통_출장계획서_SLIDE 폭_주단조 업종 평가결과품의(040407)" xfId="31694"/>
    <cellStyle name="통_출장계획서_SLIDE 폭_주단조 업종 평가결과품의(040407)_용접업종 평가결과품의(040510)" xfId="31695"/>
    <cellStyle name="통_출장계획서_SLIDE 폭_주단조 업종 평가결과품의(040407)_용접업종 평가결과품의(040510)(1)" xfId="31696"/>
    <cellStyle name="통_출장계획서_SLIDE 폭_주단조 업종 평가결과품의(040407)_주단조용접업종 평가결과품의(040510)(1)" xfId="31697"/>
    <cellStyle name="통_출장계획서_SLIDE 폭_주단조 업종 평가결과품의(040416)(1)" xfId="31698"/>
    <cellStyle name="통_출장계획서_SLIDE 폭_주단조 업종 평가결과품의(040416)(1)_용접업종 평가결과품의(040510)" xfId="31699"/>
    <cellStyle name="통_출장계획서_SLIDE 폭_주단조 업종 평가결과품의(040416)(1)_용접업종 평가결과품의(040510)(1)" xfId="31700"/>
    <cellStyle name="통_출장계획서_SLIDE 폭_주단조 업종 평가결과품의(040416)(1)_주단조용접업종 평가결과품의(040510)(1)" xfId="31701"/>
    <cellStyle name="통_출장계획서_SLIDE 폭_최신-SQ인증업체현황1343사(03년평가완료031229수정)" xfId="31702"/>
    <cellStyle name="통_출장계획서_SLIDE 폭_최신-SQ인증업체현황1343사(03년평가완료031229수정)_용접업종 평가결과품의(040510)" xfId="31703"/>
    <cellStyle name="통_출장계획서_SLIDE 폭_최신-SQ인증업체현황1343사(03년평가완료031229수정)_용접업종 평가결과품의(040510)(1)" xfId="31704"/>
    <cellStyle name="통_출장계획서_SLIDE 폭_최신-SQ인증업체현황1343사(03년평가완료031229수정)_주단조용접업종 평가결과품의(040510)(1)" xfId="31705"/>
    <cellStyle name="통_출장계획서_도금 열처리 주단조 평가품의(040329)" xfId="31706"/>
    <cellStyle name="통_출장계획서_도금 열처리 주단조 평가품의(040329)_도금 열처리 주단조 평가품의(040329)" xfId="31707"/>
    <cellStyle name="통_출장계획서_도금 열처리 주단조 평가품의(040329)업체" xfId="31708"/>
    <cellStyle name="통_출장계획서_새벽시장1" xfId="31709"/>
    <cellStyle name="통_출장계획서_새벽시장1_도금 열처리 주단조 평가품의(040329)" xfId="31710"/>
    <cellStyle name="통_출장계획서_새벽시장1_도금 열처리 주단조 평가품의(040329)_도금 열처리 주단조 평가품의(040329)" xfId="31711"/>
    <cellStyle name="통_출장계획서_새벽시장1_도금 열처리 주단조 평가품의(040329)업체" xfId="31712"/>
    <cellStyle name="통_출장계획서_새벽시장1_열처리결과품의(031017)개발" xfId="31713"/>
    <cellStyle name="통_출장계획서_새벽시장1_열처리결과품의(031017)개발_도금 열처리 주단조 평가품의(040329)" xfId="31714"/>
    <cellStyle name="통_출장계획서_새벽시장1_용접업종 평가결과품의(040510)" xfId="31715"/>
    <cellStyle name="통_출장계획서_새벽시장1_용접업종 평가결과품의(040510)_용접업종 평가결과품의(040510)" xfId="31716"/>
    <cellStyle name="통_출장계획서_새벽시장1_용접업종 평가결과품의(040510)_용접업종 평가결과품의(040510)(1)" xfId="31717"/>
    <cellStyle name="통_출장계획서_새벽시장1_용접업종 평가결과품의(040510)_주단조용접업종 평가결과품의(040510)(1)" xfId="31718"/>
    <cellStyle name="통_출장계획서_새벽시장1_주단조 업종 평가결과품의(040407)" xfId="31719"/>
    <cellStyle name="통_출장계획서_새벽시장1_주단조 업종 평가결과품의(040407)_용접업종 평가결과품의(040510)" xfId="31720"/>
    <cellStyle name="통_출장계획서_새벽시장1_주단조 업종 평가결과품의(040407)_용접업종 평가결과품의(040510)(1)" xfId="31721"/>
    <cellStyle name="통_출장계획서_새벽시장1_주단조 업종 평가결과품의(040407)_주단조용접업종 평가결과품의(040510)(1)" xfId="31722"/>
    <cellStyle name="통_출장계획서_새벽시장1_주단조 업종 평가결과품의(040416)(1)" xfId="31723"/>
    <cellStyle name="통_출장계획서_새벽시장1_주단조 업종 평가결과품의(040416)(1)_용접업종 평가결과품의(040510)" xfId="31724"/>
    <cellStyle name="통_출장계획서_새벽시장1_주단조 업종 평가결과품의(040416)(1)_용접업종 평가결과품의(040510)(1)" xfId="31725"/>
    <cellStyle name="통_출장계획서_새벽시장1_주단조 업종 평가결과품의(040416)(1)_주단조용접업종 평가결과품의(040510)(1)" xfId="31726"/>
    <cellStyle name="통_출장계획서_새벽시장1_최신-SQ인증업체현황1343사(03년평가완료031229수정)" xfId="31727"/>
    <cellStyle name="통_출장계획서_새벽시장1_최신-SQ인증업체현황1343사(03년평가완료031229수정)_용접업종 평가결과품의(040510)" xfId="31728"/>
    <cellStyle name="통_출장계획서_새벽시장1_최신-SQ인증업체현황1343사(03년평가완료031229수정)_용접업종 평가결과품의(040510)(1)" xfId="31729"/>
    <cellStyle name="통_출장계획서_새벽시장1_최신-SQ인증업체현황1343사(03년평가완료031229수정)_주단조용접업종 평가결과품의(040510)(1)" xfId="31730"/>
    <cellStyle name="통_출장계획서_새벽시장3" xfId="31731"/>
    <cellStyle name="통_출장계획서_새벽시장3_도금 열처리 주단조 평가품의(040329)" xfId="31732"/>
    <cellStyle name="통_출장계획서_새벽시장3_도금 열처리 주단조 평가품의(040329)_도금 열처리 주단조 평가품의(040329)" xfId="31733"/>
    <cellStyle name="통_출장계획서_새벽시장3_도금 열처리 주단조 평가품의(040329)업체" xfId="31734"/>
    <cellStyle name="통_출장계획서_새벽시장3_열처리결과품의(031017)개발" xfId="31735"/>
    <cellStyle name="통_출장계획서_새벽시장3_열처리결과품의(031017)개발_도금 열처리 주단조 평가품의(040329)" xfId="31736"/>
    <cellStyle name="통_출장계획서_새벽시장3_용접업종 평가결과품의(040510)" xfId="31737"/>
    <cellStyle name="통_출장계획서_새벽시장3_용접업종 평가결과품의(040510)_용접업종 평가결과품의(040510)" xfId="31738"/>
    <cellStyle name="통_출장계획서_새벽시장3_용접업종 평가결과품의(040510)_용접업종 평가결과품의(040510)(1)" xfId="31739"/>
    <cellStyle name="통_출장계획서_새벽시장3_용접업종 평가결과품의(040510)_주단조용접업종 평가결과품의(040510)(1)" xfId="31740"/>
    <cellStyle name="통_출장계획서_새벽시장3_주단조 업종 평가결과품의(040407)" xfId="31741"/>
    <cellStyle name="통_출장계획서_새벽시장3_주단조 업종 평가결과품의(040407)_용접업종 평가결과품의(040510)" xfId="31742"/>
    <cellStyle name="통_출장계획서_새벽시장3_주단조 업종 평가결과품의(040407)_용접업종 평가결과품의(040510)(1)" xfId="31743"/>
    <cellStyle name="통_출장계획서_새벽시장3_주단조 업종 평가결과품의(040407)_주단조용접업종 평가결과품의(040510)(1)" xfId="31744"/>
    <cellStyle name="통_출장계획서_새벽시장3_주단조 업종 평가결과품의(040416)(1)" xfId="31745"/>
    <cellStyle name="통_출장계획서_새벽시장3_주단조 업종 평가결과품의(040416)(1)_용접업종 평가결과품의(040510)" xfId="31746"/>
    <cellStyle name="통_출장계획서_새벽시장3_주단조 업종 평가결과품의(040416)(1)_용접업종 평가결과품의(040510)(1)" xfId="31747"/>
    <cellStyle name="통_출장계획서_새벽시장3_주단조 업종 평가결과품의(040416)(1)_주단조용접업종 평가결과품의(040510)(1)" xfId="31748"/>
    <cellStyle name="통_출장계획서_새벽시장3_최신-SQ인증업체현황1343사(03년평가완료031229수정)" xfId="31749"/>
    <cellStyle name="통_출장계획서_새벽시장3_최신-SQ인증업체현황1343사(03년평가완료031229수정)_용접업종 평가결과품의(040510)" xfId="31750"/>
    <cellStyle name="통_출장계획서_새벽시장3_최신-SQ인증업체현황1343사(03년평가완료031229수정)_용접업종 평가결과품의(040510)(1)" xfId="31751"/>
    <cellStyle name="통_출장계획서_새벽시장3_최신-SQ인증업체현황1343사(03년평가완료031229수정)_주단조용접업종 평가결과품의(040510)(1)" xfId="31752"/>
    <cellStyle name="통_출장계획서_새벽시장5" xfId="31753"/>
    <cellStyle name="통_출장계획서_새벽시장5_도금 열처리 주단조 평가품의(040329)" xfId="31754"/>
    <cellStyle name="통_출장계획서_새벽시장5_도금 열처리 주단조 평가품의(040329)_도금 열처리 주단조 평가품의(040329)" xfId="31755"/>
    <cellStyle name="통_출장계획서_새벽시장5_도금 열처리 주단조 평가품의(040329)업체" xfId="31756"/>
    <cellStyle name="통_출장계획서_새벽시장5_열처리결과품의(031017)개발" xfId="31757"/>
    <cellStyle name="통_출장계획서_새벽시장5_열처리결과품의(031017)개발_도금 열처리 주단조 평가품의(040329)" xfId="31758"/>
    <cellStyle name="통_출장계획서_새벽시장5_용접업종 평가결과품의(040510)" xfId="31759"/>
    <cellStyle name="통_출장계획서_새벽시장5_용접업종 평가결과품의(040510)_용접업종 평가결과품의(040510)" xfId="31760"/>
    <cellStyle name="통_출장계획서_새벽시장5_용접업종 평가결과품의(040510)_용접업종 평가결과품의(040510)(1)" xfId="31761"/>
    <cellStyle name="통_출장계획서_새벽시장5_용접업종 평가결과품의(040510)_주단조용접업종 평가결과품의(040510)(1)" xfId="31762"/>
    <cellStyle name="통_출장계획서_새벽시장5_주단조 업종 평가결과품의(040407)" xfId="31763"/>
    <cellStyle name="통_출장계획서_새벽시장5_주단조 업종 평가결과품의(040407)_용접업종 평가결과품의(040510)" xfId="31764"/>
    <cellStyle name="통_출장계획서_새벽시장5_주단조 업종 평가결과품의(040407)_용접업종 평가결과품의(040510)(1)" xfId="31765"/>
    <cellStyle name="통_출장계획서_새벽시장5_주단조 업종 평가결과품의(040407)_주단조용접업종 평가결과품의(040510)(1)" xfId="31766"/>
    <cellStyle name="통_출장계획서_새벽시장5_주단조 업종 평가결과품의(040416)(1)" xfId="31767"/>
    <cellStyle name="통_출장계획서_새벽시장5_주단조 업종 평가결과품의(040416)(1)_용접업종 평가결과품의(040510)" xfId="31768"/>
    <cellStyle name="통_출장계획서_새벽시장5_주단조 업종 평가결과품의(040416)(1)_용접업종 평가결과품의(040510)(1)" xfId="31769"/>
    <cellStyle name="통_출장계획서_새벽시장5_주단조 업종 평가결과품의(040416)(1)_주단조용접업종 평가결과품의(040510)(1)" xfId="31770"/>
    <cellStyle name="통_출장계획서_새벽시장5_최신-SQ인증업체현황1343사(03년평가완료031229수정)" xfId="31771"/>
    <cellStyle name="통_출장계획서_새벽시장5_최신-SQ인증업체현황1343사(03년평가완료031229수정)_용접업종 평가결과품의(040510)" xfId="31772"/>
    <cellStyle name="통_출장계획서_새벽시장5_최신-SQ인증업체현황1343사(03년평가완료031229수정)_용접업종 평가결과품의(040510)(1)" xfId="31773"/>
    <cellStyle name="통_출장계획서_새벽시장5_최신-SQ인증업체현황1343사(03년평가완료031229수정)_주단조용접업종 평가결과품의(040510)(1)" xfId="31774"/>
    <cellStyle name="통_출장계획서_새벽시장7" xfId="31775"/>
    <cellStyle name="통_출장계획서_새벽시장7_도금 열처리 주단조 평가품의(040329)" xfId="31776"/>
    <cellStyle name="통_출장계획서_새벽시장7_도금 열처리 주단조 평가품의(040329)_도금 열처리 주단조 평가품의(040329)" xfId="31777"/>
    <cellStyle name="통_출장계획서_새벽시장7_도금 열처리 주단조 평가품의(040329)업체" xfId="31778"/>
    <cellStyle name="통_출장계획서_새벽시장7_열처리결과품의(031017)개발" xfId="31779"/>
    <cellStyle name="통_출장계획서_새벽시장7_열처리결과품의(031017)개발_도금 열처리 주단조 평가품의(040329)" xfId="31780"/>
    <cellStyle name="통_출장계획서_새벽시장7_용접업종 평가결과품의(040510)" xfId="31781"/>
    <cellStyle name="통_출장계획서_새벽시장7_용접업종 평가결과품의(040510)_용접업종 평가결과품의(040510)" xfId="31782"/>
    <cellStyle name="통_출장계획서_새벽시장7_용접업종 평가결과품의(040510)_용접업종 평가결과품의(040510)(1)" xfId="31783"/>
    <cellStyle name="통_출장계획서_새벽시장7_용접업종 평가결과품의(040510)_주단조용접업종 평가결과품의(040510)(1)" xfId="31784"/>
    <cellStyle name="통_출장계획서_새벽시장7_주단조 업종 평가결과품의(040407)" xfId="31785"/>
    <cellStyle name="통_출장계획서_새벽시장7_주단조 업종 평가결과품의(040407)_용접업종 평가결과품의(040510)" xfId="31786"/>
    <cellStyle name="통_출장계획서_새벽시장7_주단조 업종 평가결과품의(040407)_용접업종 평가결과품의(040510)(1)" xfId="31787"/>
    <cellStyle name="통_출장계획서_새벽시장7_주단조 업종 평가결과품의(040407)_주단조용접업종 평가결과품의(040510)(1)" xfId="31788"/>
    <cellStyle name="통_출장계획서_새벽시장7_주단조 업종 평가결과품의(040416)(1)" xfId="31789"/>
    <cellStyle name="통_출장계획서_새벽시장7_주단조 업종 평가결과품의(040416)(1)_용접업종 평가결과품의(040510)" xfId="31790"/>
    <cellStyle name="통_출장계획서_새벽시장7_주단조 업종 평가결과품의(040416)(1)_용접업종 평가결과품의(040510)(1)" xfId="31791"/>
    <cellStyle name="통_출장계획서_새벽시장7_주단조 업종 평가결과품의(040416)(1)_주단조용접업종 평가결과품의(040510)(1)" xfId="31792"/>
    <cellStyle name="통_출장계획서_새벽시장7_최신-SQ인증업체현황1343사(03년평가완료031229수정)" xfId="31793"/>
    <cellStyle name="통_출장계획서_새벽시장7_최신-SQ인증업체현황1343사(03년평가완료031229수정)_용접업종 평가결과품의(040510)" xfId="31794"/>
    <cellStyle name="통_출장계획서_새벽시장7_최신-SQ인증업체현황1343사(03년평가완료031229수정)_용접업종 평가결과품의(040510)(1)" xfId="31795"/>
    <cellStyle name="통_출장계획서_새벽시장7_최신-SQ인증업체현황1343사(03년평가완료031229수정)_주단조용접업종 평가결과품의(040510)(1)" xfId="31796"/>
    <cellStyle name="통_출장계획서_새벽시장8.10xls" xfId="31797"/>
    <cellStyle name="통_출장계획서_새벽시장8.10xls_도금 열처리 주단조 평가품의(040329)" xfId="31798"/>
    <cellStyle name="통_출장계획서_새벽시장8.10xls_도금 열처리 주단조 평가품의(040329)_도금 열처리 주단조 평가품의(040329)" xfId="31799"/>
    <cellStyle name="통_출장계획서_새벽시장8.10xls_도금 열처리 주단조 평가품의(040329)업체" xfId="31800"/>
    <cellStyle name="통_출장계획서_새벽시장8.10xls_열처리결과품의(031017)개발" xfId="31801"/>
    <cellStyle name="통_출장계획서_새벽시장8.10xls_열처리결과품의(031017)개발_도금 열처리 주단조 평가품의(040329)" xfId="31802"/>
    <cellStyle name="통_출장계획서_새벽시장8.10xls_용접업종 평가결과품의(040510)" xfId="31803"/>
    <cellStyle name="통_출장계획서_새벽시장8.10xls_용접업종 평가결과품의(040510)_용접업종 평가결과품의(040510)" xfId="31804"/>
    <cellStyle name="통_출장계획서_새벽시장8.10xls_용접업종 평가결과품의(040510)_용접업종 평가결과품의(040510)(1)" xfId="31805"/>
    <cellStyle name="통_출장계획서_새벽시장8.10xls_용접업종 평가결과품의(040510)_주단조용접업종 평가결과품의(040510)(1)" xfId="31806"/>
    <cellStyle name="통_출장계획서_새벽시장8.10xls_주단조 업종 평가결과품의(040407)" xfId="31807"/>
    <cellStyle name="통_출장계획서_새벽시장8.10xls_주단조 업종 평가결과품의(040407)_용접업종 평가결과품의(040510)" xfId="31808"/>
    <cellStyle name="통_출장계획서_새벽시장8.10xls_주단조 업종 평가결과품의(040407)_용접업종 평가결과품의(040510)(1)" xfId="31809"/>
    <cellStyle name="통_출장계획서_새벽시장8.10xls_주단조 업종 평가결과품의(040407)_주단조용접업종 평가결과품의(040510)(1)" xfId="31810"/>
    <cellStyle name="통_출장계획서_새벽시장8.10xls_주단조 업종 평가결과품의(040416)(1)" xfId="31811"/>
    <cellStyle name="통_출장계획서_새벽시장8.10xls_주단조 업종 평가결과품의(040416)(1)_용접업종 평가결과품의(040510)" xfId="31812"/>
    <cellStyle name="통_출장계획서_새벽시장8.10xls_주단조 업종 평가결과품의(040416)(1)_용접업종 평가결과품의(040510)(1)" xfId="31813"/>
    <cellStyle name="통_출장계획서_새벽시장8.10xls_주단조 업종 평가결과품의(040416)(1)_주단조용접업종 평가결과품의(040510)(1)" xfId="31814"/>
    <cellStyle name="통_출장계획서_새벽시장8.10xls_최신-SQ인증업체현황1343사(03년평가완료031229수정)" xfId="31815"/>
    <cellStyle name="통_출장계획서_새벽시장8.10xls_최신-SQ인증업체현황1343사(03년평가완료031229수정)_용접업종 평가결과품의(040510)" xfId="31816"/>
    <cellStyle name="통_출장계획서_새벽시장8.10xls_최신-SQ인증업체현황1343사(03년평가완료031229수정)_용접업종 평가결과품의(040510)(1)" xfId="31817"/>
    <cellStyle name="통_출장계획서_새벽시장8.10xls_최신-SQ인증업체현황1343사(03년평가완료031229수정)_주단조용접업종 평가결과품의(040510)(1)" xfId="31818"/>
    <cellStyle name="통_출장계획서_새벽시장8.26xls" xfId="31819"/>
    <cellStyle name="통_출장계획서_새벽시장8.26xls_도금 열처리 주단조 평가품의(040329)" xfId="31820"/>
    <cellStyle name="통_출장계획서_새벽시장8.26xls_도금 열처리 주단조 평가품의(040329)_도금 열처리 주단조 평가품의(040329)" xfId="31821"/>
    <cellStyle name="통_출장계획서_새벽시장8.26xls_도금 열처리 주단조 평가품의(040329)업체" xfId="31822"/>
    <cellStyle name="통_출장계획서_새벽시장8.26xls_열처리결과품의(031017)개발" xfId="31823"/>
    <cellStyle name="통_출장계획서_새벽시장8.26xls_열처리결과품의(031017)개발_도금 열처리 주단조 평가품의(040329)" xfId="31824"/>
    <cellStyle name="통_출장계획서_새벽시장8.26xls_용접업종 평가결과품의(040510)" xfId="31825"/>
    <cellStyle name="통_출장계획서_새벽시장8.26xls_용접업종 평가결과품의(040510)_용접업종 평가결과품의(040510)" xfId="31826"/>
    <cellStyle name="통_출장계획서_새벽시장8.26xls_용접업종 평가결과품의(040510)_용접업종 평가결과품의(040510)(1)" xfId="31827"/>
    <cellStyle name="통_출장계획서_새벽시장8.26xls_용접업종 평가결과품의(040510)_주단조용접업종 평가결과품의(040510)(1)" xfId="31828"/>
    <cellStyle name="통_출장계획서_새벽시장8.26xls_주단조 업종 평가결과품의(040407)" xfId="31829"/>
    <cellStyle name="통_출장계획서_새벽시장8.26xls_주단조 업종 평가결과품의(040407)_용접업종 평가결과품의(040510)" xfId="31830"/>
    <cellStyle name="통_출장계획서_새벽시장8.26xls_주단조 업종 평가결과품의(040407)_용접업종 평가결과품의(040510)(1)" xfId="31831"/>
    <cellStyle name="통_출장계획서_새벽시장8.26xls_주단조 업종 평가결과품의(040407)_주단조용접업종 평가결과품의(040510)(1)" xfId="31832"/>
    <cellStyle name="통_출장계획서_새벽시장8.26xls_주단조 업종 평가결과품의(040416)(1)" xfId="31833"/>
    <cellStyle name="통_출장계획서_새벽시장8.26xls_주단조 업종 평가결과품의(040416)(1)_용접업종 평가결과품의(040510)" xfId="31834"/>
    <cellStyle name="통_출장계획서_새벽시장8.26xls_주단조 업종 평가결과품의(040416)(1)_용접업종 평가결과품의(040510)(1)" xfId="31835"/>
    <cellStyle name="통_출장계획서_새벽시장8.26xls_주단조 업종 평가결과품의(040416)(1)_주단조용접업종 평가결과품의(040510)(1)" xfId="31836"/>
    <cellStyle name="통_출장계획서_새벽시장8.26xls_최신-SQ인증업체현황1343사(03년평가완료031229수정)" xfId="31837"/>
    <cellStyle name="통_출장계획서_새벽시장8.26xls_최신-SQ인증업체현황1343사(03년평가완료031229수정)_용접업종 평가결과품의(040510)" xfId="31838"/>
    <cellStyle name="통_출장계획서_새벽시장8.26xls_최신-SQ인증업체현황1343사(03년평가완료031229수정)_용접업종 평가결과품의(040510)(1)" xfId="31839"/>
    <cellStyle name="통_출장계획서_새벽시장8.26xls_최신-SQ인증업체현황1343사(03년평가완료031229수정)_주단조용접업종 평가결과품의(040510)(1)" xfId="31840"/>
    <cellStyle name="통_출장계획서_새벽시장9.16" xfId="31841"/>
    <cellStyle name="통_출장계획서_새벽시장9.16_도금 열처리 주단조 평가품의(040329)" xfId="31842"/>
    <cellStyle name="통_출장계획서_새벽시장9.16_도금 열처리 주단조 평가품의(040329)_도금 열처리 주단조 평가품의(040329)" xfId="31843"/>
    <cellStyle name="통_출장계획서_새벽시장9.16_도금 열처리 주단조 평가품의(040329)업체" xfId="31844"/>
    <cellStyle name="통_출장계획서_새벽시장9.16_열처리결과품의(031017)개발" xfId="31845"/>
    <cellStyle name="통_출장계획서_새벽시장9.16_열처리결과품의(031017)개발_도금 열처리 주단조 평가품의(040329)" xfId="31846"/>
    <cellStyle name="통_출장계획서_새벽시장9.16_용접업종 평가결과품의(040510)" xfId="31847"/>
    <cellStyle name="통_출장계획서_새벽시장9.16_용접업종 평가결과품의(040510)_용접업종 평가결과품의(040510)" xfId="31848"/>
    <cellStyle name="통_출장계획서_새벽시장9.16_용접업종 평가결과품의(040510)_용접업종 평가결과품의(040510)(1)" xfId="31849"/>
    <cellStyle name="통_출장계획서_새벽시장9.16_용접업종 평가결과품의(040510)_주단조용접업종 평가결과품의(040510)(1)" xfId="31850"/>
    <cellStyle name="통_출장계획서_새벽시장9.16_주단조 업종 평가결과품의(040407)" xfId="31851"/>
    <cellStyle name="통_출장계획서_새벽시장9.16_주단조 업종 평가결과품의(040407)_용접업종 평가결과품의(040510)" xfId="31852"/>
    <cellStyle name="통_출장계획서_새벽시장9.16_주단조 업종 평가결과품의(040407)_용접업종 평가결과품의(040510)(1)" xfId="31853"/>
    <cellStyle name="통_출장계획서_새벽시장9.16_주단조 업종 평가결과품의(040407)_주단조용접업종 평가결과품의(040510)(1)" xfId="31854"/>
    <cellStyle name="통_출장계획서_새벽시장9.16_주단조 업종 평가결과품의(040416)(1)" xfId="31855"/>
    <cellStyle name="통_출장계획서_새벽시장9.16_주단조 업종 평가결과품의(040416)(1)_용접업종 평가결과품의(040510)" xfId="31856"/>
    <cellStyle name="통_출장계획서_새벽시장9.16_주단조 업종 평가결과품의(040416)(1)_용접업종 평가결과품의(040510)(1)" xfId="31857"/>
    <cellStyle name="통_출장계획서_새벽시장9.16_주단조 업종 평가결과품의(040416)(1)_주단조용접업종 평가결과품의(040510)(1)" xfId="31858"/>
    <cellStyle name="통_출장계획서_새벽시장9.16_최신-SQ인증업체현황1343사(03년평가완료031229수정)" xfId="31859"/>
    <cellStyle name="통_출장계획서_새벽시장9.16_최신-SQ인증업체현황1343사(03년평가완료031229수정)_용접업종 평가결과품의(040510)" xfId="31860"/>
    <cellStyle name="통_출장계획서_새벽시장9.16_최신-SQ인증업체현황1343사(03년평가완료031229수정)_용접업종 평가결과품의(040510)(1)" xfId="31861"/>
    <cellStyle name="통_출장계획서_새벽시장9.16_최신-SQ인증업체현황1343사(03년평가완료031229수정)_주단조용접업종 평가결과품의(040510)(1)" xfId="31862"/>
    <cellStyle name="통_출장계획서_열처리결과품의(031017)개발" xfId="31863"/>
    <cellStyle name="통_출장계획서_열처리결과품의(031017)개발_도금 열처리 주단조 평가품의(040329)" xfId="31864"/>
    <cellStyle name="통_출장계획서_용접업종 평가결과품의(040510)" xfId="31865"/>
    <cellStyle name="통_출장계획서_용접업종 평가결과품의(040510)_용접업종 평가결과품의(040510)" xfId="31866"/>
    <cellStyle name="통_출장계획서_용접업종 평가결과품의(040510)_용접업종 평가결과품의(040510)(1)" xfId="31867"/>
    <cellStyle name="통_출장계획서_용접업종 평가결과품의(040510)_주단조용접업종 평가결과품의(040510)(1)" xfId="31868"/>
    <cellStyle name="통_출장계획서_주단조 업종 평가결과품의(040407)" xfId="31869"/>
    <cellStyle name="통_출장계획서_주단조 업종 평가결과품의(040407)_용접업종 평가결과품의(040510)" xfId="31870"/>
    <cellStyle name="통_출장계획서_주단조 업종 평가결과품의(040407)_용접업종 평가결과품의(040510)(1)" xfId="31871"/>
    <cellStyle name="통_출장계획서_주단조 업종 평가결과품의(040407)_주단조용접업종 평가결과품의(040510)(1)" xfId="31872"/>
    <cellStyle name="통_출장계획서_주단조 업종 평가결과품의(040416)(1)" xfId="31873"/>
    <cellStyle name="통_출장계획서_주단조 업종 평가결과품의(040416)(1)_용접업종 평가결과품의(040510)" xfId="31874"/>
    <cellStyle name="통_출장계획서_주단조 업종 평가결과품의(040416)(1)_용접업종 평가결과품의(040510)(1)" xfId="31875"/>
    <cellStyle name="통_출장계획서_주단조 업종 평가결과품의(040416)(1)_주단조용접업종 평가결과품의(040510)(1)" xfId="31876"/>
    <cellStyle name="통_출장계획서_최신-SQ인증업체현황1343사(03년평가완료031229수정)" xfId="31877"/>
    <cellStyle name="통_출장계획서_최신-SQ인증업체현황1343사(03년평가완료031229수정)_용접업종 평가결과품의(040510)" xfId="31878"/>
    <cellStyle name="통_출장계획서_최신-SQ인증업체현황1343사(03년평가완료031229수정)_용접업종 평가결과품의(040510)(1)" xfId="31879"/>
    <cellStyle name="통_출장계획서_최신-SQ인증업체현황1343사(03년평가완료031229수정)_주단조용접업종 평가결과품의(040510)(1)" xfId="31880"/>
    <cellStyle name="통화 [" xfId="31881"/>
    <cellStyle name="통화 [0] 2" xfId="31882"/>
    <cellStyle name="통화 [0] 2 2" xfId="31883"/>
    <cellStyle name="팒" xfId="31884"/>
    <cellStyle name="팒 2" xfId="31885"/>
    <cellStyle name="팹繫_1-3墩 " xfId="31886"/>
    <cellStyle name="퍼센트" xfId="31887"/>
    <cellStyle name="퍼센트 2" xfId="31888"/>
    <cellStyle name="퍼센트 2 2" xfId="31889"/>
    <cellStyle name="퍼센트 3" xfId="31890"/>
    <cellStyle name="표" xfId="31891"/>
    <cellStyle name="표_ROTATION 유동" xfId="31892"/>
    <cellStyle name="표_ROTATION 유동_도금 열처리 주단조 평가품의(040329)" xfId="31893"/>
    <cellStyle name="표_ROTATION 유동_도금 열처리 주단조 평가품의(040329)_도금 열처리 주단조 평가품의(040329)" xfId="31894"/>
    <cellStyle name="표_ROTATION 유동_도금 열처리 주단조 평가품의(040329)업체" xfId="31895"/>
    <cellStyle name="표_ROTATION 유동_열처리결과품의(031017)개발" xfId="31896"/>
    <cellStyle name="표_ROTATION 유동_열처리결과품의(031017)개발_도금 열처리 주단조 평가품의(040329)" xfId="31897"/>
    <cellStyle name="표_ROTATION 유동_용접업종 평가결과품의(040510)" xfId="31898"/>
    <cellStyle name="표_ROTATION 유동_용접업종 평가결과품의(040510)_용접업종 평가결과품의(040510)" xfId="31899"/>
    <cellStyle name="표_ROTATION 유동_용접업종 평가결과품의(040510)_용접업종 평가결과품의(040510)(1)" xfId="31900"/>
    <cellStyle name="표_ROTATION 유동_용접업종 평가결과품의(040510)_주단조용접업종 평가결과품의(040510)(1)" xfId="31901"/>
    <cellStyle name="표_ROTATION 유동_주단조 업종 평가결과품의(040407)" xfId="31902"/>
    <cellStyle name="표_ROTATION 유동_주단조 업종 평가결과품의(040407)_용접업종 평가결과품의(040510)" xfId="31903"/>
    <cellStyle name="표_ROTATION 유동_주단조 업종 평가결과품의(040407)_용접업종 평가결과품의(040510)(1)" xfId="31904"/>
    <cellStyle name="표_ROTATION 유동_주단조 업종 평가결과품의(040407)_주단조용접업종 평가결과품의(040510)(1)" xfId="31905"/>
    <cellStyle name="표_ROTATION 유동_주단조 업종 평가결과품의(040416)(1)" xfId="31906"/>
    <cellStyle name="표_ROTATION 유동_주단조 업종 평가결과품의(040416)(1)_용접업종 평가결과품의(040510)" xfId="31907"/>
    <cellStyle name="표_ROTATION 유동_주단조 업종 평가결과품의(040416)(1)_용접업종 평가결과품의(040510)(1)" xfId="31908"/>
    <cellStyle name="표_ROTATION 유동_주단조 업종 평가결과품의(040416)(1)_주단조용접업종 평가결과품의(040510)(1)" xfId="31909"/>
    <cellStyle name="표_ROTATION 유동_최신-SQ인증업체현황1343사(03년평가완료031229수정)" xfId="31910"/>
    <cellStyle name="표_ROTATION 유동_최신-SQ인증업체현황1343사(03년평가완료031229수정)_용접업종 평가결과품의(040510)" xfId="31911"/>
    <cellStyle name="표_ROTATION 유동_최신-SQ인증업체현황1343사(03년평가완료031229수정)_용접업종 평가결과품의(040510)(1)" xfId="31912"/>
    <cellStyle name="표_ROTATION 유동_최신-SQ인증업체현황1343사(03년평가완료031229수정)_주단조용접업종 평가결과품의(040510)(1)" xfId="31913"/>
    <cellStyle name="표_SLIDE 폭" xfId="31914"/>
    <cellStyle name="표_SLIDE 폭_도금 열처리 주단조 평가품의(040329)" xfId="31915"/>
    <cellStyle name="표_SLIDE 폭_도금 열처리 주단조 평가품의(040329)_도금 열처리 주단조 평가품의(040329)" xfId="31916"/>
    <cellStyle name="표_SLIDE 폭_도금 열처리 주단조 평가품의(040329)업체" xfId="31917"/>
    <cellStyle name="표_SLIDE 폭_열처리결과품의(031017)개발" xfId="31918"/>
    <cellStyle name="표_SLIDE 폭_열처리결과품의(031017)개발_도금 열처리 주단조 평가품의(040329)" xfId="31919"/>
    <cellStyle name="표_SLIDE 폭_용접업종 평가결과품의(040510)" xfId="31920"/>
    <cellStyle name="표_SLIDE 폭_용접업종 평가결과품의(040510)_용접업종 평가결과품의(040510)" xfId="31921"/>
    <cellStyle name="표_SLIDE 폭_용접업종 평가결과품의(040510)_용접업종 평가결과품의(040510)(1)" xfId="31922"/>
    <cellStyle name="표_SLIDE 폭_용접업종 평가결과품의(040510)_주단조용접업종 평가결과품의(040510)(1)" xfId="31923"/>
    <cellStyle name="표_SLIDE 폭_주단조 업종 평가결과품의(040407)" xfId="31924"/>
    <cellStyle name="표_SLIDE 폭_주단조 업종 평가결과품의(040407)_용접업종 평가결과품의(040510)" xfId="31925"/>
    <cellStyle name="표_SLIDE 폭_주단조 업종 평가결과품의(040407)_용접업종 평가결과품의(040510)(1)" xfId="31926"/>
    <cellStyle name="표_SLIDE 폭_주단조 업종 평가결과품의(040407)_주단조용접업종 평가결과품의(040510)(1)" xfId="31927"/>
    <cellStyle name="표_SLIDE 폭_주단조 업종 평가결과품의(040416)(1)" xfId="31928"/>
    <cellStyle name="표_SLIDE 폭_주단조 업종 평가결과품의(040416)(1)_용접업종 평가결과품의(040510)" xfId="31929"/>
    <cellStyle name="표_SLIDE 폭_주단조 업종 평가결과품의(040416)(1)_용접업종 평가결과품의(040510)(1)" xfId="31930"/>
    <cellStyle name="표_SLIDE 폭_주단조 업종 평가결과품의(040416)(1)_주단조용접업종 평가결과품의(040510)(1)" xfId="31931"/>
    <cellStyle name="표_SLIDE 폭_최신-SQ인증업체현황1343사(03년평가완료031229수정)" xfId="31932"/>
    <cellStyle name="표_SLIDE 폭_최신-SQ인증업체현황1343사(03년평가완료031229수정)_용접업종 평가결과품의(040510)" xfId="31933"/>
    <cellStyle name="표_SLIDE 폭_최신-SQ인증업체현황1343사(03년평가완료031229수정)_용접업종 평가결과품의(040510)(1)" xfId="31934"/>
    <cellStyle name="표_SLIDE 폭_최신-SQ인증업체현황1343사(03년평가완료031229수정)_주단조용접업종 평가결과품의(040510)(1)" xfId="31935"/>
    <cellStyle name="표_도금 열처리 주단조 평가품의(040329)" xfId="31936"/>
    <cellStyle name="표_도금 열처리 주단조 평가품의(040329)_도금 열처리 주단조 평가품의(040329)" xfId="31937"/>
    <cellStyle name="표_도금 열처리 주단조 평가품의(040329)업체" xfId="31938"/>
    <cellStyle name="표_사전회의(1208)" xfId="31939"/>
    <cellStyle name="표_사전회의(1208)_ROTATION 유동" xfId="31940"/>
    <cellStyle name="표_사전회의(1208)_ROTATION 유동_도금 열처리 주단조 평가품의(040329)" xfId="31941"/>
    <cellStyle name="표_사전회의(1208)_ROTATION 유동_도금 열처리 주단조 평가품의(040329)_도금 열처리 주단조 평가품의(040329)" xfId="31942"/>
    <cellStyle name="표_사전회의(1208)_ROTATION 유동_도금 열처리 주단조 평가품의(040329)업체" xfId="31943"/>
    <cellStyle name="표_사전회의(1208)_ROTATION 유동_열처리결과품의(031017)개발" xfId="31944"/>
    <cellStyle name="표_사전회의(1208)_ROTATION 유동_열처리결과품의(031017)개발_도금 열처리 주단조 평가품의(040329)" xfId="31945"/>
    <cellStyle name="표_사전회의(1208)_ROTATION 유동_용접업종 평가결과품의(040510)" xfId="31946"/>
    <cellStyle name="표_사전회의(1208)_ROTATION 유동_용접업종 평가결과품의(040510)_용접업종 평가결과품의(040510)" xfId="31947"/>
    <cellStyle name="표_사전회의(1208)_ROTATION 유동_용접업종 평가결과품의(040510)_용접업종 평가결과품의(040510)(1)" xfId="31948"/>
    <cellStyle name="표_사전회의(1208)_ROTATION 유동_용접업종 평가결과품의(040510)_주단조용접업종 평가결과품의(040510)(1)" xfId="31949"/>
    <cellStyle name="표_사전회의(1208)_ROTATION 유동_주단조 업종 평가결과품의(040407)" xfId="31950"/>
    <cellStyle name="표_사전회의(1208)_ROTATION 유동_주단조 업종 평가결과품의(040407)_용접업종 평가결과품의(040510)" xfId="31951"/>
    <cellStyle name="표_사전회의(1208)_ROTATION 유동_주단조 업종 평가결과품의(040407)_용접업종 평가결과품의(040510)(1)" xfId="31952"/>
    <cellStyle name="표_사전회의(1208)_ROTATION 유동_주단조 업종 평가결과품의(040407)_주단조용접업종 평가결과품의(040510)(1)" xfId="31953"/>
    <cellStyle name="표_사전회의(1208)_ROTATION 유동_주단조 업종 평가결과품의(040416)(1)" xfId="31954"/>
    <cellStyle name="표_사전회의(1208)_ROTATION 유동_주단조 업종 평가결과품의(040416)(1)_용접업종 평가결과품의(040510)" xfId="31955"/>
    <cellStyle name="표_사전회의(1208)_ROTATION 유동_주단조 업종 평가결과품의(040416)(1)_용접업종 평가결과품의(040510)(1)" xfId="31956"/>
    <cellStyle name="표_사전회의(1208)_ROTATION 유동_주단조 업종 평가결과품의(040416)(1)_주단조용접업종 평가결과품의(040510)(1)" xfId="31957"/>
    <cellStyle name="표_사전회의(1208)_ROTATION 유동_최신-SQ인증업체현황1343사(03년평가완료031229수정)" xfId="31958"/>
    <cellStyle name="표_사전회의(1208)_ROTATION 유동_최신-SQ인증업체현황1343사(03년평가완료031229수정)_용접업종 평가결과품의(040510)" xfId="31959"/>
    <cellStyle name="표_사전회의(1208)_ROTATION 유동_최신-SQ인증업체현황1343사(03년평가완료031229수정)_용접업종 평가결과품의(040510)(1)" xfId="31960"/>
    <cellStyle name="표_사전회의(1208)_ROTATION 유동_최신-SQ인증업체현황1343사(03년평가완료031229수정)_주단조용접업종 평가결과품의(040510)(1)" xfId="31961"/>
    <cellStyle name="표_사전회의(1208)_SLIDE 폭" xfId="31962"/>
    <cellStyle name="표_사전회의(1208)_SLIDE 폭_도금 열처리 주단조 평가품의(040329)" xfId="31963"/>
    <cellStyle name="표_사전회의(1208)_SLIDE 폭_도금 열처리 주단조 평가품의(040329)_도금 열처리 주단조 평가품의(040329)" xfId="31964"/>
    <cellStyle name="표_사전회의(1208)_SLIDE 폭_도금 열처리 주단조 평가품의(040329)업체" xfId="31965"/>
    <cellStyle name="표_사전회의(1208)_SLIDE 폭_열처리결과품의(031017)개발" xfId="31966"/>
    <cellStyle name="표_사전회의(1208)_SLIDE 폭_열처리결과품의(031017)개발_도금 열처리 주단조 평가품의(040329)" xfId="31967"/>
    <cellStyle name="표_사전회의(1208)_SLIDE 폭_용접업종 평가결과품의(040510)" xfId="31968"/>
    <cellStyle name="표_사전회의(1208)_SLIDE 폭_용접업종 평가결과품의(040510)_용접업종 평가결과품의(040510)" xfId="31969"/>
    <cellStyle name="표_사전회의(1208)_SLIDE 폭_용접업종 평가결과품의(040510)_용접업종 평가결과품의(040510)(1)" xfId="31970"/>
    <cellStyle name="표_사전회의(1208)_SLIDE 폭_용접업종 평가결과품의(040510)_주단조용접업종 평가결과품의(040510)(1)" xfId="31971"/>
    <cellStyle name="표_사전회의(1208)_SLIDE 폭_주단조 업종 평가결과품의(040407)" xfId="31972"/>
    <cellStyle name="표_사전회의(1208)_SLIDE 폭_주단조 업종 평가결과품의(040407)_용접업종 평가결과품의(040510)" xfId="31973"/>
    <cellStyle name="표_사전회의(1208)_SLIDE 폭_주단조 업종 평가결과품의(040407)_용접업종 평가결과품의(040510)(1)" xfId="31974"/>
    <cellStyle name="표_사전회의(1208)_SLIDE 폭_주단조 업종 평가결과품의(040407)_주단조용접업종 평가결과품의(040510)(1)" xfId="31975"/>
    <cellStyle name="표_사전회의(1208)_SLIDE 폭_주단조 업종 평가결과품의(040416)(1)" xfId="31976"/>
    <cellStyle name="표_사전회의(1208)_SLIDE 폭_주단조 업종 평가결과품의(040416)(1)_용접업종 평가결과품의(040510)" xfId="31977"/>
    <cellStyle name="표_사전회의(1208)_SLIDE 폭_주단조 업종 평가결과품의(040416)(1)_용접업종 평가결과품의(040510)(1)" xfId="31978"/>
    <cellStyle name="표_사전회의(1208)_SLIDE 폭_주단조 업종 평가결과품의(040416)(1)_주단조용접업종 평가결과품의(040510)(1)" xfId="31979"/>
    <cellStyle name="표_사전회의(1208)_SLIDE 폭_최신-SQ인증업체현황1343사(03년평가완료031229수정)" xfId="31980"/>
    <cellStyle name="표_사전회의(1208)_SLIDE 폭_최신-SQ인증업체현황1343사(03년평가완료031229수정)_용접업종 평가결과품의(040510)" xfId="31981"/>
    <cellStyle name="표_사전회의(1208)_SLIDE 폭_최신-SQ인증업체현황1343사(03년평가완료031229수정)_용접업종 평가결과품의(040510)(1)" xfId="31982"/>
    <cellStyle name="표_사전회의(1208)_SLIDE 폭_최신-SQ인증업체현황1343사(03년평가완료031229수정)_주단조용접업종 평가결과품의(040510)(1)" xfId="31983"/>
    <cellStyle name="표_사전회의(1208)_도금 열처리 주단조 평가품의(040329)" xfId="31984"/>
    <cellStyle name="표_사전회의(1208)_도금 열처리 주단조 평가품의(040329)_도금 열처리 주단조 평가품의(040329)" xfId="31985"/>
    <cellStyle name="표_사전회의(1208)_도금 열처리 주단조 평가품의(040329)업체" xfId="31986"/>
    <cellStyle name="표_사전회의(1208)_새벽시장1" xfId="31987"/>
    <cellStyle name="표_사전회의(1208)_새벽시장1_도금 열처리 주단조 평가품의(040329)" xfId="31988"/>
    <cellStyle name="표_사전회의(1208)_새벽시장1_도금 열처리 주단조 평가품의(040329)_도금 열처리 주단조 평가품의(040329)" xfId="31989"/>
    <cellStyle name="표_사전회의(1208)_새벽시장1_도금 열처리 주단조 평가품의(040329)업체" xfId="31990"/>
    <cellStyle name="표_사전회의(1208)_새벽시장1_열처리결과품의(031017)개발" xfId="31991"/>
    <cellStyle name="표_사전회의(1208)_새벽시장1_열처리결과품의(031017)개발_도금 열처리 주단조 평가품의(040329)" xfId="31992"/>
    <cellStyle name="표_사전회의(1208)_새벽시장1_용접업종 평가결과품의(040510)" xfId="31993"/>
    <cellStyle name="표_사전회의(1208)_새벽시장1_용접업종 평가결과품의(040510)_용접업종 평가결과품의(040510)" xfId="31994"/>
    <cellStyle name="표_사전회의(1208)_새벽시장1_용접업종 평가결과품의(040510)_용접업종 평가결과품의(040510)(1)" xfId="31995"/>
    <cellStyle name="표_사전회의(1208)_새벽시장1_용접업종 평가결과품의(040510)_주단조용접업종 평가결과품의(040510)(1)" xfId="31996"/>
    <cellStyle name="표_사전회의(1208)_새벽시장1_주단조 업종 평가결과품의(040407)" xfId="31997"/>
    <cellStyle name="표_사전회의(1208)_새벽시장1_주단조 업종 평가결과품의(040407)_용접업종 평가결과품의(040510)" xfId="31998"/>
    <cellStyle name="표_사전회의(1208)_새벽시장1_주단조 업종 평가결과품의(040407)_용접업종 평가결과품의(040510)(1)" xfId="31999"/>
    <cellStyle name="표_사전회의(1208)_새벽시장1_주단조 업종 평가결과품의(040407)_주단조용접업종 평가결과품의(040510)(1)" xfId="32000"/>
    <cellStyle name="표_사전회의(1208)_새벽시장1_주단조 업종 평가결과품의(040416)(1)" xfId="32001"/>
    <cellStyle name="표_사전회의(1208)_새벽시장1_주단조 업종 평가결과품의(040416)(1)_용접업종 평가결과품의(040510)" xfId="32002"/>
    <cellStyle name="표_사전회의(1208)_새벽시장1_주단조 업종 평가결과품의(040416)(1)_용접업종 평가결과품의(040510)(1)" xfId="32003"/>
    <cellStyle name="표_사전회의(1208)_새벽시장1_주단조 업종 평가결과품의(040416)(1)_주단조용접업종 평가결과품의(040510)(1)" xfId="32004"/>
    <cellStyle name="표_사전회의(1208)_새벽시장1_최신-SQ인증업체현황1343사(03년평가완료031229수정)" xfId="32005"/>
    <cellStyle name="표_사전회의(1208)_새벽시장1_최신-SQ인증업체현황1343사(03년평가완료031229수정)_용접업종 평가결과품의(040510)" xfId="32006"/>
    <cellStyle name="표_사전회의(1208)_새벽시장1_최신-SQ인증업체현황1343사(03년평가완료031229수정)_용접업종 평가결과품의(040510)(1)" xfId="32007"/>
    <cellStyle name="표_사전회의(1208)_새벽시장1_최신-SQ인증업체현황1343사(03년평가완료031229수정)_주단조용접업종 평가결과품의(040510)(1)" xfId="32008"/>
    <cellStyle name="표_사전회의(1208)_새벽시장3" xfId="32009"/>
    <cellStyle name="표_사전회의(1208)_새벽시장3_도금 열처리 주단조 평가품의(040329)" xfId="32010"/>
    <cellStyle name="표_사전회의(1208)_새벽시장3_도금 열처리 주단조 평가품의(040329)_도금 열처리 주단조 평가품의(040329)" xfId="32011"/>
    <cellStyle name="표_사전회의(1208)_새벽시장3_도금 열처리 주단조 평가품의(040329)업체" xfId="32012"/>
    <cellStyle name="표_사전회의(1208)_새벽시장3_열처리결과품의(031017)개발" xfId="32013"/>
    <cellStyle name="표_사전회의(1208)_새벽시장3_열처리결과품의(031017)개발_도금 열처리 주단조 평가품의(040329)" xfId="32014"/>
    <cellStyle name="표_사전회의(1208)_새벽시장3_용접업종 평가결과품의(040510)" xfId="32015"/>
    <cellStyle name="표_사전회의(1208)_새벽시장3_용접업종 평가결과품의(040510)_용접업종 평가결과품의(040510)" xfId="32016"/>
    <cellStyle name="표_사전회의(1208)_새벽시장3_용접업종 평가결과품의(040510)_용접업종 평가결과품의(040510)(1)" xfId="32017"/>
    <cellStyle name="표_사전회의(1208)_새벽시장3_용접업종 평가결과품의(040510)_주단조용접업종 평가결과품의(040510)(1)" xfId="32018"/>
    <cellStyle name="표_사전회의(1208)_새벽시장3_주단조 업종 평가결과품의(040407)" xfId="32019"/>
    <cellStyle name="표_사전회의(1208)_새벽시장3_주단조 업종 평가결과품의(040407)_용접업종 평가결과품의(040510)" xfId="32020"/>
    <cellStyle name="표_사전회의(1208)_새벽시장3_주단조 업종 평가결과품의(040407)_용접업종 평가결과품의(040510)(1)" xfId="32021"/>
    <cellStyle name="표_사전회의(1208)_새벽시장3_주단조 업종 평가결과품의(040407)_주단조용접업종 평가결과품의(040510)(1)" xfId="32022"/>
    <cellStyle name="표_사전회의(1208)_새벽시장3_주단조 업종 평가결과품의(040416)(1)" xfId="32023"/>
    <cellStyle name="표_사전회의(1208)_새벽시장3_주단조 업종 평가결과품의(040416)(1)_용접업종 평가결과품의(040510)" xfId="32024"/>
    <cellStyle name="표_사전회의(1208)_새벽시장3_주단조 업종 평가결과품의(040416)(1)_용접업종 평가결과품의(040510)(1)" xfId="32025"/>
    <cellStyle name="표_사전회의(1208)_새벽시장3_주단조 업종 평가결과품의(040416)(1)_주단조용접업종 평가결과품의(040510)(1)" xfId="32026"/>
    <cellStyle name="표_사전회의(1208)_새벽시장3_최신-SQ인증업체현황1343사(03년평가완료031229수정)" xfId="32027"/>
    <cellStyle name="표_사전회의(1208)_새벽시장3_최신-SQ인증업체현황1343사(03년평가완료031229수정)_용접업종 평가결과품의(040510)" xfId="32028"/>
    <cellStyle name="표_사전회의(1208)_새벽시장3_최신-SQ인증업체현황1343사(03년평가완료031229수정)_용접업종 평가결과품의(040510)(1)" xfId="32029"/>
    <cellStyle name="표_사전회의(1208)_새벽시장3_최신-SQ인증업체현황1343사(03년평가완료031229수정)_주단조용접업종 평가결과품의(040510)(1)" xfId="32030"/>
    <cellStyle name="표_사전회의(1208)_새벽시장5" xfId="32031"/>
    <cellStyle name="표_사전회의(1208)_새벽시장5_도금 열처리 주단조 평가품의(040329)" xfId="32032"/>
    <cellStyle name="표_사전회의(1208)_새벽시장5_도금 열처리 주단조 평가품의(040329)_도금 열처리 주단조 평가품의(040329)" xfId="32033"/>
    <cellStyle name="표_사전회의(1208)_새벽시장5_도금 열처리 주단조 평가품의(040329)업체" xfId="32034"/>
    <cellStyle name="표_사전회의(1208)_새벽시장5_열처리결과품의(031017)개발" xfId="32035"/>
    <cellStyle name="표_사전회의(1208)_새벽시장5_열처리결과품의(031017)개발_도금 열처리 주단조 평가품의(040329)" xfId="32036"/>
    <cellStyle name="표_사전회의(1208)_새벽시장5_용접업종 평가결과품의(040510)" xfId="32037"/>
    <cellStyle name="표_사전회의(1208)_새벽시장5_용접업종 평가결과품의(040510)_용접업종 평가결과품의(040510)" xfId="32038"/>
    <cellStyle name="표_사전회의(1208)_새벽시장5_용접업종 평가결과품의(040510)_용접업종 평가결과품의(040510)(1)" xfId="32039"/>
    <cellStyle name="표_사전회의(1208)_새벽시장5_용접업종 평가결과품의(040510)_주단조용접업종 평가결과품의(040510)(1)" xfId="32040"/>
    <cellStyle name="표_사전회의(1208)_새벽시장5_주단조 업종 평가결과품의(040407)" xfId="32041"/>
    <cellStyle name="표_사전회의(1208)_새벽시장5_주단조 업종 평가결과품의(040407)_용접업종 평가결과품의(040510)" xfId="32042"/>
    <cellStyle name="표_사전회의(1208)_새벽시장5_주단조 업종 평가결과품의(040407)_용접업종 평가결과품의(040510)(1)" xfId="32043"/>
    <cellStyle name="표_사전회의(1208)_새벽시장5_주단조 업종 평가결과품의(040407)_주단조용접업종 평가결과품의(040510)(1)" xfId="32044"/>
    <cellStyle name="표_사전회의(1208)_새벽시장5_주단조 업종 평가결과품의(040416)(1)" xfId="32045"/>
    <cellStyle name="표_사전회의(1208)_새벽시장5_주단조 업종 평가결과품의(040416)(1)_용접업종 평가결과품의(040510)" xfId="32046"/>
    <cellStyle name="표_사전회의(1208)_새벽시장5_주단조 업종 평가결과품의(040416)(1)_용접업종 평가결과품의(040510)(1)" xfId="32047"/>
    <cellStyle name="표_사전회의(1208)_새벽시장5_주단조 업종 평가결과품의(040416)(1)_주단조용접업종 평가결과품의(040510)(1)" xfId="32048"/>
    <cellStyle name="표_사전회의(1208)_새벽시장5_최신-SQ인증업체현황1343사(03년평가완료031229수정)" xfId="32049"/>
    <cellStyle name="표_사전회의(1208)_새벽시장5_최신-SQ인증업체현황1343사(03년평가완료031229수정)_용접업종 평가결과품의(040510)" xfId="32050"/>
    <cellStyle name="표_사전회의(1208)_새벽시장5_최신-SQ인증업체현황1343사(03년평가완료031229수정)_용접업종 평가결과품의(040510)(1)" xfId="32051"/>
    <cellStyle name="표_사전회의(1208)_새벽시장5_최신-SQ인증업체현황1343사(03년평가완료031229수정)_주단조용접업종 평가결과품의(040510)(1)" xfId="32052"/>
    <cellStyle name="표_사전회의(1208)_새벽시장7" xfId="32053"/>
    <cellStyle name="표_사전회의(1208)_새벽시장7_도금 열처리 주단조 평가품의(040329)" xfId="32054"/>
    <cellStyle name="표_사전회의(1208)_새벽시장7_도금 열처리 주단조 평가품의(040329)_도금 열처리 주단조 평가품의(040329)" xfId="32055"/>
    <cellStyle name="표_사전회의(1208)_새벽시장7_도금 열처리 주단조 평가품의(040329)업체" xfId="32056"/>
    <cellStyle name="표_사전회의(1208)_새벽시장7_열처리결과품의(031017)개발" xfId="32057"/>
    <cellStyle name="표_사전회의(1208)_새벽시장7_열처리결과품의(031017)개발_도금 열처리 주단조 평가품의(040329)" xfId="32058"/>
    <cellStyle name="표_사전회의(1208)_새벽시장7_용접업종 평가결과품의(040510)" xfId="32059"/>
    <cellStyle name="표_사전회의(1208)_새벽시장7_용접업종 평가결과품의(040510)_용접업종 평가결과품의(040510)" xfId="32060"/>
    <cellStyle name="표_사전회의(1208)_새벽시장7_용접업종 평가결과품의(040510)_용접업종 평가결과품의(040510)(1)" xfId="32061"/>
    <cellStyle name="표_사전회의(1208)_새벽시장7_용접업종 평가결과품의(040510)_주단조용접업종 평가결과품의(040510)(1)" xfId="32062"/>
    <cellStyle name="표_사전회의(1208)_새벽시장7_주단조 업종 평가결과품의(040407)" xfId="32063"/>
    <cellStyle name="표_사전회의(1208)_새벽시장7_주단조 업종 평가결과품의(040407)_용접업종 평가결과품의(040510)" xfId="32064"/>
    <cellStyle name="표_사전회의(1208)_새벽시장7_주단조 업종 평가결과품의(040407)_용접업종 평가결과품의(040510)(1)" xfId="32065"/>
    <cellStyle name="표_사전회의(1208)_새벽시장7_주단조 업종 평가결과품의(040407)_주단조용접업종 평가결과품의(040510)(1)" xfId="32066"/>
    <cellStyle name="표_사전회의(1208)_새벽시장7_주단조 업종 평가결과품의(040416)(1)" xfId="32067"/>
    <cellStyle name="표_사전회의(1208)_새벽시장7_주단조 업종 평가결과품의(040416)(1)_용접업종 평가결과품의(040510)" xfId="32068"/>
    <cellStyle name="표_사전회의(1208)_새벽시장7_주단조 업종 평가결과품의(040416)(1)_용접업종 평가결과품의(040510)(1)" xfId="32069"/>
    <cellStyle name="표_사전회의(1208)_새벽시장7_주단조 업종 평가결과품의(040416)(1)_주단조용접업종 평가결과품의(040510)(1)" xfId="32070"/>
    <cellStyle name="표_사전회의(1208)_새벽시장7_최신-SQ인증업체현황1343사(03년평가완료031229수정)" xfId="32071"/>
    <cellStyle name="표_사전회의(1208)_새벽시장7_최신-SQ인증업체현황1343사(03년평가완료031229수정)_용접업종 평가결과품의(040510)" xfId="32072"/>
    <cellStyle name="표_사전회의(1208)_새벽시장7_최신-SQ인증업체현황1343사(03년평가완료031229수정)_용접업종 평가결과품의(040510)(1)" xfId="32073"/>
    <cellStyle name="표_사전회의(1208)_새벽시장7_최신-SQ인증업체현황1343사(03년평가완료031229수정)_주단조용접업종 평가결과품의(040510)(1)" xfId="32074"/>
    <cellStyle name="표_사전회의(1208)_새벽시장8.10xls" xfId="32075"/>
    <cellStyle name="표_사전회의(1208)_새벽시장8.10xls_도금 열처리 주단조 평가품의(040329)" xfId="32076"/>
    <cellStyle name="표_사전회의(1208)_새벽시장8.10xls_도금 열처리 주단조 평가품의(040329)_도금 열처리 주단조 평가품의(040329)" xfId="32077"/>
    <cellStyle name="표_사전회의(1208)_새벽시장8.10xls_도금 열처리 주단조 평가품의(040329)업체" xfId="32078"/>
    <cellStyle name="표_사전회의(1208)_새벽시장8.10xls_열처리결과품의(031017)개발" xfId="32079"/>
    <cellStyle name="표_사전회의(1208)_새벽시장8.10xls_열처리결과품의(031017)개발_도금 열처리 주단조 평가품의(040329)" xfId="32080"/>
    <cellStyle name="표_사전회의(1208)_새벽시장8.10xls_용접업종 평가결과품의(040510)" xfId="32081"/>
    <cellStyle name="표_사전회의(1208)_새벽시장8.10xls_용접업종 평가결과품의(040510)_용접업종 평가결과품의(040510)" xfId="32082"/>
    <cellStyle name="표_사전회의(1208)_새벽시장8.10xls_용접업종 평가결과품의(040510)_용접업종 평가결과품의(040510)(1)" xfId="32083"/>
    <cellStyle name="표_사전회의(1208)_새벽시장8.10xls_용접업종 평가결과품의(040510)_주단조용접업종 평가결과품의(040510)(1)" xfId="32084"/>
    <cellStyle name="표_사전회의(1208)_새벽시장8.10xls_주단조 업종 평가결과품의(040407)" xfId="32085"/>
    <cellStyle name="표_사전회의(1208)_새벽시장8.10xls_주단조 업종 평가결과품의(040407)_용접업종 평가결과품의(040510)" xfId="32086"/>
    <cellStyle name="표_사전회의(1208)_새벽시장8.10xls_주단조 업종 평가결과품의(040407)_용접업종 평가결과품의(040510)(1)" xfId="32087"/>
    <cellStyle name="표_사전회의(1208)_새벽시장8.10xls_주단조 업종 평가결과품의(040407)_주단조용접업종 평가결과품의(040510)(1)" xfId="32088"/>
    <cellStyle name="표_사전회의(1208)_새벽시장8.10xls_주단조 업종 평가결과품의(040416)(1)" xfId="32089"/>
    <cellStyle name="표_사전회의(1208)_새벽시장8.10xls_주단조 업종 평가결과품의(040416)(1)_용접업종 평가결과품의(040510)" xfId="32090"/>
    <cellStyle name="표_사전회의(1208)_새벽시장8.10xls_주단조 업종 평가결과품의(040416)(1)_용접업종 평가결과품의(040510)(1)" xfId="32091"/>
    <cellStyle name="표_사전회의(1208)_새벽시장8.10xls_주단조 업종 평가결과품의(040416)(1)_주단조용접업종 평가결과품의(040510)(1)" xfId="32092"/>
    <cellStyle name="표_사전회의(1208)_새벽시장8.10xls_최신-SQ인증업체현황1343사(03년평가완료031229수정)" xfId="32093"/>
    <cellStyle name="표_사전회의(1208)_새벽시장8.10xls_최신-SQ인증업체현황1343사(03년평가완료031229수정)_용접업종 평가결과품의(040510)" xfId="32094"/>
    <cellStyle name="표_사전회의(1208)_새벽시장8.10xls_최신-SQ인증업체현황1343사(03년평가완료031229수정)_용접업종 평가결과품의(040510)(1)" xfId="32095"/>
    <cellStyle name="표_사전회의(1208)_새벽시장8.10xls_최신-SQ인증업체현황1343사(03년평가완료031229수정)_주단조용접업종 평가결과품의(040510)(1)" xfId="32096"/>
    <cellStyle name="표_사전회의(1208)_새벽시장8.26xls" xfId="32097"/>
    <cellStyle name="표_사전회의(1208)_새벽시장8.26xls_도금 열처리 주단조 평가품의(040329)" xfId="32098"/>
    <cellStyle name="표_사전회의(1208)_새벽시장8.26xls_도금 열처리 주단조 평가품의(040329)_도금 열처리 주단조 평가품의(040329)" xfId="32099"/>
    <cellStyle name="표_사전회의(1208)_새벽시장8.26xls_도금 열처리 주단조 평가품의(040329)업체" xfId="32100"/>
    <cellStyle name="표_사전회의(1208)_새벽시장8.26xls_열처리결과품의(031017)개발" xfId="32101"/>
    <cellStyle name="표_사전회의(1208)_새벽시장8.26xls_열처리결과품의(031017)개발_도금 열처리 주단조 평가품의(040329)" xfId="32102"/>
    <cellStyle name="표_사전회의(1208)_새벽시장8.26xls_용접업종 평가결과품의(040510)" xfId="32103"/>
    <cellStyle name="표_사전회의(1208)_새벽시장8.26xls_용접업종 평가결과품의(040510)_용접업종 평가결과품의(040510)" xfId="32104"/>
    <cellStyle name="표_사전회의(1208)_새벽시장8.26xls_용접업종 평가결과품의(040510)_용접업종 평가결과품의(040510)(1)" xfId="32105"/>
    <cellStyle name="표_사전회의(1208)_새벽시장8.26xls_용접업종 평가결과품의(040510)_주단조용접업종 평가결과품의(040510)(1)" xfId="32106"/>
    <cellStyle name="표_사전회의(1208)_새벽시장8.26xls_주단조 업종 평가결과품의(040407)" xfId="32107"/>
    <cellStyle name="표_사전회의(1208)_새벽시장8.26xls_주단조 업종 평가결과품의(040407)_용접업종 평가결과품의(040510)" xfId="32108"/>
    <cellStyle name="표_사전회의(1208)_새벽시장8.26xls_주단조 업종 평가결과품의(040407)_용접업종 평가결과품의(040510)(1)" xfId="32109"/>
    <cellStyle name="표_사전회의(1208)_새벽시장8.26xls_주단조 업종 평가결과품의(040407)_주단조용접업종 평가결과품의(040510)(1)" xfId="32110"/>
    <cellStyle name="표_사전회의(1208)_새벽시장8.26xls_주단조 업종 평가결과품의(040416)(1)" xfId="32111"/>
    <cellStyle name="표_사전회의(1208)_새벽시장8.26xls_주단조 업종 평가결과품의(040416)(1)_용접업종 평가결과품의(040510)" xfId="32112"/>
    <cellStyle name="표_사전회의(1208)_새벽시장8.26xls_주단조 업종 평가결과품의(040416)(1)_용접업종 평가결과품의(040510)(1)" xfId="32113"/>
    <cellStyle name="표_사전회의(1208)_새벽시장8.26xls_주단조 업종 평가결과품의(040416)(1)_주단조용접업종 평가결과품의(040510)(1)" xfId="32114"/>
    <cellStyle name="표_사전회의(1208)_새벽시장8.26xls_최신-SQ인증업체현황1343사(03년평가완료031229수정)" xfId="32115"/>
    <cellStyle name="표_사전회의(1208)_새벽시장8.26xls_최신-SQ인증업체현황1343사(03년평가완료031229수정)_용접업종 평가결과품의(040510)" xfId="32116"/>
    <cellStyle name="표_사전회의(1208)_새벽시장8.26xls_최신-SQ인증업체현황1343사(03년평가완료031229수정)_용접업종 평가결과품의(040510)(1)" xfId="32117"/>
    <cellStyle name="표_사전회의(1208)_새벽시장8.26xls_최신-SQ인증업체현황1343사(03년평가완료031229수정)_주단조용접업종 평가결과품의(040510)(1)" xfId="32118"/>
    <cellStyle name="표_사전회의(1208)_새벽시장9.16" xfId="32119"/>
    <cellStyle name="표_사전회의(1208)_새벽시장9.16_도금 열처리 주단조 평가품의(040329)" xfId="32120"/>
    <cellStyle name="표_사전회의(1208)_새벽시장9.16_도금 열처리 주단조 평가품의(040329)_도금 열처리 주단조 평가품의(040329)" xfId="32121"/>
    <cellStyle name="표_사전회의(1208)_새벽시장9.16_도금 열처리 주단조 평가품의(040329)업체" xfId="32122"/>
    <cellStyle name="표_사전회의(1208)_새벽시장9.16_열처리결과품의(031017)개발" xfId="32123"/>
    <cellStyle name="표_사전회의(1208)_새벽시장9.16_열처리결과품의(031017)개발_도금 열처리 주단조 평가품의(040329)" xfId="32124"/>
    <cellStyle name="표_사전회의(1208)_새벽시장9.16_용접업종 평가결과품의(040510)" xfId="32125"/>
    <cellStyle name="표_사전회의(1208)_새벽시장9.16_용접업종 평가결과품의(040510)_용접업종 평가결과품의(040510)" xfId="32126"/>
    <cellStyle name="표_사전회의(1208)_새벽시장9.16_용접업종 평가결과품의(040510)_용접업종 평가결과품의(040510)(1)" xfId="32127"/>
    <cellStyle name="표_사전회의(1208)_새벽시장9.16_용접업종 평가결과품의(040510)_주단조용접업종 평가결과품의(040510)(1)" xfId="32128"/>
    <cellStyle name="표_사전회의(1208)_새벽시장9.16_주단조 업종 평가결과품의(040407)" xfId="32129"/>
    <cellStyle name="표_사전회의(1208)_새벽시장9.16_주단조 업종 평가결과품의(040407)_용접업종 평가결과품의(040510)" xfId="32130"/>
    <cellStyle name="표_사전회의(1208)_새벽시장9.16_주단조 업종 평가결과품의(040407)_용접업종 평가결과품의(040510)(1)" xfId="32131"/>
    <cellStyle name="표_사전회의(1208)_새벽시장9.16_주단조 업종 평가결과품의(040407)_주단조용접업종 평가결과품의(040510)(1)" xfId="32132"/>
    <cellStyle name="표_사전회의(1208)_새벽시장9.16_주단조 업종 평가결과품의(040416)(1)" xfId="32133"/>
    <cellStyle name="표_사전회의(1208)_새벽시장9.16_주단조 업종 평가결과품의(040416)(1)_용접업종 평가결과품의(040510)" xfId="32134"/>
    <cellStyle name="표_사전회의(1208)_새벽시장9.16_주단조 업종 평가결과품의(040416)(1)_용접업종 평가결과품의(040510)(1)" xfId="32135"/>
    <cellStyle name="표_사전회의(1208)_새벽시장9.16_주단조 업종 평가결과품의(040416)(1)_주단조용접업종 평가결과품의(040510)(1)" xfId="32136"/>
    <cellStyle name="표_사전회의(1208)_새벽시장9.16_최신-SQ인증업체현황1343사(03년평가완료031229수정)" xfId="32137"/>
    <cellStyle name="표_사전회의(1208)_새벽시장9.16_최신-SQ인증업체현황1343사(03년평가완료031229수정)_용접업종 평가결과품의(040510)" xfId="32138"/>
    <cellStyle name="표_사전회의(1208)_새벽시장9.16_최신-SQ인증업체현황1343사(03년평가완료031229수정)_용접업종 평가결과품의(040510)(1)" xfId="32139"/>
    <cellStyle name="표_사전회의(1208)_새벽시장9.16_최신-SQ인증업체현황1343사(03년평가완료031229수정)_주단조용접업종 평가결과품의(040510)(1)" xfId="32140"/>
    <cellStyle name="표_사전회의(1208)_열처리결과품의(031017)개발" xfId="32141"/>
    <cellStyle name="표_사전회의(1208)_열처리결과품의(031017)개발_도금 열처리 주단조 평가품의(040329)" xfId="32142"/>
    <cellStyle name="표_사전회의(1208)_용접업종 평가결과품의(040510)" xfId="32143"/>
    <cellStyle name="표_사전회의(1208)_용접업종 평가결과품의(040510)_용접업종 평가결과품의(040510)" xfId="32144"/>
    <cellStyle name="표_사전회의(1208)_용접업종 평가결과품의(040510)_용접업종 평가결과품의(040510)(1)" xfId="32145"/>
    <cellStyle name="표_사전회의(1208)_용접업종 평가결과품의(040510)_주단조용접업종 평가결과품의(040510)(1)" xfId="32146"/>
    <cellStyle name="표_사전회의(1208)_주단조 업종 평가결과품의(040407)" xfId="32147"/>
    <cellStyle name="표_사전회의(1208)_주단조 업종 평가결과품의(040407)_용접업종 평가결과품의(040510)" xfId="32148"/>
    <cellStyle name="표_사전회의(1208)_주단조 업종 평가결과품의(040407)_용접업종 평가결과품의(040510)(1)" xfId="32149"/>
    <cellStyle name="표_사전회의(1208)_주단조 업종 평가결과품의(040407)_주단조용접업종 평가결과품의(040510)(1)" xfId="32150"/>
    <cellStyle name="표_사전회의(1208)_주단조 업종 평가결과품의(040416)(1)" xfId="32151"/>
    <cellStyle name="표_사전회의(1208)_주단조 업종 평가결과품의(040416)(1)_용접업종 평가결과품의(040510)" xfId="32152"/>
    <cellStyle name="표_사전회의(1208)_주단조 업종 평가결과품의(040416)(1)_용접업종 평가결과품의(040510)(1)" xfId="32153"/>
    <cellStyle name="표_사전회의(1208)_주단조 업종 평가결과품의(040416)(1)_주단조용접업종 평가결과품의(040510)(1)" xfId="32154"/>
    <cellStyle name="표_사전회의(1208)_최신-SQ인증업체현황1343사(03년평가완료031229수정)" xfId="32155"/>
    <cellStyle name="표_사전회의(1208)_최신-SQ인증업체현황1343사(03년평가완료031229수정)_용접업종 평가결과품의(040510)" xfId="32156"/>
    <cellStyle name="표_사전회의(1208)_최신-SQ인증업체현황1343사(03년평가완료031229수정)_용접업종 평가결과품의(040510)(1)" xfId="32157"/>
    <cellStyle name="표_사전회의(1208)_최신-SQ인증업체현황1343사(03년평가완료031229수정)_주단조용접업종 평가결과품의(040510)(1)" xfId="32158"/>
    <cellStyle name="표_새벽시장1" xfId="32159"/>
    <cellStyle name="표_새벽시장1_도금 열처리 주단조 평가품의(040329)" xfId="32160"/>
    <cellStyle name="표_새벽시장1_도금 열처리 주단조 평가품의(040329)_도금 열처리 주단조 평가품의(040329)" xfId="32161"/>
    <cellStyle name="표_새벽시장1_도금 열처리 주단조 평가품의(040329)업체" xfId="32162"/>
    <cellStyle name="표_새벽시장1_열처리결과품의(031017)개발" xfId="32163"/>
    <cellStyle name="표_새벽시장1_열처리결과품의(031017)개발_도금 열처리 주단조 평가품의(040329)" xfId="32164"/>
    <cellStyle name="표_새벽시장1_용접업종 평가결과품의(040510)" xfId="32165"/>
    <cellStyle name="표_새벽시장1_용접업종 평가결과품의(040510)_용접업종 평가결과품의(040510)" xfId="32166"/>
    <cellStyle name="표_새벽시장1_용접업종 평가결과품의(040510)_용접업종 평가결과품의(040510)(1)" xfId="32167"/>
    <cellStyle name="표_새벽시장1_용접업종 평가결과품의(040510)_주단조용접업종 평가결과품의(040510)(1)" xfId="32168"/>
    <cellStyle name="표_새벽시장1_주단조 업종 평가결과품의(040407)" xfId="32169"/>
    <cellStyle name="표_새벽시장1_주단조 업종 평가결과품의(040407)_용접업종 평가결과품의(040510)" xfId="32170"/>
    <cellStyle name="표_새벽시장1_주단조 업종 평가결과품의(040407)_용접업종 평가결과품의(040510)(1)" xfId="32171"/>
    <cellStyle name="표_새벽시장1_주단조 업종 평가결과품의(040407)_주단조용접업종 평가결과품의(040510)(1)" xfId="32172"/>
    <cellStyle name="표_새벽시장1_주단조 업종 평가결과품의(040416)(1)" xfId="32173"/>
    <cellStyle name="표_새벽시장1_주단조 업종 평가결과품의(040416)(1)_용접업종 평가결과품의(040510)" xfId="32174"/>
    <cellStyle name="표_새벽시장1_주단조 업종 평가결과품의(040416)(1)_용접업종 평가결과품의(040510)(1)" xfId="32175"/>
    <cellStyle name="표_새벽시장1_주단조 업종 평가결과품의(040416)(1)_주단조용접업종 평가결과품의(040510)(1)" xfId="32176"/>
    <cellStyle name="표_새벽시장1_최신-SQ인증업체현황1343사(03년평가완료031229수정)" xfId="32177"/>
    <cellStyle name="표_새벽시장1_최신-SQ인증업체현황1343사(03년평가완료031229수정)_용접업종 평가결과품의(040510)" xfId="32178"/>
    <cellStyle name="표_새벽시장1_최신-SQ인증업체현황1343사(03년평가완료031229수정)_용접업종 평가결과품의(040510)(1)" xfId="32179"/>
    <cellStyle name="표_새벽시장1_최신-SQ인증업체현황1343사(03년평가완료031229수정)_주단조용접업종 평가결과품의(040510)(1)" xfId="32180"/>
    <cellStyle name="표_새벽시장3" xfId="32181"/>
    <cellStyle name="표_새벽시장3_도금 열처리 주단조 평가품의(040329)" xfId="32182"/>
    <cellStyle name="표_새벽시장3_도금 열처리 주단조 평가품의(040329)_도금 열처리 주단조 평가품의(040329)" xfId="32183"/>
    <cellStyle name="표_새벽시장3_도금 열처리 주단조 평가품의(040329)업체" xfId="32184"/>
    <cellStyle name="표_새벽시장3_열처리결과품의(031017)개발" xfId="32185"/>
    <cellStyle name="표_새벽시장3_열처리결과품의(031017)개발_도금 열처리 주단조 평가품의(040329)" xfId="32186"/>
    <cellStyle name="표_새벽시장3_용접업종 평가결과품의(040510)" xfId="32187"/>
    <cellStyle name="표_새벽시장3_용접업종 평가결과품의(040510)_용접업종 평가결과품의(040510)" xfId="32188"/>
    <cellStyle name="표_새벽시장3_용접업종 평가결과품의(040510)_용접업종 평가결과품의(040510)(1)" xfId="32189"/>
    <cellStyle name="표_새벽시장3_용접업종 평가결과품의(040510)_주단조용접업종 평가결과품의(040510)(1)" xfId="32190"/>
    <cellStyle name="표_새벽시장3_주단조 업종 평가결과품의(040407)" xfId="32191"/>
    <cellStyle name="표_새벽시장3_주단조 업종 평가결과품의(040407)_용접업종 평가결과품의(040510)" xfId="32192"/>
    <cellStyle name="표_새벽시장3_주단조 업종 평가결과품의(040407)_용접업종 평가결과품의(040510)(1)" xfId="32193"/>
    <cellStyle name="표_새벽시장3_주단조 업종 평가결과품의(040407)_주단조용접업종 평가결과품의(040510)(1)" xfId="32194"/>
    <cellStyle name="표_새벽시장3_주단조 업종 평가결과품의(040416)(1)" xfId="32195"/>
    <cellStyle name="표_새벽시장3_주단조 업종 평가결과품의(040416)(1)_용접업종 평가결과품의(040510)" xfId="32196"/>
    <cellStyle name="표_새벽시장3_주단조 업종 평가결과품의(040416)(1)_용접업종 평가결과품의(040510)(1)" xfId="32197"/>
    <cellStyle name="표_새벽시장3_주단조 업종 평가결과품의(040416)(1)_주단조용접업종 평가결과품의(040510)(1)" xfId="32198"/>
    <cellStyle name="표_새벽시장3_최신-SQ인증업체현황1343사(03년평가완료031229수정)" xfId="32199"/>
    <cellStyle name="표_새벽시장3_최신-SQ인증업체현황1343사(03년평가완료031229수정)_용접업종 평가결과품의(040510)" xfId="32200"/>
    <cellStyle name="표_새벽시장3_최신-SQ인증업체현황1343사(03년평가완료031229수정)_용접업종 평가결과품의(040510)(1)" xfId="32201"/>
    <cellStyle name="표_새벽시장3_최신-SQ인증업체현황1343사(03년평가완료031229수정)_주단조용접업종 평가결과품의(040510)(1)" xfId="32202"/>
    <cellStyle name="표_새벽시장5" xfId="32203"/>
    <cellStyle name="표_새벽시장5_도금 열처리 주단조 평가품의(040329)" xfId="32204"/>
    <cellStyle name="표_새벽시장5_도금 열처리 주단조 평가품의(040329)_도금 열처리 주단조 평가품의(040329)" xfId="32205"/>
    <cellStyle name="표_새벽시장5_도금 열처리 주단조 평가품의(040329)업체" xfId="32206"/>
    <cellStyle name="표_새벽시장5_열처리결과품의(031017)개발" xfId="32207"/>
    <cellStyle name="표_새벽시장5_열처리결과품의(031017)개발_도금 열처리 주단조 평가품의(040329)" xfId="32208"/>
    <cellStyle name="표_새벽시장5_용접업종 평가결과품의(040510)" xfId="32209"/>
    <cellStyle name="표_새벽시장5_용접업종 평가결과품의(040510)_용접업종 평가결과품의(040510)" xfId="32210"/>
    <cellStyle name="표_새벽시장5_용접업종 평가결과품의(040510)_용접업종 평가결과품의(040510)(1)" xfId="32211"/>
    <cellStyle name="표_새벽시장5_용접업종 평가결과품의(040510)_주단조용접업종 평가결과품의(040510)(1)" xfId="32212"/>
    <cellStyle name="표_새벽시장5_주단조 업종 평가결과품의(040407)" xfId="32213"/>
    <cellStyle name="표_새벽시장5_주단조 업종 평가결과품의(040407)_용접업종 평가결과품의(040510)" xfId="32214"/>
    <cellStyle name="표_새벽시장5_주단조 업종 평가결과품의(040407)_용접업종 평가결과품의(040510)(1)" xfId="32215"/>
    <cellStyle name="표_새벽시장5_주단조 업종 평가결과품의(040407)_주단조용접업종 평가결과품의(040510)(1)" xfId="32216"/>
    <cellStyle name="표_새벽시장5_주단조 업종 평가결과품의(040416)(1)" xfId="32217"/>
    <cellStyle name="표_새벽시장5_주단조 업종 평가결과품의(040416)(1)_용접업종 평가결과품의(040510)" xfId="32218"/>
    <cellStyle name="표_새벽시장5_주단조 업종 평가결과품의(040416)(1)_용접업종 평가결과품의(040510)(1)" xfId="32219"/>
    <cellStyle name="표_새벽시장5_주단조 업종 평가결과품의(040416)(1)_주단조용접업종 평가결과품의(040510)(1)" xfId="32220"/>
    <cellStyle name="표_새벽시장5_최신-SQ인증업체현황1343사(03년평가완료031229수정)" xfId="32221"/>
    <cellStyle name="표_새벽시장5_최신-SQ인증업체현황1343사(03년평가완료031229수정)_용접업종 평가결과품의(040510)" xfId="32222"/>
    <cellStyle name="표_새벽시장5_최신-SQ인증업체현황1343사(03년평가완료031229수정)_용접업종 평가결과품의(040510)(1)" xfId="32223"/>
    <cellStyle name="표_새벽시장5_최신-SQ인증업체현황1343사(03년평가완료031229수정)_주단조용접업종 평가결과품의(040510)(1)" xfId="32224"/>
    <cellStyle name="표_새벽시장7" xfId="32225"/>
    <cellStyle name="표_새벽시장7_도금 열처리 주단조 평가품의(040329)" xfId="32226"/>
    <cellStyle name="표_새벽시장7_도금 열처리 주단조 평가품의(040329)_도금 열처리 주단조 평가품의(040329)" xfId="32227"/>
    <cellStyle name="표_새벽시장7_도금 열처리 주단조 평가품의(040329)업체" xfId="32228"/>
    <cellStyle name="표_새벽시장7_열처리결과품의(031017)개발" xfId="32229"/>
    <cellStyle name="표_새벽시장7_열처리결과품의(031017)개발_도금 열처리 주단조 평가품의(040329)" xfId="32230"/>
    <cellStyle name="표_새벽시장7_용접업종 평가결과품의(040510)" xfId="32231"/>
    <cellStyle name="표_새벽시장7_용접업종 평가결과품의(040510)_용접업종 평가결과품의(040510)" xfId="32232"/>
    <cellStyle name="표_새벽시장7_용접업종 평가결과품의(040510)_용접업종 평가결과품의(040510)(1)" xfId="32233"/>
    <cellStyle name="표_새벽시장7_용접업종 평가결과품의(040510)_주단조용접업종 평가결과품의(040510)(1)" xfId="32234"/>
    <cellStyle name="표_새벽시장7_주단조 업종 평가결과품의(040407)" xfId="32235"/>
    <cellStyle name="표_새벽시장7_주단조 업종 평가결과품의(040407)_용접업종 평가결과품의(040510)" xfId="32236"/>
    <cellStyle name="표_새벽시장7_주단조 업종 평가결과품의(040407)_용접업종 평가결과품의(040510)(1)" xfId="32237"/>
    <cellStyle name="표_새벽시장7_주단조 업종 평가결과품의(040407)_주단조용접업종 평가결과품의(040510)(1)" xfId="32238"/>
    <cellStyle name="표_새벽시장7_주단조 업종 평가결과품의(040416)(1)" xfId="32239"/>
    <cellStyle name="표_새벽시장7_주단조 업종 평가결과품의(040416)(1)_용접업종 평가결과품의(040510)" xfId="32240"/>
    <cellStyle name="표_새벽시장7_주단조 업종 평가결과품의(040416)(1)_용접업종 평가결과품의(040510)(1)" xfId="32241"/>
    <cellStyle name="표_새벽시장7_주단조 업종 평가결과품의(040416)(1)_주단조용접업종 평가결과품의(040510)(1)" xfId="32242"/>
    <cellStyle name="표_새벽시장7_최신-SQ인증업체현황1343사(03년평가완료031229수정)" xfId="32243"/>
    <cellStyle name="표_새벽시장7_최신-SQ인증업체현황1343사(03년평가완료031229수정)_용접업종 평가결과품의(040510)" xfId="32244"/>
    <cellStyle name="표_새벽시장7_최신-SQ인증업체현황1343사(03년평가완료031229수정)_용접업종 평가결과품의(040510)(1)" xfId="32245"/>
    <cellStyle name="표_새벽시장7_최신-SQ인증업체현황1343사(03년평가완료031229수정)_주단조용접업종 평가결과품의(040510)(1)" xfId="32246"/>
    <cellStyle name="표_새벽시장8.10xls" xfId="32247"/>
    <cellStyle name="표_새벽시장8.10xls_도금 열처리 주단조 평가품의(040329)" xfId="32248"/>
    <cellStyle name="표_새벽시장8.10xls_도금 열처리 주단조 평가품의(040329)_도금 열처리 주단조 평가품의(040329)" xfId="32249"/>
    <cellStyle name="표_새벽시장8.10xls_도금 열처리 주단조 평가품의(040329)업체" xfId="32250"/>
    <cellStyle name="표_새벽시장8.10xls_열처리결과품의(031017)개발" xfId="32251"/>
    <cellStyle name="표_새벽시장8.10xls_열처리결과품의(031017)개발_도금 열처리 주단조 평가품의(040329)" xfId="32252"/>
    <cellStyle name="표_새벽시장8.10xls_용접업종 평가결과품의(040510)" xfId="32253"/>
    <cellStyle name="표_새벽시장8.10xls_용접업종 평가결과품의(040510)_용접업종 평가결과품의(040510)" xfId="32254"/>
    <cellStyle name="표_새벽시장8.10xls_용접업종 평가결과품의(040510)_용접업종 평가결과품의(040510)(1)" xfId="32255"/>
    <cellStyle name="표_새벽시장8.10xls_용접업종 평가결과품의(040510)_주단조용접업종 평가결과품의(040510)(1)" xfId="32256"/>
    <cellStyle name="표_새벽시장8.10xls_주단조 업종 평가결과품의(040407)" xfId="32257"/>
    <cellStyle name="표_새벽시장8.10xls_주단조 업종 평가결과품의(040407)_용접업종 평가결과품의(040510)" xfId="32258"/>
    <cellStyle name="표_새벽시장8.10xls_주단조 업종 평가결과품의(040407)_용접업종 평가결과품의(040510)(1)" xfId="32259"/>
    <cellStyle name="표_새벽시장8.10xls_주단조 업종 평가결과품의(040407)_주단조용접업종 평가결과품의(040510)(1)" xfId="32260"/>
    <cellStyle name="표_새벽시장8.10xls_주단조 업종 평가결과품의(040416)(1)" xfId="32261"/>
    <cellStyle name="표_새벽시장8.10xls_주단조 업종 평가결과품의(040416)(1)_용접업종 평가결과품의(040510)" xfId="32262"/>
    <cellStyle name="표_새벽시장8.10xls_주단조 업종 평가결과품의(040416)(1)_용접업종 평가결과품의(040510)(1)" xfId="32263"/>
    <cellStyle name="표_새벽시장8.10xls_주단조 업종 평가결과품의(040416)(1)_주단조용접업종 평가결과품의(040510)(1)" xfId="32264"/>
    <cellStyle name="표_새벽시장8.10xls_최신-SQ인증업체현황1343사(03년평가완료031229수정)" xfId="32265"/>
    <cellStyle name="표_새벽시장8.10xls_최신-SQ인증업체현황1343사(03년평가완료031229수정)_용접업종 평가결과품의(040510)" xfId="32266"/>
    <cellStyle name="표_새벽시장8.10xls_최신-SQ인증업체현황1343사(03년평가완료031229수정)_용접업종 평가결과품의(040510)(1)" xfId="32267"/>
    <cellStyle name="표_새벽시장8.10xls_최신-SQ인증업체현황1343사(03년평가완료031229수정)_주단조용접업종 평가결과품의(040510)(1)" xfId="32268"/>
    <cellStyle name="표_새벽시장8.26xls" xfId="32269"/>
    <cellStyle name="표_새벽시장8.26xls_도금 열처리 주단조 평가품의(040329)" xfId="32270"/>
    <cellStyle name="표_새벽시장8.26xls_도금 열처리 주단조 평가품의(040329)_도금 열처리 주단조 평가품의(040329)" xfId="32271"/>
    <cellStyle name="표_새벽시장8.26xls_도금 열처리 주단조 평가품의(040329)업체" xfId="32272"/>
    <cellStyle name="표_새벽시장8.26xls_열처리결과품의(031017)개발" xfId="32273"/>
    <cellStyle name="표_새벽시장8.26xls_열처리결과품의(031017)개발_도금 열처리 주단조 평가품의(040329)" xfId="32274"/>
    <cellStyle name="표_새벽시장8.26xls_용접업종 평가결과품의(040510)" xfId="32275"/>
    <cellStyle name="표_새벽시장8.26xls_용접업종 평가결과품의(040510)_용접업종 평가결과품의(040510)" xfId="32276"/>
    <cellStyle name="표_새벽시장8.26xls_용접업종 평가결과품의(040510)_용접업종 평가결과품의(040510)(1)" xfId="32277"/>
    <cellStyle name="표_새벽시장8.26xls_용접업종 평가결과품의(040510)_주단조용접업종 평가결과품의(040510)(1)" xfId="32278"/>
    <cellStyle name="표_새벽시장8.26xls_주단조 업종 평가결과품의(040407)" xfId="32279"/>
    <cellStyle name="표_새벽시장8.26xls_주단조 업종 평가결과품의(040407)_용접업종 평가결과품의(040510)" xfId="32280"/>
    <cellStyle name="표_새벽시장8.26xls_주단조 업종 평가결과품의(040407)_용접업종 평가결과품의(040510)(1)" xfId="32281"/>
    <cellStyle name="표_새벽시장8.26xls_주단조 업종 평가결과품의(040407)_주단조용접업종 평가결과품의(040510)(1)" xfId="32282"/>
    <cellStyle name="표_새벽시장8.26xls_주단조 업종 평가결과품의(040416)(1)" xfId="32283"/>
    <cellStyle name="표_새벽시장8.26xls_주단조 업종 평가결과품의(040416)(1)_용접업종 평가결과품의(040510)" xfId="32284"/>
    <cellStyle name="표_새벽시장8.26xls_주단조 업종 평가결과품의(040416)(1)_용접업종 평가결과품의(040510)(1)" xfId="32285"/>
    <cellStyle name="표_새벽시장8.26xls_주단조 업종 평가결과품의(040416)(1)_주단조용접업종 평가결과품의(040510)(1)" xfId="32286"/>
    <cellStyle name="표_새벽시장8.26xls_최신-SQ인증업체현황1343사(03년평가완료031229수정)" xfId="32287"/>
    <cellStyle name="표_새벽시장8.26xls_최신-SQ인증업체현황1343사(03년평가완료031229수정)_용접업종 평가결과품의(040510)" xfId="32288"/>
    <cellStyle name="표_새벽시장8.26xls_최신-SQ인증업체현황1343사(03년평가완료031229수정)_용접업종 평가결과품의(040510)(1)" xfId="32289"/>
    <cellStyle name="표_새벽시장8.26xls_최신-SQ인증업체현황1343사(03년평가완료031229수정)_주단조용접업종 평가결과품의(040510)(1)" xfId="32290"/>
    <cellStyle name="표_새벽시장9.16" xfId="32291"/>
    <cellStyle name="표_새벽시장9.16_도금 열처리 주단조 평가품의(040329)" xfId="32292"/>
    <cellStyle name="표_새벽시장9.16_도금 열처리 주단조 평가품의(040329)_도금 열처리 주단조 평가품의(040329)" xfId="32293"/>
    <cellStyle name="표_새벽시장9.16_도금 열처리 주단조 평가품의(040329)업체" xfId="32294"/>
    <cellStyle name="표_새벽시장9.16_열처리결과품의(031017)개발" xfId="32295"/>
    <cellStyle name="표_새벽시장9.16_열처리결과품의(031017)개발_도금 열처리 주단조 평가품의(040329)" xfId="32296"/>
    <cellStyle name="표_새벽시장9.16_용접업종 평가결과품의(040510)" xfId="32297"/>
    <cellStyle name="표_새벽시장9.16_용접업종 평가결과품의(040510)_용접업종 평가결과품의(040510)" xfId="32298"/>
    <cellStyle name="표_새벽시장9.16_용접업종 평가결과품의(040510)_용접업종 평가결과품의(040510)(1)" xfId="32299"/>
    <cellStyle name="표_새벽시장9.16_용접업종 평가결과품의(040510)_주단조용접업종 평가결과품의(040510)(1)" xfId="32300"/>
    <cellStyle name="표_새벽시장9.16_주단조 업종 평가결과품의(040407)" xfId="32301"/>
    <cellStyle name="표_새벽시장9.16_주단조 업종 평가결과품의(040407)_용접업종 평가결과품의(040510)" xfId="32302"/>
    <cellStyle name="표_새벽시장9.16_주단조 업종 평가결과품의(040407)_용접업종 평가결과품의(040510)(1)" xfId="32303"/>
    <cellStyle name="표_새벽시장9.16_주단조 업종 평가결과품의(040407)_주단조용접업종 평가결과품의(040510)(1)" xfId="32304"/>
    <cellStyle name="표_새벽시장9.16_주단조 업종 평가결과품의(040416)(1)" xfId="32305"/>
    <cellStyle name="표_새벽시장9.16_주단조 업종 평가결과품의(040416)(1)_용접업종 평가결과품의(040510)" xfId="32306"/>
    <cellStyle name="표_새벽시장9.16_주단조 업종 평가결과품의(040416)(1)_용접업종 평가결과품의(040510)(1)" xfId="32307"/>
    <cellStyle name="표_새벽시장9.16_주단조 업종 평가결과품의(040416)(1)_주단조용접업종 평가결과품의(040510)(1)" xfId="32308"/>
    <cellStyle name="표_새벽시장9.16_최신-SQ인증업체현황1343사(03년평가완료031229수정)" xfId="32309"/>
    <cellStyle name="표_새벽시장9.16_최신-SQ인증업체현황1343사(03년평가완료031229수정)_용접업종 평가결과품의(040510)" xfId="32310"/>
    <cellStyle name="표_새벽시장9.16_최신-SQ인증업체현황1343사(03년평가완료031229수정)_용접업종 평가결과품의(040510)(1)" xfId="32311"/>
    <cellStyle name="표_새벽시장9.16_최신-SQ인증업체현황1343사(03년평가완료031229수정)_주단조용접업종 평가결과품의(040510)(1)" xfId="32312"/>
    <cellStyle name="표_열처리결과품의(031017)개발" xfId="32313"/>
    <cellStyle name="표_열처리결과품의(031017)개발_도금 열처리 주단조 평가품의(040329)" xfId="32314"/>
    <cellStyle name="표_용접업종 평가결과품의(040510)" xfId="32315"/>
    <cellStyle name="표_용접업종 평가결과품의(040510)_용접업종 평가결과품의(040510)" xfId="32316"/>
    <cellStyle name="표_용접업종 평가결과품의(040510)_용접업종 평가결과품의(040510)(1)" xfId="32317"/>
    <cellStyle name="표_용접업종 평가결과품의(040510)_주단조용접업종 평가결과품의(040510)(1)" xfId="32318"/>
    <cellStyle name="표_주단조 업종 평가결과품의(040407)" xfId="32319"/>
    <cellStyle name="표_주단조 업종 평가결과품의(040407)_용접업종 평가결과품의(040510)" xfId="32320"/>
    <cellStyle name="표_주단조 업종 평가결과품의(040407)_용접업종 평가결과품의(040510)(1)" xfId="32321"/>
    <cellStyle name="표_주단조 업종 평가결과품의(040407)_주단조용접업종 평가결과품의(040510)(1)" xfId="32322"/>
    <cellStyle name="표_주단조 업종 평가결과품의(040416)(1)" xfId="32323"/>
    <cellStyle name="표_주단조 업종 평가결과품의(040416)(1)_용접업종 평가결과품의(040510)" xfId="32324"/>
    <cellStyle name="표_주단조 업종 평가결과품의(040416)(1)_용접업종 평가결과품의(040510)(1)" xfId="32325"/>
    <cellStyle name="표_주단조 업종 평가결과품의(040416)(1)_주단조용접업종 평가결과품의(040510)(1)" xfId="32326"/>
    <cellStyle name="표_최신-SQ인증업체현황1343사(03년평가완료031229수정)" xfId="32327"/>
    <cellStyle name="표_최신-SQ인증업체현황1343사(03년평가완료031229수정)_용접업종 평가결과품의(040510)" xfId="32328"/>
    <cellStyle name="표_최신-SQ인증업체현황1343사(03년평가완료031229수정)_용접업종 평가결과품의(040510)(1)" xfId="32329"/>
    <cellStyle name="표_최신-SQ인증업체현황1343사(03년평가완료031229수정)_주단조용접업종 평가결과품의(040510)(1)" xfId="32330"/>
    <cellStyle name="표_출장계획서" xfId="32331"/>
    <cellStyle name="표_출장계획서_ROTATION 유동" xfId="32332"/>
    <cellStyle name="표_출장계획서_ROTATION 유동_도금 열처리 주단조 평가품의(040329)" xfId="32333"/>
    <cellStyle name="표_출장계획서_ROTATION 유동_도금 열처리 주단조 평가품의(040329)_도금 열처리 주단조 평가품의(040329)" xfId="32334"/>
    <cellStyle name="표_출장계획서_ROTATION 유동_도금 열처리 주단조 평가품의(040329)업체" xfId="32335"/>
    <cellStyle name="표_출장계획서_ROTATION 유동_열처리결과품의(031017)개발" xfId="32336"/>
    <cellStyle name="표_출장계획서_ROTATION 유동_열처리결과품의(031017)개발_도금 열처리 주단조 평가품의(040329)" xfId="32337"/>
    <cellStyle name="표_출장계획서_ROTATION 유동_용접업종 평가결과품의(040510)" xfId="32338"/>
    <cellStyle name="표_출장계획서_ROTATION 유동_용접업종 평가결과품의(040510)_용접업종 평가결과품의(040510)" xfId="32339"/>
    <cellStyle name="표_출장계획서_ROTATION 유동_용접업종 평가결과품의(040510)_용접업종 평가결과품의(040510)(1)" xfId="32340"/>
    <cellStyle name="표_출장계획서_ROTATION 유동_용접업종 평가결과품의(040510)_주단조용접업종 평가결과품의(040510)(1)" xfId="32341"/>
    <cellStyle name="표_출장계획서_ROTATION 유동_주단조 업종 평가결과품의(040407)" xfId="32342"/>
    <cellStyle name="표_출장계획서_ROTATION 유동_주단조 업종 평가결과품의(040407)_용접업종 평가결과품의(040510)" xfId="32343"/>
    <cellStyle name="표_출장계획서_ROTATION 유동_주단조 업종 평가결과품의(040407)_용접업종 평가결과품의(040510)(1)" xfId="32344"/>
    <cellStyle name="표_출장계획서_ROTATION 유동_주단조 업종 평가결과품의(040407)_주단조용접업종 평가결과품의(040510)(1)" xfId="32345"/>
    <cellStyle name="표_출장계획서_ROTATION 유동_주단조 업종 평가결과품의(040416)(1)" xfId="32346"/>
    <cellStyle name="표_출장계획서_ROTATION 유동_주단조 업종 평가결과품의(040416)(1)_용접업종 평가결과품의(040510)" xfId="32347"/>
    <cellStyle name="표_출장계획서_ROTATION 유동_주단조 업종 평가결과품의(040416)(1)_용접업종 평가결과품의(040510)(1)" xfId="32348"/>
    <cellStyle name="표_출장계획서_ROTATION 유동_주단조 업종 평가결과품의(040416)(1)_주단조용접업종 평가결과품의(040510)(1)" xfId="32349"/>
    <cellStyle name="표_출장계획서_ROTATION 유동_최신-SQ인증업체현황1343사(03년평가완료031229수정)" xfId="32350"/>
    <cellStyle name="표_출장계획서_ROTATION 유동_최신-SQ인증업체현황1343사(03년평가완료031229수정)_용접업종 평가결과품의(040510)" xfId="32351"/>
    <cellStyle name="표_출장계획서_ROTATION 유동_최신-SQ인증업체현황1343사(03년평가완료031229수정)_용접업종 평가결과품의(040510)(1)" xfId="32352"/>
    <cellStyle name="표_출장계획서_ROTATION 유동_최신-SQ인증업체현황1343사(03년평가완료031229수정)_주단조용접업종 평가결과품의(040510)(1)" xfId="32353"/>
    <cellStyle name="표_출장계획서_SLIDE 폭" xfId="32354"/>
    <cellStyle name="표_출장계획서_SLIDE 폭_도금 열처리 주단조 평가품의(040329)" xfId="32355"/>
    <cellStyle name="표_출장계획서_SLIDE 폭_도금 열처리 주단조 평가품의(040329)_도금 열처리 주단조 평가품의(040329)" xfId="32356"/>
    <cellStyle name="표_출장계획서_SLIDE 폭_도금 열처리 주단조 평가품의(040329)업체" xfId="32357"/>
    <cellStyle name="표_출장계획서_SLIDE 폭_열처리결과품의(031017)개발" xfId="32358"/>
    <cellStyle name="표_출장계획서_SLIDE 폭_열처리결과품의(031017)개발_도금 열처리 주단조 평가품의(040329)" xfId="32359"/>
    <cellStyle name="표_출장계획서_SLIDE 폭_용접업종 평가결과품의(040510)" xfId="32360"/>
    <cellStyle name="표_출장계획서_SLIDE 폭_용접업종 평가결과품의(040510)_용접업종 평가결과품의(040510)" xfId="32361"/>
    <cellStyle name="표_출장계획서_SLIDE 폭_용접업종 평가결과품의(040510)_용접업종 평가결과품의(040510)(1)" xfId="32362"/>
    <cellStyle name="표_출장계획서_SLIDE 폭_용접업종 평가결과품의(040510)_주단조용접업종 평가결과품의(040510)(1)" xfId="32363"/>
    <cellStyle name="표_출장계획서_SLIDE 폭_주단조 업종 평가결과품의(040407)" xfId="32364"/>
    <cellStyle name="표_출장계획서_SLIDE 폭_주단조 업종 평가결과품의(040407)_용접업종 평가결과품의(040510)" xfId="32365"/>
    <cellStyle name="표_출장계획서_SLIDE 폭_주단조 업종 평가결과품의(040407)_용접업종 평가결과품의(040510)(1)" xfId="32366"/>
    <cellStyle name="표_출장계획서_SLIDE 폭_주단조 업종 평가결과품의(040407)_주단조용접업종 평가결과품의(040510)(1)" xfId="32367"/>
    <cellStyle name="표_출장계획서_SLIDE 폭_주단조 업종 평가결과품의(040416)(1)" xfId="32368"/>
    <cellStyle name="표_출장계획서_SLIDE 폭_주단조 업종 평가결과품의(040416)(1)_용접업종 평가결과품의(040510)" xfId="32369"/>
    <cellStyle name="표_출장계획서_SLIDE 폭_주단조 업종 평가결과품의(040416)(1)_용접업종 평가결과품의(040510)(1)" xfId="32370"/>
    <cellStyle name="표_출장계획서_SLIDE 폭_주단조 업종 평가결과품의(040416)(1)_주단조용접업종 평가결과품의(040510)(1)" xfId="32371"/>
    <cellStyle name="표_출장계획서_SLIDE 폭_최신-SQ인증업체현황1343사(03년평가완료031229수정)" xfId="32372"/>
    <cellStyle name="표_출장계획서_SLIDE 폭_최신-SQ인증업체현황1343사(03년평가완료031229수정)_용접업종 평가결과품의(040510)" xfId="32373"/>
    <cellStyle name="표_출장계획서_SLIDE 폭_최신-SQ인증업체현황1343사(03년평가완료031229수정)_용접업종 평가결과품의(040510)(1)" xfId="32374"/>
    <cellStyle name="표_출장계획서_SLIDE 폭_최신-SQ인증업체현황1343사(03년평가완료031229수정)_주단조용접업종 평가결과품의(040510)(1)" xfId="32375"/>
    <cellStyle name="표_출장계획서_도금 열처리 주단조 평가품의(040329)" xfId="32376"/>
    <cellStyle name="표_출장계획서_도금 열처리 주단조 평가품의(040329)_도금 열처리 주단조 평가품의(040329)" xfId="32377"/>
    <cellStyle name="표_출장계획서_도금 열처리 주단조 평가품의(040329)업체" xfId="32378"/>
    <cellStyle name="표_출장계획서_새벽시장1" xfId="32379"/>
    <cellStyle name="표_출장계획서_새벽시장1_도금 열처리 주단조 평가품의(040329)" xfId="32380"/>
    <cellStyle name="표_출장계획서_새벽시장1_도금 열처리 주단조 평가품의(040329)_도금 열처리 주단조 평가품의(040329)" xfId="32381"/>
    <cellStyle name="표_출장계획서_새벽시장1_도금 열처리 주단조 평가품의(040329)업체" xfId="32382"/>
    <cellStyle name="표_출장계획서_새벽시장1_열처리결과품의(031017)개발" xfId="32383"/>
    <cellStyle name="표_출장계획서_새벽시장1_열처리결과품의(031017)개발_도금 열처리 주단조 평가품의(040329)" xfId="32384"/>
    <cellStyle name="표_출장계획서_새벽시장1_용접업종 평가결과품의(040510)" xfId="32385"/>
    <cellStyle name="표_출장계획서_새벽시장1_용접업종 평가결과품의(040510)_용접업종 평가결과품의(040510)" xfId="32386"/>
    <cellStyle name="표_출장계획서_새벽시장1_용접업종 평가결과품의(040510)_용접업종 평가결과품의(040510)(1)" xfId="32387"/>
    <cellStyle name="표_출장계획서_새벽시장1_용접업종 평가결과품의(040510)_주단조용접업종 평가결과품의(040510)(1)" xfId="32388"/>
    <cellStyle name="표_출장계획서_새벽시장1_주단조 업종 평가결과품의(040407)" xfId="32389"/>
    <cellStyle name="표_출장계획서_새벽시장1_주단조 업종 평가결과품의(040407)_용접업종 평가결과품의(040510)" xfId="32390"/>
    <cellStyle name="표_출장계획서_새벽시장1_주단조 업종 평가결과품의(040407)_용접업종 평가결과품의(040510)(1)" xfId="32391"/>
    <cellStyle name="표_출장계획서_새벽시장1_주단조 업종 평가결과품의(040407)_주단조용접업종 평가결과품의(040510)(1)" xfId="32392"/>
    <cellStyle name="표_출장계획서_새벽시장1_주단조 업종 평가결과품의(040416)(1)" xfId="32393"/>
    <cellStyle name="표_출장계획서_새벽시장1_주단조 업종 평가결과품의(040416)(1)_용접업종 평가결과품의(040510)" xfId="32394"/>
    <cellStyle name="표_출장계획서_새벽시장1_주단조 업종 평가결과품의(040416)(1)_용접업종 평가결과품의(040510)(1)" xfId="32395"/>
    <cellStyle name="표_출장계획서_새벽시장1_주단조 업종 평가결과품의(040416)(1)_주단조용접업종 평가결과품의(040510)(1)" xfId="32396"/>
    <cellStyle name="표_출장계획서_새벽시장1_최신-SQ인증업체현황1343사(03년평가완료031229수정)" xfId="32397"/>
    <cellStyle name="표_출장계획서_새벽시장1_최신-SQ인증업체현황1343사(03년평가완료031229수정)_용접업종 평가결과품의(040510)" xfId="32398"/>
    <cellStyle name="표_출장계획서_새벽시장1_최신-SQ인증업체현황1343사(03년평가완료031229수정)_용접업종 평가결과품의(040510)(1)" xfId="32399"/>
    <cellStyle name="표_출장계획서_새벽시장1_최신-SQ인증업체현황1343사(03년평가완료031229수정)_주단조용접업종 평가결과품의(040510)(1)" xfId="32400"/>
    <cellStyle name="표_출장계획서_새벽시장3" xfId="32401"/>
    <cellStyle name="표_출장계획서_새벽시장3_도금 열처리 주단조 평가품의(040329)" xfId="32402"/>
    <cellStyle name="표_출장계획서_새벽시장3_도금 열처리 주단조 평가품의(040329)_도금 열처리 주단조 평가품의(040329)" xfId="32403"/>
    <cellStyle name="표_출장계획서_새벽시장3_도금 열처리 주단조 평가품의(040329)업체" xfId="32404"/>
    <cellStyle name="표_출장계획서_새벽시장3_열처리결과품의(031017)개발" xfId="32405"/>
    <cellStyle name="표_출장계획서_새벽시장3_열처리결과품의(031017)개발_도금 열처리 주단조 평가품의(040329)" xfId="32406"/>
    <cellStyle name="표_출장계획서_새벽시장3_용접업종 평가결과품의(040510)" xfId="32407"/>
    <cellStyle name="표_출장계획서_새벽시장3_용접업종 평가결과품의(040510)_용접업종 평가결과품의(040510)" xfId="32408"/>
    <cellStyle name="표_출장계획서_새벽시장3_용접업종 평가결과품의(040510)_용접업종 평가결과품의(040510)(1)" xfId="32409"/>
    <cellStyle name="표_출장계획서_새벽시장3_용접업종 평가결과품의(040510)_주단조용접업종 평가결과품의(040510)(1)" xfId="32410"/>
    <cellStyle name="표_출장계획서_새벽시장3_주단조 업종 평가결과품의(040407)" xfId="32411"/>
    <cellStyle name="표_출장계획서_새벽시장3_주단조 업종 평가결과품의(040407)_용접업종 평가결과품의(040510)" xfId="32412"/>
    <cellStyle name="표_출장계획서_새벽시장3_주단조 업종 평가결과품의(040407)_용접업종 평가결과품의(040510)(1)" xfId="32413"/>
    <cellStyle name="표_출장계획서_새벽시장3_주단조 업종 평가결과품의(040407)_주단조용접업종 평가결과품의(040510)(1)" xfId="32414"/>
    <cellStyle name="표_출장계획서_새벽시장3_주단조 업종 평가결과품의(040416)(1)" xfId="32415"/>
    <cellStyle name="표_출장계획서_새벽시장3_주단조 업종 평가결과품의(040416)(1)_용접업종 평가결과품의(040510)" xfId="32416"/>
    <cellStyle name="표_출장계획서_새벽시장3_주단조 업종 평가결과품의(040416)(1)_용접업종 평가결과품의(040510)(1)" xfId="32417"/>
    <cellStyle name="표_출장계획서_새벽시장3_주단조 업종 평가결과품의(040416)(1)_주단조용접업종 평가결과품의(040510)(1)" xfId="32418"/>
    <cellStyle name="표_출장계획서_새벽시장3_최신-SQ인증업체현황1343사(03년평가완료031229수정)" xfId="32419"/>
    <cellStyle name="표_출장계획서_새벽시장3_최신-SQ인증업체현황1343사(03년평가완료031229수정)_용접업종 평가결과품의(040510)" xfId="32420"/>
    <cellStyle name="표_출장계획서_새벽시장3_최신-SQ인증업체현황1343사(03년평가완료031229수정)_용접업종 평가결과품의(040510)(1)" xfId="32421"/>
    <cellStyle name="표_출장계획서_새벽시장3_최신-SQ인증업체현황1343사(03년평가완료031229수정)_주단조용접업종 평가결과품의(040510)(1)" xfId="32422"/>
    <cellStyle name="표_출장계획서_새벽시장5" xfId="32423"/>
    <cellStyle name="표_출장계획서_새벽시장5_도금 열처리 주단조 평가품의(040329)" xfId="32424"/>
    <cellStyle name="표_출장계획서_새벽시장5_도금 열처리 주단조 평가품의(040329)_도금 열처리 주단조 평가품의(040329)" xfId="32425"/>
    <cellStyle name="표_출장계획서_새벽시장5_도금 열처리 주단조 평가품의(040329)업체" xfId="32426"/>
    <cellStyle name="표_출장계획서_새벽시장5_열처리결과품의(031017)개발" xfId="32427"/>
    <cellStyle name="표_출장계획서_새벽시장5_열처리결과품의(031017)개발_도금 열처리 주단조 평가품의(040329)" xfId="32428"/>
    <cellStyle name="표_출장계획서_새벽시장5_용접업종 평가결과품의(040510)" xfId="32429"/>
    <cellStyle name="표_출장계획서_새벽시장5_용접업종 평가결과품의(040510)_용접업종 평가결과품의(040510)" xfId="32430"/>
    <cellStyle name="표_출장계획서_새벽시장5_용접업종 평가결과품의(040510)_용접업종 평가결과품의(040510)(1)" xfId="32431"/>
    <cellStyle name="표_출장계획서_새벽시장5_용접업종 평가결과품의(040510)_주단조용접업종 평가결과품의(040510)(1)" xfId="32432"/>
    <cellStyle name="표_출장계획서_새벽시장5_주단조 업종 평가결과품의(040407)" xfId="32433"/>
    <cellStyle name="표_출장계획서_새벽시장5_주단조 업종 평가결과품의(040407)_용접업종 평가결과품의(040510)" xfId="32434"/>
    <cellStyle name="표_출장계획서_새벽시장5_주단조 업종 평가결과품의(040407)_용접업종 평가결과품의(040510)(1)" xfId="32435"/>
    <cellStyle name="표_출장계획서_새벽시장5_주단조 업종 평가결과품의(040407)_주단조용접업종 평가결과품의(040510)(1)" xfId="32436"/>
    <cellStyle name="표_출장계획서_새벽시장5_주단조 업종 평가결과품의(040416)(1)" xfId="32437"/>
    <cellStyle name="표_출장계획서_새벽시장5_주단조 업종 평가결과품의(040416)(1)_용접업종 평가결과품의(040510)" xfId="32438"/>
    <cellStyle name="표_출장계획서_새벽시장5_주단조 업종 평가결과품의(040416)(1)_용접업종 평가결과품의(040510)(1)" xfId="32439"/>
    <cellStyle name="표_출장계획서_새벽시장5_주단조 업종 평가결과품의(040416)(1)_주단조용접업종 평가결과품의(040510)(1)" xfId="32440"/>
    <cellStyle name="표_출장계획서_새벽시장5_최신-SQ인증업체현황1343사(03년평가완료031229수정)" xfId="32441"/>
    <cellStyle name="표_출장계획서_새벽시장5_최신-SQ인증업체현황1343사(03년평가완료031229수정)_용접업종 평가결과품의(040510)" xfId="32442"/>
    <cellStyle name="표_출장계획서_새벽시장5_최신-SQ인증업체현황1343사(03년평가완료031229수정)_용접업종 평가결과품의(040510)(1)" xfId="32443"/>
    <cellStyle name="표_출장계획서_새벽시장5_최신-SQ인증업체현황1343사(03년평가완료031229수정)_주단조용접업종 평가결과품의(040510)(1)" xfId="32444"/>
    <cellStyle name="표_출장계획서_새벽시장7" xfId="32445"/>
    <cellStyle name="표_출장계획서_새벽시장7_도금 열처리 주단조 평가품의(040329)" xfId="32446"/>
    <cellStyle name="표_출장계획서_새벽시장7_도금 열처리 주단조 평가품의(040329)_도금 열처리 주단조 평가품의(040329)" xfId="32447"/>
    <cellStyle name="표_출장계획서_새벽시장7_도금 열처리 주단조 평가품의(040329)업체" xfId="32448"/>
    <cellStyle name="표_출장계획서_새벽시장7_열처리결과품의(031017)개발" xfId="32449"/>
    <cellStyle name="표_출장계획서_새벽시장7_열처리결과품의(031017)개발_도금 열처리 주단조 평가품의(040329)" xfId="32450"/>
    <cellStyle name="표_출장계획서_새벽시장7_용접업종 평가결과품의(040510)" xfId="32451"/>
    <cellStyle name="표_출장계획서_새벽시장7_용접업종 평가결과품의(040510)_용접업종 평가결과품의(040510)" xfId="32452"/>
    <cellStyle name="표_출장계획서_새벽시장7_용접업종 평가결과품의(040510)_용접업종 평가결과품의(040510)(1)" xfId="32453"/>
    <cellStyle name="표_출장계획서_새벽시장7_용접업종 평가결과품의(040510)_주단조용접업종 평가결과품의(040510)(1)" xfId="32454"/>
    <cellStyle name="표_출장계획서_새벽시장7_주단조 업종 평가결과품의(040407)" xfId="32455"/>
    <cellStyle name="표_출장계획서_새벽시장7_주단조 업종 평가결과품의(040407)_용접업종 평가결과품의(040510)" xfId="32456"/>
    <cellStyle name="표_출장계획서_새벽시장7_주단조 업종 평가결과품의(040407)_용접업종 평가결과품의(040510)(1)" xfId="32457"/>
    <cellStyle name="표_출장계획서_새벽시장7_주단조 업종 평가결과품의(040407)_주단조용접업종 평가결과품의(040510)(1)" xfId="32458"/>
    <cellStyle name="표_출장계획서_새벽시장7_주단조 업종 평가결과품의(040416)(1)" xfId="32459"/>
    <cellStyle name="표_출장계획서_새벽시장7_주단조 업종 평가결과품의(040416)(1)_용접업종 평가결과품의(040510)" xfId="32460"/>
    <cellStyle name="표_출장계획서_새벽시장7_주단조 업종 평가결과품의(040416)(1)_용접업종 평가결과품의(040510)(1)" xfId="32461"/>
    <cellStyle name="표_출장계획서_새벽시장7_주단조 업종 평가결과품의(040416)(1)_주단조용접업종 평가결과품의(040510)(1)" xfId="32462"/>
    <cellStyle name="표_출장계획서_새벽시장7_최신-SQ인증업체현황1343사(03년평가완료031229수정)" xfId="32463"/>
    <cellStyle name="표_출장계획서_새벽시장7_최신-SQ인증업체현황1343사(03년평가완료031229수정)_용접업종 평가결과품의(040510)" xfId="32464"/>
    <cellStyle name="표_출장계획서_새벽시장7_최신-SQ인증업체현황1343사(03년평가완료031229수정)_용접업종 평가결과품의(040510)(1)" xfId="32465"/>
    <cellStyle name="표_출장계획서_새벽시장7_최신-SQ인증업체현황1343사(03년평가완료031229수정)_주단조용접업종 평가결과품의(040510)(1)" xfId="32466"/>
    <cellStyle name="표_출장계획서_새벽시장8.10xls" xfId="32467"/>
    <cellStyle name="표_출장계획서_새벽시장8.10xls_도금 열처리 주단조 평가품의(040329)" xfId="32468"/>
    <cellStyle name="표_출장계획서_새벽시장8.10xls_도금 열처리 주단조 평가품의(040329)_도금 열처리 주단조 평가품의(040329)" xfId="32469"/>
    <cellStyle name="표_출장계획서_새벽시장8.10xls_도금 열처리 주단조 평가품의(040329)업체" xfId="32470"/>
    <cellStyle name="표_출장계획서_새벽시장8.10xls_열처리결과품의(031017)개발" xfId="32471"/>
    <cellStyle name="표_출장계획서_새벽시장8.10xls_열처리결과품의(031017)개발_도금 열처리 주단조 평가품의(040329)" xfId="32472"/>
    <cellStyle name="표_출장계획서_새벽시장8.10xls_용접업종 평가결과품의(040510)" xfId="32473"/>
    <cellStyle name="표_출장계획서_새벽시장8.10xls_용접업종 평가결과품의(040510)_용접업종 평가결과품의(040510)" xfId="32474"/>
    <cellStyle name="표_출장계획서_새벽시장8.10xls_용접업종 평가결과품의(040510)_용접업종 평가결과품의(040510)(1)" xfId="32475"/>
    <cellStyle name="표_출장계획서_새벽시장8.10xls_용접업종 평가결과품의(040510)_주단조용접업종 평가결과품의(040510)(1)" xfId="32476"/>
    <cellStyle name="표_출장계획서_새벽시장8.10xls_주단조 업종 평가결과품의(040407)" xfId="32477"/>
    <cellStyle name="표_출장계획서_새벽시장8.10xls_주단조 업종 평가결과품의(040407)_용접업종 평가결과품의(040510)" xfId="32478"/>
    <cellStyle name="표_출장계획서_새벽시장8.10xls_주단조 업종 평가결과품의(040407)_용접업종 평가결과품의(040510)(1)" xfId="32479"/>
    <cellStyle name="표_출장계획서_새벽시장8.10xls_주단조 업종 평가결과품의(040407)_주단조용접업종 평가결과품의(040510)(1)" xfId="32480"/>
    <cellStyle name="표_출장계획서_새벽시장8.10xls_주단조 업종 평가결과품의(040416)(1)" xfId="32481"/>
    <cellStyle name="표_출장계획서_새벽시장8.10xls_주단조 업종 평가결과품의(040416)(1)_용접업종 평가결과품의(040510)" xfId="32482"/>
    <cellStyle name="표_출장계획서_새벽시장8.10xls_주단조 업종 평가결과품의(040416)(1)_용접업종 평가결과품의(040510)(1)" xfId="32483"/>
    <cellStyle name="표_출장계획서_새벽시장8.10xls_주단조 업종 평가결과품의(040416)(1)_주단조용접업종 평가결과품의(040510)(1)" xfId="32484"/>
    <cellStyle name="표_출장계획서_새벽시장8.10xls_최신-SQ인증업체현황1343사(03년평가완료031229수정)" xfId="32485"/>
    <cellStyle name="표_출장계획서_새벽시장8.10xls_최신-SQ인증업체현황1343사(03년평가완료031229수정)_용접업종 평가결과품의(040510)" xfId="32486"/>
    <cellStyle name="표_출장계획서_새벽시장8.10xls_최신-SQ인증업체현황1343사(03년평가완료031229수정)_용접업종 평가결과품의(040510)(1)" xfId="32487"/>
    <cellStyle name="표_출장계획서_새벽시장8.10xls_최신-SQ인증업체현황1343사(03년평가완료031229수정)_주단조용접업종 평가결과품의(040510)(1)" xfId="32488"/>
    <cellStyle name="표_출장계획서_새벽시장8.26xls" xfId="32489"/>
    <cellStyle name="표_출장계획서_새벽시장8.26xls_도금 열처리 주단조 평가품의(040329)" xfId="32490"/>
    <cellStyle name="표_출장계획서_새벽시장8.26xls_도금 열처리 주단조 평가품의(040329)_도금 열처리 주단조 평가품의(040329)" xfId="32491"/>
    <cellStyle name="표_출장계획서_새벽시장8.26xls_도금 열처리 주단조 평가품의(040329)업체" xfId="32492"/>
    <cellStyle name="표_출장계획서_새벽시장8.26xls_열처리결과품의(031017)개발" xfId="32493"/>
    <cellStyle name="표_출장계획서_새벽시장8.26xls_열처리결과품의(031017)개발_도금 열처리 주단조 평가품의(040329)" xfId="32494"/>
    <cellStyle name="표_출장계획서_새벽시장8.26xls_용접업종 평가결과품의(040510)" xfId="32495"/>
    <cellStyle name="표_출장계획서_새벽시장8.26xls_용접업종 평가결과품의(040510)_용접업종 평가결과품의(040510)" xfId="32496"/>
    <cellStyle name="표_출장계획서_새벽시장8.26xls_용접업종 평가결과품의(040510)_용접업종 평가결과품의(040510)(1)" xfId="32497"/>
    <cellStyle name="표_출장계획서_새벽시장8.26xls_용접업종 평가결과품의(040510)_주단조용접업종 평가결과품의(040510)(1)" xfId="32498"/>
    <cellStyle name="표_출장계획서_새벽시장8.26xls_주단조 업종 평가결과품의(040407)" xfId="32499"/>
    <cellStyle name="표_출장계획서_새벽시장8.26xls_주단조 업종 평가결과품의(040407)_용접업종 평가결과품의(040510)" xfId="32500"/>
    <cellStyle name="표_출장계획서_새벽시장8.26xls_주단조 업종 평가결과품의(040407)_용접업종 평가결과품의(040510)(1)" xfId="32501"/>
    <cellStyle name="표_출장계획서_새벽시장8.26xls_주단조 업종 평가결과품의(040407)_주단조용접업종 평가결과품의(040510)(1)" xfId="32502"/>
    <cellStyle name="표_출장계획서_새벽시장8.26xls_주단조 업종 평가결과품의(040416)(1)" xfId="32503"/>
    <cellStyle name="표_출장계획서_새벽시장8.26xls_주단조 업종 평가결과품의(040416)(1)_용접업종 평가결과품의(040510)" xfId="32504"/>
    <cellStyle name="표_출장계획서_새벽시장8.26xls_주단조 업종 평가결과품의(040416)(1)_용접업종 평가결과품의(040510)(1)" xfId="32505"/>
    <cellStyle name="표_출장계획서_새벽시장8.26xls_주단조 업종 평가결과품의(040416)(1)_주단조용접업종 평가결과품의(040510)(1)" xfId="32506"/>
    <cellStyle name="표_출장계획서_새벽시장8.26xls_최신-SQ인증업체현황1343사(03년평가완료031229수정)" xfId="32507"/>
    <cellStyle name="표_출장계획서_새벽시장8.26xls_최신-SQ인증업체현황1343사(03년평가완료031229수정)_용접업종 평가결과품의(040510)" xfId="32508"/>
    <cellStyle name="표_출장계획서_새벽시장8.26xls_최신-SQ인증업체현황1343사(03년평가완료031229수정)_용접업종 평가결과품의(040510)(1)" xfId="32509"/>
    <cellStyle name="표_출장계획서_새벽시장8.26xls_최신-SQ인증업체현황1343사(03년평가완료031229수정)_주단조용접업종 평가결과품의(040510)(1)" xfId="32510"/>
    <cellStyle name="표_출장계획서_새벽시장9.16" xfId="32511"/>
    <cellStyle name="표_출장계획서_새벽시장9.16_도금 열처리 주단조 평가품의(040329)" xfId="32512"/>
    <cellStyle name="표_출장계획서_새벽시장9.16_도금 열처리 주단조 평가품의(040329)_도금 열처리 주단조 평가품의(040329)" xfId="32513"/>
    <cellStyle name="표_출장계획서_새벽시장9.16_도금 열처리 주단조 평가품의(040329)업체" xfId="32514"/>
    <cellStyle name="표_출장계획서_새벽시장9.16_열처리결과품의(031017)개발" xfId="32515"/>
    <cellStyle name="표_출장계획서_새벽시장9.16_열처리결과품의(031017)개발_도금 열처리 주단조 평가품의(040329)" xfId="32516"/>
    <cellStyle name="표_출장계획서_새벽시장9.16_용접업종 평가결과품의(040510)" xfId="32517"/>
    <cellStyle name="표_출장계획서_새벽시장9.16_용접업종 평가결과품의(040510)_용접업종 평가결과품의(040510)" xfId="32518"/>
    <cellStyle name="표_출장계획서_새벽시장9.16_용접업종 평가결과품의(040510)_용접업종 평가결과품의(040510)(1)" xfId="32519"/>
    <cellStyle name="표_출장계획서_새벽시장9.16_용접업종 평가결과품의(040510)_주단조용접업종 평가결과품의(040510)(1)" xfId="32520"/>
    <cellStyle name="표_출장계획서_새벽시장9.16_주단조 업종 평가결과품의(040407)" xfId="32521"/>
    <cellStyle name="표_출장계획서_새벽시장9.16_주단조 업종 평가결과품의(040407)_용접업종 평가결과품의(040510)" xfId="32522"/>
    <cellStyle name="표_출장계획서_새벽시장9.16_주단조 업종 평가결과품의(040407)_용접업종 평가결과품의(040510)(1)" xfId="32523"/>
    <cellStyle name="표_출장계획서_새벽시장9.16_주단조 업종 평가결과품의(040407)_주단조용접업종 평가결과품의(040510)(1)" xfId="32524"/>
    <cellStyle name="표_출장계획서_새벽시장9.16_주단조 업종 평가결과품의(040416)(1)" xfId="32525"/>
    <cellStyle name="표_출장계획서_새벽시장9.16_주단조 업종 평가결과품의(040416)(1)_용접업종 평가결과품의(040510)" xfId="32526"/>
    <cellStyle name="표_출장계획서_새벽시장9.16_주단조 업종 평가결과품의(040416)(1)_용접업종 평가결과품의(040510)(1)" xfId="32527"/>
    <cellStyle name="표_출장계획서_새벽시장9.16_주단조 업종 평가결과품의(040416)(1)_주단조용접업종 평가결과품의(040510)(1)" xfId="32528"/>
    <cellStyle name="표_출장계획서_새벽시장9.16_최신-SQ인증업체현황1343사(03년평가완료031229수정)" xfId="32529"/>
    <cellStyle name="표_출장계획서_새벽시장9.16_최신-SQ인증업체현황1343사(03년평가완료031229수정)_용접업종 평가결과품의(040510)" xfId="32530"/>
    <cellStyle name="표_출장계획서_새벽시장9.16_최신-SQ인증업체현황1343사(03년평가완료031229수정)_용접업종 평가결과품의(040510)(1)" xfId="32531"/>
    <cellStyle name="표_출장계획서_새벽시장9.16_최신-SQ인증업체현황1343사(03년평가완료031229수정)_주단조용접업종 평가결과품의(040510)(1)" xfId="32532"/>
    <cellStyle name="표_출장계획서_열처리결과품의(031017)개발" xfId="32533"/>
    <cellStyle name="표_출장계획서_열처리결과품의(031017)개발_도금 열처리 주단조 평가품의(040329)" xfId="32534"/>
    <cellStyle name="표_출장계획서_용접업종 평가결과품의(040510)" xfId="32535"/>
    <cellStyle name="표_출장계획서_용접업종 평가결과품의(040510)_용접업종 평가결과품의(040510)" xfId="32536"/>
    <cellStyle name="표_출장계획서_용접업종 평가결과품의(040510)_용접업종 평가결과품의(040510)(1)" xfId="32537"/>
    <cellStyle name="표_출장계획서_용접업종 평가결과품의(040510)_주단조용접업종 평가결과품의(040510)(1)" xfId="32538"/>
    <cellStyle name="표_출장계획서_주단조 업종 평가결과품의(040407)" xfId="32539"/>
    <cellStyle name="표_출장계획서_주단조 업종 평가결과품의(040407)_용접업종 평가결과품의(040510)" xfId="32540"/>
    <cellStyle name="표_출장계획서_주단조 업종 평가결과품의(040407)_용접업종 평가결과품의(040510)(1)" xfId="32541"/>
    <cellStyle name="표_출장계획서_주단조 업종 평가결과품의(040407)_주단조용접업종 평가결과품의(040510)(1)" xfId="32542"/>
    <cellStyle name="표_출장계획서_주단조 업종 평가결과품의(040416)(1)" xfId="32543"/>
    <cellStyle name="표_출장계획서_주단조 업종 평가결과품의(040416)(1)_용접업종 평가결과품의(040510)" xfId="32544"/>
    <cellStyle name="표_출장계획서_주단조 업종 평가결과품의(040416)(1)_용접업종 평가결과품의(040510)(1)" xfId="32545"/>
    <cellStyle name="표_출장계획서_주단조 업종 평가결과품의(040416)(1)_주단조용접업종 평가결과품의(040510)(1)" xfId="32546"/>
    <cellStyle name="표_출장계획서_최신-SQ인증업체현황1343사(03년평가완료031229수정)" xfId="32547"/>
    <cellStyle name="표_출장계획서_최신-SQ인증업체현황1343사(03년평가완료031229수정)_용접업종 평가결과품의(040510)" xfId="32548"/>
    <cellStyle name="표_출장계획서_최신-SQ인증업체현황1343사(03년평가완료031229수정)_용접업종 평가결과품의(040510)(1)" xfId="32549"/>
    <cellStyle name="표_출장계획서_최신-SQ인증업체현황1343사(03년평가완료031229수정)_주단조용접업종 평가결과품의(040510)(1)" xfId="32550"/>
    <cellStyle name="표준 10" xfId="32551"/>
    <cellStyle name="표준 10 10" xfId="32552"/>
    <cellStyle name="표준 10 10 2" xfId="32553"/>
    <cellStyle name="표준 10 10 2 2" xfId="32554"/>
    <cellStyle name="표준 10 10 2 2 2" xfId="32555"/>
    <cellStyle name="표준 10 10 2 2 2 2" xfId="32556"/>
    <cellStyle name="표준 10 10 2 2 2 3" xfId="32557"/>
    <cellStyle name="표준 10 10 2 2 3" xfId="32558"/>
    <cellStyle name="표준 10 10 2 2 4" xfId="32559"/>
    <cellStyle name="표준 10 10 2 3" xfId="32560"/>
    <cellStyle name="표준 10 10 2 3 2" xfId="32561"/>
    <cellStyle name="표준 10 10 2 3 3" xfId="32562"/>
    <cellStyle name="표준 10 10 2 4" xfId="32563"/>
    <cellStyle name="표준 10 10 2 5" xfId="32564"/>
    <cellStyle name="표준 10 10 3" xfId="32565"/>
    <cellStyle name="표준 10 10 3 2" xfId="32566"/>
    <cellStyle name="표준 10 10 3 2 2" xfId="32567"/>
    <cellStyle name="표준 10 10 3 2 2 2" xfId="32568"/>
    <cellStyle name="표준 10 10 3 2 2 3" xfId="32569"/>
    <cellStyle name="표준 10 10 3 2 3" xfId="32570"/>
    <cellStyle name="표준 10 10 3 2 4" xfId="32571"/>
    <cellStyle name="표준 10 10 3 3" xfId="32572"/>
    <cellStyle name="표준 10 10 3 3 2" xfId="32573"/>
    <cellStyle name="표준 10 10 3 3 3" xfId="32574"/>
    <cellStyle name="표준 10 10 3 4" xfId="32575"/>
    <cellStyle name="표준 10 10 3 5" xfId="32576"/>
    <cellStyle name="표준 10 10 4" xfId="32577"/>
    <cellStyle name="표준 10 10 4 2" xfId="32578"/>
    <cellStyle name="표준 10 10 4 2 2" xfId="32579"/>
    <cellStyle name="표준 10 10 4 2 3" xfId="32580"/>
    <cellStyle name="표준 10 10 4 3" xfId="32581"/>
    <cellStyle name="표준 10 10 4 4" xfId="32582"/>
    <cellStyle name="표준 10 10 5" xfId="32583"/>
    <cellStyle name="표준 10 10 5 2" xfId="32584"/>
    <cellStyle name="표준 10 10 5 3" xfId="32585"/>
    <cellStyle name="표준 10 10 6" xfId="32586"/>
    <cellStyle name="표준 10 10 7" xfId="32587"/>
    <cellStyle name="표준 10 11" xfId="32588"/>
    <cellStyle name="표준 10 11 2" xfId="32589"/>
    <cellStyle name="표준 10 11 2 2" xfId="32590"/>
    <cellStyle name="표준 10 11 2 2 2" xfId="32591"/>
    <cellStyle name="표준 10 11 2 2 3" xfId="32592"/>
    <cellStyle name="표준 10 11 2 3" xfId="32593"/>
    <cellStyle name="표준 10 11 2 4" xfId="32594"/>
    <cellStyle name="표준 10 11 3" xfId="32595"/>
    <cellStyle name="표준 10 11 3 2" xfId="32596"/>
    <cellStyle name="표준 10 11 3 3" xfId="32597"/>
    <cellStyle name="표준 10 11 4" xfId="32598"/>
    <cellStyle name="표준 10 11 5" xfId="32599"/>
    <cellStyle name="표준 10 12" xfId="32600"/>
    <cellStyle name="표준 10 12 2" xfId="32601"/>
    <cellStyle name="표준 10 12 2 2" xfId="32602"/>
    <cellStyle name="표준 10 12 2 2 2" xfId="32603"/>
    <cellStyle name="표준 10 12 2 2 3" xfId="32604"/>
    <cellStyle name="표준 10 12 2 3" xfId="32605"/>
    <cellStyle name="표준 10 12 2 4" xfId="32606"/>
    <cellStyle name="표준 10 12 3" xfId="32607"/>
    <cellStyle name="표준 10 12 3 2" xfId="32608"/>
    <cellStyle name="표준 10 12 3 3" xfId="32609"/>
    <cellStyle name="표준 10 12 4" xfId="32610"/>
    <cellStyle name="표준 10 12 5" xfId="32611"/>
    <cellStyle name="표준 10 13" xfId="32612"/>
    <cellStyle name="표준 10 13 2" xfId="32613"/>
    <cellStyle name="표준 10 13 2 2" xfId="32614"/>
    <cellStyle name="표준 10 13 2 2 2" xfId="32615"/>
    <cellStyle name="표준 10 13 2 2 3" xfId="32616"/>
    <cellStyle name="표준 10 13 2 3" xfId="32617"/>
    <cellStyle name="표준 10 13 2 4" xfId="32618"/>
    <cellStyle name="표준 10 13 3" xfId="32619"/>
    <cellStyle name="표준 10 13 3 2" xfId="32620"/>
    <cellStyle name="표준 10 13 3 3" xfId="32621"/>
    <cellStyle name="표준 10 13 4" xfId="32622"/>
    <cellStyle name="표준 10 13 5" xfId="32623"/>
    <cellStyle name="표준 10 14" xfId="32624"/>
    <cellStyle name="표준 10 14 2" xfId="32625"/>
    <cellStyle name="표준 10 14 2 2" xfId="32626"/>
    <cellStyle name="표준 10 14 2 3" xfId="32627"/>
    <cellStyle name="표준 10 14 3" xfId="32628"/>
    <cellStyle name="표준 10 14 4" xfId="32629"/>
    <cellStyle name="표준 10 15" xfId="32630"/>
    <cellStyle name="표준 10 15 2" xfId="32631"/>
    <cellStyle name="표준 10 15 3" xfId="32632"/>
    <cellStyle name="표준 10 16" xfId="32633"/>
    <cellStyle name="표준 10 17" xfId="32634"/>
    <cellStyle name="표준 10 18" xfId="32635"/>
    <cellStyle name="표준 10 2" xfId="32636"/>
    <cellStyle name="표준 10 2 10" xfId="32637"/>
    <cellStyle name="표준 10 2 10 2" xfId="32638"/>
    <cellStyle name="표준 10 2 10 2 2" xfId="32639"/>
    <cellStyle name="표준 10 2 10 2 2 2" xfId="32640"/>
    <cellStyle name="표준 10 2 10 2 2 3" xfId="32641"/>
    <cellStyle name="표준 10 2 10 2 3" xfId="32642"/>
    <cellStyle name="표준 10 2 10 2 4" xfId="32643"/>
    <cellStyle name="표준 10 2 10 3" xfId="32644"/>
    <cellStyle name="표준 10 2 10 3 2" xfId="32645"/>
    <cellStyle name="표준 10 2 10 3 3" xfId="32646"/>
    <cellStyle name="표준 10 2 10 4" xfId="32647"/>
    <cellStyle name="표준 10 2 10 5" xfId="32648"/>
    <cellStyle name="표준 10 2 11" xfId="32649"/>
    <cellStyle name="표준 10 2 11 2" xfId="32650"/>
    <cellStyle name="표준 10 2 11 2 2" xfId="32651"/>
    <cellStyle name="표준 10 2 11 2 3" xfId="32652"/>
    <cellStyle name="표준 10 2 11 3" xfId="32653"/>
    <cellStyle name="표준 10 2 11 4" xfId="32654"/>
    <cellStyle name="표준 10 2 12" xfId="32655"/>
    <cellStyle name="표준 10 2 12 2" xfId="32656"/>
    <cellStyle name="표준 10 2 12 3" xfId="32657"/>
    <cellStyle name="표준 10 2 13" xfId="32658"/>
    <cellStyle name="표준 10 2 14" xfId="32659"/>
    <cellStyle name="표준 10 2 2" xfId="32660"/>
    <cellStyle name="표준 10 2 2 10" xfId="32661"/>
    <cellStyle name="표준 10 2 2 10 2" xfId="32662"/>
    <cellStyle name="표준 10 2 2 10 2 2" xfId="32663"/>
    <cellStyle name="표준 10 2 2 10 2 3" xfId="32664"/>
    <cellStyle name="표준 10 2 2 10 3" xfId="32665"/>
    <cellStyle name="표준 10 2 2 10 4" xfId="32666"/>
    <cellStyle name="표준 10 2 2 11" xfId="32667"/>
    <cellStyle name="표준 10 2 2 11 2" xfId="32668"/>
    <cellStyle name="표준 10 2 2 11 3" xfId="32669"/>
    <cellStyle name="표준 10 2 2 12" xfId="32670"/>
    <cellStyle name="표준 10 2 2 13" xfId="32671"/>
    <cellStyle name="표준 10 2 2 2" xfId="32672"/>
    <cellStyle name="표준 10 2 2 2 10" xfId="32673"/>
    <cellStyle name="표준 10 2 2 2 2" xfId="32674"/>
    <cellStyle name="표준 10 2 2 2 2 2" xfId="32675"/>
    <cellStyle name="표준 10 2 2 2 2 2 2" xfId="32676"/>
    <cellStyle name="표준 10 2 2 2 2 2 2 2" xfId="32677"/>
    <cellStyle name="표준 10 2 2 2 2 2 2 2 2" xfId="32678"/>
    <cellStyle name="표준 10 2 2 2 2 2 2 2 3" xfId="32679"/>
    <cellStyle name="표준 10 2 2 2 2 2 2 3" xfId="32680"/>
    <cellStyle name="표준 10 2 2 2 2 2 2 4" xfId="32681"/>
    <cellStyle name="표준 10 2 2 2 2 2 3" xfId="32682"/>
    <cellStyle name="표준 10 2 2 2 2 2 3 2" xfId="32683"/>
    <cellStyle name="표준 10 2 2 2 2 2 3 3" xfId="32684"/>
    <cellStyle name="표준 10 2 2 2 2 2 4" xfId="32685"/>
    <cellStyle name="표준 10 2 2 2 2 2 5" xfId="32686"/>
    <cellStyle name="표준 10 2 2 2 2 3" xfId="32687"/>
    <cellStyle name="표준 10 2 2 2 2 3 2" xfId="32688"/>
    <cellStyle name="표준 10 2 2 2 2 3 2 2" xfId="32689"/>
    <cellStyle name="표준 10 2 2 2 2 3 2 2 2" xfId="32690"/>
    <cellStyle name="표준 10 2 2 2 2 3 2 2 3" xfId="32691"/>
    <cellStyle name="표준 10 2 2 2 2 3 2 3" xfId="32692"/>
    <cellStyle name="표준 10 2 2 2 2 3 2 4" xfId="32693"/>
    <cellStyle name="표준 10 2 2 2 2 3 3" xfId="32694"/>
    <cellStyle name="표준 10 2 2 2 2 3 3 2" xfId="32695"/>
    <cellStyle name="표준 10 2 2 2 2 3 3 3" xfId="32696"/>
    <cellStyle name="표준 10 2 2 2 2 3 4" xfId="32697"/>
    <cellStyle name="표준 10 2 2 2 2 3 5" xfId="32698"/>
    <cellStyle name="표준 10 2 2 2 2 4" xfId="32699"/>
    <cellStyle name="표준 10 2 2 2 2 4 2" xfId="32700"/>
    <cellStyle name="표준 10 2 2 2 2 4 2 2" xfId="32701"/>
    <cellStyle name="표준 10 2 2 2 2 4 2 3" xfId="32702"/>
    <cellStyle name="표준 10 2 2 2 2 4 3" xfId="32703"/>
    <cellStyle name="표준 10 2 2 2 2 4 4" xfId="32704"/>
    <cellStyle name="표준 10 2 2 2 2 5" xfId="32705"/>
    <cellStyle name="표준 10 2 2 2 2 5 2" xfId="32706"/>
    <cellStyle name="표준 10 2 2 2 2 5 3" xfId="32707"/>
    <cellStyle name="표준 10 2 2 2 2 6" xfId="32708"/>
    <cellStyle name="표준 10 2 2 2 2 7" xfId="32709"/>
    <cellStyle name="표준 10 2 2 2 3" xfId="32710"/>
    <cellStyle name="표준 10 2 2 2 3 2" xfId="32711"/>
    <cellStyle name="표준 10 2 2 2 3 2 2" xfId="32712"/>
    <cellStyle name="표준 10 2 2 2 3 2 2 2" xfId="32713"/>
    <cellStyle name="표준 10 2 2 2 3 2 2 2 2" xfId="32714"/>
    <cellStyle name="표준 10 2 2 2 3 2 2 2 3" xfId="32715"/>
    <cellStyle name="표준 10 2 2 2 3 2 2 3" xfId="32716"/>
    <cellStyle name="표준 10 2 2 2 3 2 2 4" xfId="32717"/>
    <cellStyle name="표준 10 2 2 2 3 2 3" xfId="32718"/>
    <cellStyle name="표준 10 2 2 2 3 2 3 2" xfId="32719"/>
    <cellStyle name="표준 10 2 2 2 3 2 3 3" xfId="32720"/>
    <cellStyle name="표준 10 2 2 2 3 2 4" xfId="32721"/>
    <cellStyle name="표준 10 2 2 2 3 2 5" xfId="32722"/>
    <cellStyle name="표준 10 2 2 2 3 3" xfId="32723"/>
    <cellStyle name="표준 10 2 2 2 3 3 2" xfId="32724"/>
    <cellStyle name="표준 10 2 2 2 3 3 2 2" xfId="32725"/>
    <cellStyle name="표준 10 2 2 2 3 3 2 2 2" xfId="32726"/>
    <cellStyle name="표준 10 2 2 2 3 3 2 2 3" xfId="32727"/>
    <cellStyle name="표준 10 2 2 2 3 3 2 3" xfId="32728"/>
    <cellStyle name="표준 10 2 2 2 3 3 2 4" xfId="32729"/>
    <cellStyle name="표준 10 2 2 2 3 3 3" xfId="32730"/>
    <cellStyle name="표준 10 2 2 2 3 3 3 2" xfId="32731"/>
    <cellStyle name="표준 10 2 2 2 3 3 3 3" xfId="32732"/>
    <cellStyle name="표준 10 2 2 2 3 3 4" xfId="32733"/>
    <cellStyle name="표준 10 2 2 2 3 3 5" xfId="32734"/>
    <cellStyle name="표준 10 2 2 2 3 4" xfId="32735"/>
    <cellStyle name="표준 10 2 2 2 3 4 2" xfId="32736"/>
    <cellStyle name="표준 10 2 2 2 3 4 2 2" xfId="32737"/>
    <cellStyle name="표준 10 2 2 2 3 4 2 3" xfId="32738"/>
    <cellStyle name="표준 10 2 2 2 3 4 3" xfId="32739"/>
    <cellStyle name="표준 10 2 2 2 3 4 4" xfId="32740"/>
    <cellStyle name="표준 10 2 2 2 3 5" xfId="32741"/>
    <cellStyle name="표준 10 2 2 2 3 5 2" xfId="32742"/>
    <cellStyle name="표준 10 2 2 2 3 5 3" xfId="32743"/>
    <cellStyle name="표준 10 2 2 2 3 6" xfId="32744"/>
    <cellStyle name="표준 10 2 2 2 3 7" xfId="32745"/>
    <cellStyle name="표준 10 2 2 2 4" xfId="32746"/>
    <cellStyle name="표준 10 2 2 2 4 2" xfId="32747"/>
    <cellStyle name="표준 10 2 2 2 4 2 2" xfId="32748"/>
    <cellStyle name="표준 10 2 2 2 4 2 2 2" xfId="32749"/>
    <cellStyle name="표준 10 2 2 2 4 2 2 3" xfId="32750"/>
    <cellStyle name="표준 10 2 2 2 4 2 3" xfId="32751"/>
    <cellStyle name="표준 10 2 2 2 4 2 4" xfId="32752"/>
    <cellStyle name="표준 10 2 2 2 4 3" xfId="32753"/>
    <cellStyle name="표준 10 2 2 2 4 3 2" xfId="32754"/>
    <cellStyle name="표준 10 2 2 2 4 3 3" xfId="32755"/>
    <cellStyle name="표준 10 2 2 2 4 4" xfId="32756"/>
    <cellStyle name="표준 10 2 2 2 4 5" xfId="32757"/>
    <cellStyle name="표준 10 2 2 2 5" xfId="32758"/>
    <cellStyle name="표준 10 2 2 2 5 2" xfId="32759"/>
    <cellStyle name="표준 10 2 2 2 5 2 2" xfId="32760"/>
    <cellStyle name="표준 10 2 2 2 5 2 2 2" xfId="32761"/>
    <cellStyle name="표준 10 2 2 2 5 2 2 3" xfId="32762"/>
    <cellStyle name="표준 10 2 2 2 5 2 3" xfId="32763"/>
    <cellStyle name="표준 10 2 2 2 5 2 4" xfId="32764"/>
    <cellStyle name="표준 10 2 2 2 5 3" xfId="32765"/>
    <cellStyle name="표준 10 2 2 2 5 3 2" xfId="32766"/>
    <cellStyle name="표준 10 2 2 2 5 3 3" xfId="32767"/>
    <cellStyle name="표준 10 2 2 2 5 4" xfId="32768"/>
    <cellStyle name="표준 10 2 2 2 5 5" xfId="32769"/>
    <cellStyle name="표준 10 2 2 2 6" xfId="32770"/>
    <cellStyle name="표준 10 2 2 2 6 2" xfId="32771"/>
    <cellStyle name="표준 10 2 2 2 6 2 2" xfId="32772"/>
    <cellStyle name="표준 10 2 2 2 6 2 2 2" xfId="32773"/>
    <cellStyle name="표준 10 2 2 2 6 2 2 3" xfId="32774"/>
    <cellStyle name="표준 10 2 2 2 6 2 3" xfId="32775"/>
    <cellStyle name="표준 10 2 2 2 6 2 4" xfId="32776"/>
    <cellStyle name="표준 10 2 2 2 6 3" xfId="32777"/>
    <cellStyle name="표준 10 2 2 2 6 3 2" xfId="32778"/>
    <cellStyle name="표준 10 2 2 2 6 3 3" xfId="32779"/>
    <cellStyle name="표준 10 2 2 2 6 4" xfId="32780"/>
    <cellStyle name="표준 10 2 2 2 6 5" xfId="32781"/>
    <cellStyle name="표준 10 2 2 2 7" xfId="32782"/>
    <cellStyle name="표준 10 2 2 2 7 2" xfId="32783"/>
    <cellStyle name="표준 10 2 2 2 7 2 2" xfId="32784"/>
    <cellStyle name="표준 10 2 2 2 7 2 3" xfId="32785"/>
    <cellStyle name="표준 10 2 2 2 7 3" xfId="32786"/>
    <cellStyle name="표준 10 2 2 2 7 4" xfId="32787"/>
    <cellStyle name="표준 10 2 2 2 8" xfId="32788"/>
    <cellStyle name="표준 10 2 2 2 8 2" xfId="32789"/>
    <cellStyle name="표준 10 2 2 2 8 3" xfId="32790"/>
    <cellStyle name="표준 10 2 2 2 9" xfId="32791"/>
    <cellStyle name="표준 10 2 2 3" xfId="32792"/>
    <cellStyle name="표준 10 2 2 3 10" xfId="32793"/>
    <cellStyle name="표준 10 2 2 3 2" xfId="32794"/>
    <cellStyle name="표준 10 2 2 3 2 2" xfId="32795"/>
    <cellStyle name="표준 10 2 2 3 2 2 2" xfId="32796"/>
    <cellStyle name="표준 10 2 2 3 2 2 2 2" xfId="32797"/>
    <cellStyle name="표준 10 2 2 3 2 2 2 2 2" xfId="32798"/>
    <cellStyle name="표준 10 2 2 3 2 2 2 2 3" xfId="32799"/>
    <cellStyle name="표준 10 2 2 3 2 2 2 3" xfId="32800"/>
    <cellStyle name="표준 10 2 2 3 2 2 2 4" xfId="32801"/>
    <cellStyle name="표준 10 2 2 3 2 2 3" xfId="32802"/>
    <cellStyle name="표준 10 2 2 3 2 2 3 2" xfId="32803"/>
    <cellStyle name="표준 10 2 2 3 2 2 3 3" xfId="32804"/>
    <cellStyle name="표준 10 2 2 3 2 2 4" xfId="32805"/>
    <cellStyle name="표준 10 2 2 3 2 2 5" xfId="32806"/>
    <cellStyle name="표준 10 2 2 3 2 3" xfId="32807"/>
    <cellStyle name="표준 10 2 2 3 2 3 2" xfId="32808"/>
    <cellStyle name="표준 10 2 2 3 2 3 2 2" xfId="32809"/>
    <cellStyle name="표준 10 2 2 3 2 3 2 2 2" xfId="32810"/>
    <cellStyle name="표준 10 2 2 3 2 3 2 2 3" xfId="32811"/>
    <cellStyle name="표준 10 2 2 3 2 3 2 3" xfId="32812"/>
    <cellStyle name="표준 10 2 2 3 2 3 2 4" xfId="32813"/>
    <cellStyle name="표준 10 2 2 3 2 3 3" xfId="32814"/>
    <cellStyle name="표준 10 2 2 3 2 3 3 2" xfId="32815"/>
    <cellStyle name="표준 10 2 2 3 2 3 3 3" xfId="32816"/>
    <cellStyle name="표준 10 2 2 3 2 3 4" xfId="32817"/>
    <cellStyle name="표준 10 2 2 3 2 3 5" xfId="32818"/>
    <cellStyle name="표준 10 2 2 3 2 4" xfId="32819"/>
    <cellStyle name="표준 10 2 2 3 2 4 2" xfId="32820"/>
    <cellStyle name="표준 10 2 2 3 2 4 2 2" xfId="32821"/>
    <cellStyle name="표준 10 2 2 3 2 4 2 3" xfId="32822"/>
    <cellStyle name="표준 10 2 2 3 2 4 3" xfId="32823"/>
    <cellStyle name="표준 10 2 2 3 2 4 4" xfId="32824"/>
    <cellStyle name="표준 10 2 2 3 2 5" xfId="32825"/>
    <cellStyle name="표준 10 2 2 3 2 5 2" xfId="32826"/>
    <cellStyle name="표준 10 2 2 3 2 5 3" xfId="32827"/>
    <cellStyle name="표준 10 2 2 3 2 6" xfId="32828"/>
    <cellStyle name="표준 10 2 2 3 2 7" xfId="32829"/>
    <cellStyle name="표준 10 2 2 3 3" xfId="32830"/>
    <cellStyle name="표준 10 2 2 3 3 2" xfId="32831"/>
    <cellStyle name="표준 10 2 2 3 3 2 2" xfId="32832"/>
    <cellStyle name="표준 10 2 2 3 3 2 2 2" xfId="32833"/>
    <cellStyle name="표준 10 2 2 3 3 2 2 2 2" xfId="32834"/>
    <cellStyle name="표준 10 2 2 3 3 2 2 2 3" xfId="32835"/>
    <cellStyle name="표준 10 2 2 3 3 2 2 3" xfId="32836"/>
    <cellStyle name="표준 10 2 2 3 3 2 2 4" xfId="32837"/>
    <cellStyle name="표준 10 2 2 3 3 2 3" xfId="32838"/>
    <cellStyle name="표준 10 2 2 3 3 2 3 2" xfId="32839"/>
    <cellStyle name="표준 10 2 2 3 3 2 3 3" xfId="32840"/>
    <cellStyle name="표준 10 2 2 3 3 2 4" xfId="32841"/>
    <cellStyle name="표준 10 2 2 3 3 2 5" xfId="32842"/>
    <cellStyle name="표준 10 2 2 3 3 3" xfId="32843"/>
    <cellStyle name="표준 10 2 2 3 3 3 2" xfId="32844"/>
    <cellStyle name="표준 10 2 2 3 3 3 2 2" xfId="32845"/>
    <cellStyle name="표준 10 2 2 3 3 3 2 2 2" xfId="32846"/>
    <cellStyle name="표준 10 2 2 3 3 3 2 2 3" xfId="32847"/>
    <cellStyle name="표준 10 2 2 3 3 3 2 3" xfId="32848"/>
    <cellStyle name="표준 10 2 2 3 3 3 2 4" xfId="32849"/>
    <cellStyle name="표준 10 2 2 3 3 3 3" xfId="32850"/>
    <cellStyle name="표준 10 2 2 3 3 3 3 2" xfId="32851"/>
    <cellStyle name="표준 10 2 2 3 3 3 3 3" xfId="32852"/>
    <cellStyle name="표준 10 2 2 3 3 3 4" xfId="32853"/>
    <cellStyle name="표준 10 2 2 3 3 3 5" xfId="32854"/>
    <cellStyle name="표준 10 2 2 3 3 4" xfId="32855"/>
    <cellStyle name="표준 10 2 2 3 3 4 2" xfId="32856"/>
    <cellStyle name="표준 10 2 2 3 3 4 2 2" xfId="32857"/>
    <cellStyle name="표준 10 2 2 3 3 4 2 3" xfId="32858"/>
    <cellStyle name="표준 10 2 2 3 3 4 3" xfId="32859"/>
    <cellStyle name="표준 10 2 2 3 3 4 4" xfId="32860"/>
    <cellStyle name="표준 10 2 2 3 3 5" xfId="32861"/>
    <cellStyle name="표준 10 2 2 3 3 5 2" xfId="32862"/>
    <cellStyle name="표준 10 2 2 3 3 5 3" xfId="32863"/>
    <cellStyle name="표준 10 2 2 3 3 6" xfId="32864"/>
    <cellStyle name="표준 10 2 2 3 3 7" xfId="32865"/>
    <cellStyle name="표준 10 2 2 3 4" xfId="32866"/>
    <cellStyle name="표준 10 2 2 3 4 2" xfId="32867"/>
    <cellStyle name="표준 10 2 2 3 4 2 2" xfId="32868"/>
    <cellStyle name="표준 10 2 2 3 4 2 2 2" xfId="32869"/>
    <cellStyle name="표준 10 2 2 3 4 2 2 3" xfId="32870"/>
    <cellStyle name="표준 10 2 2 3 4 2 3" xfId="32871"/>
    <cellStyle name="표준 10 2 2 3 4 2 4" xfId="32872"/>
    <cellStyle name="표준 10 2 2 3 4 3" xfId="32873"/>
    <cellStyle name="표준 10 2 2 3 4 3 2" xfId="32874"/>
    <cellStyle name="표준 10 2 2 3 4 3 3" xfId="32875"/>
    <cellStyle name="표준 10 2 2 3 4 4" xfId="32876"/>
    <cellStyle name="표준 10 2 2 3 4 5" xfId="32877"/>
    <cellStyle name="표준 10 2 2 3 5" xfId="32878"/>
    <cellStyle name="표준 10 2 2 3 5 2" xfId="32879"/>
    <cellStyle name="표준 10 2 2 3 5 2 2" xfId="32880"/>
    <cellStyle name="표준 10 2 2 3 5 2 2 2" xfId="32881"/>
    <cellStyle name="표준 10 2 2 3 5 2 2 3" xfId="32882"/>
    <cellStyle name="표준 10 2 2 3 5 2 3" xfId="32883"/>
    <cellStyle name="표준 10 2 2 3 5 2 4" xfId="32884"/>
    <cellStyle name="표준 10 2 2 3 5 3" xfId="32885"/>
    <cellStyle name="표준 10 2 2 3 5 3 2" xfId="32886"/>
    <cellStyle name="표준 10 2 2 3 5 3 3" xfId="32887"/>
    <cellStyle name="표준 10 2 2 3 5 4" xfId="32888"/>
    <cellStyle name="표준 10 2 2 3 5 5" xfId="32889"/>
    <cellStyle name="표준 10 2 2 3 6" xfId="32890"/>
    <cellStyle name="표준 10 2 2 3 6 2" xfId="32891"/>
    <cellStyle name="표준 10 2 2 3 6 2 2" xfId="32892"/>
    <cellStyle name="표준 10 2 2 3 6 2 2 2" xfId="32893"/>
    <cellStyle name="표준 10 2 2 3 6 2 2 3" xfId="32894"/>
    <cellStyle name="표준 10 2 2 3 6 2 3" xfId="32895"/>
    <cellStyle name="표준 10 2 2 3 6 2 4" xfId="32896"/>
    <cellStyle name="표준 10 2 2 3 6 3" xfId="32897"/>
    <cellStyle name="표준 10 2 2 3 6 3 2" xfId="32898"/>
    <cellStyle name="표준 10 2 2 3 6 3 3" xfId="32899"/>
    <cellStyle name="표준 10 2 2 3 6 4" xfId="32900"/>
    <cellStyle name="표준 10 2 2 3 6 5" xfId="32901"/>
    <cellStyle name="표준 10 2 2 3 7" xfId="32902"/>
    <cellStyle name="표준 10 2 2 3 7 2" xfId="32903"/>
    <cellStyle name="표준 10 2 2 3 7 2 2" xfId="32904"/>
    <cellStyle name="표준 10 2 2 3 7 2 3" xfId="32905"/>
    <cellStyle name="표준 10 2 2 3 7 3" xfId="32906"/>
    <cellStyle name="표준 10 2 2 3 7 4" xfId="32907"/>
    <cellStyle name="표준 10 2 2 3 8" xfId="32908"/>
    <cellStyle name="표준 10 2 2 3 8 2" xfId="32909"/>
    <cellStyle name="표준 10 2 2 3 8 3" xfId="32910"/>
    <cellStyle name="표준 10 2 2 3 9" xfId="32911"/>
    <cellStyle name="표준 10 2 2 4" xfId="32912"/>
    <cellStyle name="표준 10 2 2 4 10" xfId="32913"/>
    <cellStyle name="표준 10 2 2 4 2" xfId="32914"/>
    <cellStyle name="표준 10 2 2 4 2 2" xfId="32915"/>
    <cellStyle name="표준 10 2 2 4 2 2 2" xfId="32916"/>
    <cellStyle name="표준 10 2 2 4 2 2 2 2" xfId="32917"/>
    <cellStyle name="표준 10 2 2 4 2 2 2 2 2" xfId="32918"/>
    <cellStyle name="표준 10 2 2 4 2 2 2 2 3" xfId="32919"/>
    <cellStyle name="표준 10 2 2 4 2 2 2 3" xfId="32920"/>
    <cellStyle name="표준 10 2 2 4 2 2 2 4" xfId="32921"/>
    <cellStyle name="표준 10 2 2 4 2 2 3" xfId="32922"/>
    <cellStyle name="표준 10 2 2 4 2 2 3 2" xfId="32923"/>
    <cellStyle name="표준 10 2 2 4 2 2 3 3" xfId="32924"/>
    <cellStyle name="표준 10 2 2 4 2 2 4" xfId="32925"/>
    <cellStyle name="표준 10 2 2 4 2 2 5" xfId="32926"/>
    <cellStyle name="표준 10 2 2 4 2 3" xfId="32927"/>
    <cellStyle name="표준 10 2 2 4 2 3 2" xfId="32928"/>
    <cellStyle name="표준 10 2 2 4 2 3 2 2" xfId="32929"/>
    <cellStyle name="표준 10 2 2 4 2 3 2 2 2" xfId="32930"/>
    <cellStyle name="표준 10 2 2 4 2 3 2 2 3" xfId="32931"/>
    <cellStyle name="표준 10 2 2 4 2 3 2 3" xfId="32932"/>
    <cellStyle name="표준 10 2 2 4 2 3 2 4" xfId="32933"/>
    <cellStyle name="표준 10 2 2 4 2 3 3" xfId="32934"/>
    <cellStyle name="표준 10 2 2 4 2 3 3 2" xfId="32935"/>
    <cellStyle name="표준 10 2 2 4 2 3 3 3" xfId="32936"/>
    <cellStyle name="표준 10 2 2 4 2 3 4" xfId="32937"/>
    <cellStyle name="표준 10 2 2 4 2 3 5" xfId="32938"/>
    <cellStyle name="표준 10 2 2 4 2 4" xfId="32939"/>
    <cellStyle name="표준 10 2 2 4 2 4 2" xfId="32940"/>
    <cellStyle name="표준 10 2 2 4 2 4 2 2" xfId="32941"/>
    <cellStyle name="표준 10 2 2 4 2 4 2 3" xfId="32942"/>
    <cellStyle name="표준 10 2 2 4 2 4 3" xfId="32943"/>
    <cellStyle name="표준 10 2 2 4 2 4 4" xfId="32944"/>
    <cellStyle name="표준 10 2 2 4 2 5" xfId="32945"/>
    <cellStyle name="표준 10 2 2 4 2 5 2" xfId="32946"/>
    <cellStyle name="표준 10 2 2 4 2 5 3" xfId="32947"/>
    <cellStyle name="표준 10 2 2 4 2 6" xfId="32948"/>
    <cellStyle name="표준 10 2 2 4 2 7" xfId="32949"/>
    <cellStyle name="표준 10 2 2 4 3" xfId="32950"/>
    <cellStyle name="표준 10 2 2 4 3 2" xfId="32951"/>
    <cellStyle name="표준 10 2 2 4 3 2 2" xfId="32952"/>
    <cellStyle name="표준 10 2 2 4 3 2 2 2" xfId="32953"/>
    <cellStyle name="표준 10 2 2 4 3 2 2 2 2" xfId="32954"/>
    <cellStyle name="표준 10 2 2 4 3 2 2 2 3" xfId="32955"/>
    <cellStyle name="표준 10 2 2 4 3 2 2 3" xfId="32956"/>
    <cellStyle name="표준 10 2 2 4 3 2 2 4" xfId="32957"/>
    <cellStyle name="표준 10 2 2 4 3 2 3" xfId="32958"/>
    <cellStyle name="표준 10 2 2 4 3 2 3 2" xfId="32959"/>
    <cellStyle name="표준 10 2 2 4 3 2 3 3" xfId="32960"/>
    <cellStyle name="표준 10 2 2 4 3 2 4" xfId="32961"/>
    <cellStyle name="표준 10 2 2 4 3 2 5" xfId="32962"/>
    <cellStyle name="표준 10 2 2 4 3 3" xfId="32963"/>
    <cellStyle name="표준 10 2 2 4 3 3 2" xfId="32964"/>
    <cellStyle name="표준 10 2 2 4 3 3 2 2" xfId="32965"/>
    <cellStyle name="표준 10 2 2 4 3 3 2 2 2" xfId="32966"/>
    <cellStyle name="표준 10 2 2 4 3 3 2 2 3" xfId="32967"/>
    <cellStyle name="표준 10 2 2 4 3 3 2 3" xfId="32968"/>
    <cellStyle name="표준 10 2 2 4 3 3 2 4" xfId="32969"/>
    <cellStyle name="표준 10 2 2 4 3 3 3" xfId="32970"/>
    <cellStyle name="표준 10 2 2 4 3 3 3 2" xfId="32971"/>
    <cellStyle name="표준 10 2 2 4 3 3 3 3" xfId="32972"/>
    <cellStyle name="표준 10 2 2 4 3 3 4" xfId="32973"/>
    <cellStyle name="표준 10 2 2 4 3 3 5" xfId="32974"/>
    <cellStyle name="표준 10 2 2 4 3 4" xfId="32975"/>
    <cellStyle name="표준 10 2 2 4 3 4 2" xfId="32976"/>
    <cellStyle name="표준 10 2 2 4 3 4 2 2" xfId="32977"/>
    <cellStyle name="표준 10 2 2 4 3 4 2 3" xfId="32978"/>
    <cellStyle name="표준 10 2 2 4 3 4 3" xfId="32979"/>
    <cellStyle name="표준 10 2 2 4 3 4 4" xfId="32980"/>
    <cellStyle name="표준 10 2 2 4 3 5" xfId="32981"/>
    <cellStyle name="표준 10 2 2 4 3 5 2" xfId="32982"/>
    <cellStyle name="표준 10 2 2 4 3 5 3" xfId="32983"/>
    <cellStyle name="표준 10 2 2 4 3 6" xfId="32984"/>
    <cellStyle name="표준 10 2 2 4 3 7" xfId="32985"/>
    <cellStyle name="표준 10 2 2 4 4" xfId="32986"/>
    <cellStyle name="표준 10 2 2 4 4 2" xfId="32987"/>
    <cellStyle name="표준 10 2 2 4 4 2 2" xfId="32988"/>
    <cellStyle name="표준 10 2 2 4 4 2 2 2" xfId="32989"/>
    <cellStyle name="표준 10 2 2 4 4 2 2 3" xfId="32990"/>
    <cellStyle name="표준 10 2 2 4 4 2 3" xfId="32991"/>
    <cellStyle name="표준 10 2 2 4 4 2 4" xfId="32992"/>
    <cellStyle name="표준 10 2 2 4 4 3" xfId="32993"/>
    <cellStyle name="표준 10 2 2 4 4 3 2" xfId="32994"/>
    <cellStyle name="표준 10 2 2 4 4 3 3" xfId="32995"/>
    <cellStyle name="표준 10 2 2 4 4 4" xfId="32996"/>
    <cellStyle name="표준 10 2 2 4 4 5" xfId="32997"/>
    <cellStyle name="표준 10 2 2 4 5" xfId="32998"/>
    <cellStyle name="표준 10 2 2 4 5 2" xfId="32999"/>
    <cellStyle name="표준 10 2 2 4 5 2 2" xfId="33000"/>
    <cellStyle name="표준 10 2 2 4 5 2 2 2" xfId="33001"/>
    <cellStyle name="표준 10 2 2 4 5 2 2 3" xfId="33002"/>
    <cellStyle name="표준 10 2 2 4 5 2 3" xfId="33003"/>
    <cellStyle name="표준 10 2 2 4 5 2 4" xfId="33004"/>
    <cellStyle name="표준 10 2 2 4 5 3" xfId="33005"/>
    <cellStyle name="표준 10 2 2 4 5 3 2" xfId="33006"/>
    <cellStyle name="표준 10 2 2 4 5 3 3" xfId="33007"/>
    <cellStyle name="표준 10 2 2 4 5 4" xfId="33008"/>
    <cellStyle name="표준 10 2 2 4 5 5" xfId="33009"/>
    <cellStyle name="표준 10 2 2 4 6" xfId="33010"/>
    <cellStyle name="표준 10 2 2 4 6 2" xfId="33011"/>
    <cellStyle name="표준 10 2 2 4 6 2 2" xfId="33012"/>
    <cellStyle name="표준 10 2 2 4 6 2 2 2" xfId="33013"/>
    <cellStyle name="표준 10 2 2 4 6 2 2 3" xfId="33014"/>
    <cellStyle name="표준 10 2 2 4 6 2 3" xfId="33015"/>
    <cellStyle name="표준 10 2 2 4 6 2 4" xfId="33016"/>
    <cellStyle name="표준 10 2 2 4 6 3" xfId="33017"/>
    <cellStyle name="표준 10 2 2 4 6 3 2" xfId="33018"/>
    <cellStyle name="표준 10 2 2 4 6 3 3" xfId="33019"/>
    <cellStyle name="표준 10 2 2 4 6 4" xfId="33020"/>
    <cellStyle name="표준 10 2 2 4 6 5" xfId="33021"/>
    <cellStyle name="표준 10 2 2 4 7" xfId="33022"/>
    <cellStyle name="표준 10 2 2 4 7 2" xfId="33023"/>
    <cellStyle name="표준 10 2 2 4 7 2 2" xfId="33024"/>
    <cellStyle name="표준 10 2 2 4 7 2 3" xfId="33025"/>
    <cellStyle name="표준 10 2 2 4 7 3" xfId="33026"/>
    <cellStyle name="표준 10 2 2 4 7 4" xfId="33027"/>
    <cellStyle name="표준 10 2 2 4 8" xfId="33028"/>
    <cellStyle name="표준 10 2 2 4 8 2" xfId="33029"/>
    <cellStyle name="표준 10 2 2 4 8 3" xfId="33030"/>
    <cellStyle name="표준 10 2 2 4 9" xfId="33031"/>
    <cellStyle name="표준 10 2 2 5" xfId="33032"/>
    <cellStyle name="표준 10 2 2 5 2" xfId="33033"/>
    <cellStyle name="표준 10 2 2 5 2 2" xfId="33034"/>
    <cellStyle name="표준 10 2 2 5 2 2 2" xfId="33035"/>
    <cellStyle name="표준 10 2 2 5 2 2 2 2" xfId="33036"/>
    <cellStyle name="표준 10 2 2 5 2 2 2 3" xfId="33037"/>
    <cellStyle name="표준 10 2 2 5 2 2 3" xfId="33038"/>
    <cellStyle name="표준 10 2 2 5 2 2 4" xfId="33039"/>
    <cellStyle name="표준 10 2 2 5 2 3" xfId="33040"/>
    <cellStyle name="표준 10 2 2 5 2 3 2" xfId="33041"/>
    <cellStyle name="표준 10 2 2 5 2 3 3" xfId="33042"/>
    <cellStyle name="표준 10 2 2 5 2 4" xfId="33043"/>
    <cellStyle name="표준 10 2 2 5 2 5" xfId="33044"/>
    <cellStyle name="표준 10 2 2 5 3" xfId="33045"/>
    <cellStyle name="표준 10 2 2 5 3 2" xfId="33046"/>
    <cellStyle name="표준 10 2 2 5 3 2 2" xfId="33047"/>
    <cellStyle name="표준 10 2 2 5 3 2 2 2" xfId="33048"/>
    <cellStyle name="표준 10 2 2 5 3 2 2 3" xfId="33049"/>
    <cellStyle name="표준 10 2 2 5 3 2 3" xfId="33050"/>
    <cellStyle name="표준 10 2 2 5 3 2 4" xfId="33051"/>
    <cellStyle name="표준 10 2 2 5 3 3" xfId="33052"/>
    <cellStyle name="표준 10 2 2 5 3 3 2" xfId="33053"/>
    <cellStyle name="표준 10 2 2 5 3 3 3" xfId="33054"/>
    <cellStyle name="표준 10 2 2 5 3 4" xfId="33055"/>
    <cellStyle name="표준 10 2 2 5 3 5" xfId="33056"/>
    <cellStyle name="표준 10 2 2 5 4" xfId="33057"/>
    <cellStyle name="표준 10 2 2 5 4 2" xfId="33058"/>
    <cellStyle name="표준 10 2 2 5 4 2 2" xfId="33059"/>
    <cellStyle name="표준 10 2 2 5 4 2 3" xfId="33060"/>
    <cellStyle name="표준 10 2 2 5 4 3" xfId="33061"/>
    <cellStyle name="표준 10 2 2 5 4 4" xfId="33062"/>
    <cellStyle name="표준 10 2 2 5 5" xfId="33063"/>
    <cellStyle name="표준 10 2 2 5 5 2" xfId="33064"/>
    <cellStyle name="표준 10 2 2 5 5 3" xfId="33065"/>
    <cellStyle name="표준 10 2 2 5 6" xfId="33066"/>
    <cellStyle name="표준 10 2 2 5 7" xfId="33067"/>
    <cellStyle name="표준 10 2 2 6" xfId="33068"/>
    <cellStyle name="표준 10 2 2 6 2" xfId="33069"/>
    <cellStyle name="표준 10 2 2 6 2 2" xfId="33070"/>
    <cellStyle name="표준 10 2 2 6 2 2 2" xfId="33071"/>
    <cellStyle name="표준 10 2 2 6 2 2 2 2" xfId="33072"/>
    <cellStyle name="표준 10 2 2 6 2 2 2 3" xfId="33073"/>
    <cellStyle name="표준 10 2 2 6 2 2 3" xfId="33074"/>
    <cellStyle name="표준 10 2 2 6 2 2 4" xfId="33075"/>
    <cellStyle name="표준 10 2 2 6 2 3" xfId="33076"/>
    <cellStyle name="표준 10 2 2 6 2 3 2" xfId="33077"/>
    <cellStyle name="표준 10 2 2 6 2 3 3" xfId="33078"/>
    <cellStyle name="표준 10 2 2 6 2 4" xfId="33079"/>
    <cellStyle name="표준 10 2 2 6 2 5" xfId="33080"/>
    <cellStyle name="표준 10 2 2 6 3" xfId="33081"/>
    <cellStyle name="표준 10 2 2 6 3 2" xfId="33082"/>
    <cellStyle name="표준 10 2 2 6 3 2 2" xfId="33083"/>
    <cellStyle name="표준 10 2 2 6 3 2 2 2" xfId="33084"/>
    <cellStyle name="표준 10 2 2 6 3 2 2 3" xfId="33085"/>
    <cellStyle name="표준 10 2 2 6 3 2 3" xfId="33086"/>
    <cellStyle name="표준 10 2 2 6 3 2 4" xfId="33087"/>
    <cellStyle name="표준 10 2 2 6 3 3" xfId="33088"/>
    <cellStyle name="표준 10 2 2 6 3 3 2" xfId="33089"/>
    <cellStyle name="표준 10 2 2 6 3 3 3" xfId="33090"/>
    <cellStyle name="표준 10 2 2 6 3 4" xfId="33091"/>
    <cellStyle name="표준 10 2 2 6 3 5" xfId="33092"/>
    <cellStyle name="표준 10 2 2 6 4" xfId="33093"/>
    <cellStyle name="표준 10 2 2 6 4 2" xfId="33094"/>
    <cellStyle name="표준 10 2 2 6 4 2 2" xfId="33095"/>
    <cellStyle name="표준 10 2 2 6 4 2 3" xfId="33096"/>
    <cellStyle name="표준 10 2 2 6 4 3" xfId="33097"/>
    <cellStyle name="표준 10 2 2 6 4 4" xfId="33098"/>
    <cellStyle name="표준 10 2 2 6 5" xfId="33099"/>
    <cellStyle name="표준 10 2 2 6 5 2" xfId="33100"/>
    <cellStyle name="표준 10 2 2 6 5 3" xfId="33101"/>
    <cellStyle name="표준 10 2 2 6 6" xfId="33102"/>
    <cellStyle name="표준 10 2 2 6 7" xfId="33103"/>
    <cellStyle name="표준 10 2 2 7" xfId="33104"/>
    <cellStyle name="표준 10 2 2 7 2" xfId="33105"/>
    <cellStyle name="표준 10 2 2 7 2 2" xfId="33106"/>
    <cellStyle name="표준 10 2 2 7 2 2 2" xfId="33107"/>
    <cellStyle name="표준 10 2 2 7 2 2 3" xfId="33108"/>
    <cellStyle name="표준 10 2 2 7 2 3" xfId="33109"/>
    <cellStyle name="표준 10 2 2 7 2 4" xfId="33110"/>
    <cellStyle name="표준 10 2 2 7 3" xfId="33111"/>
    <cellStyle name="표준 10 2 2 7 3 2" xfId="33112"/>
    <cellStyle name="표준 10 2 2 7 3 3" xfId="33113"/>
    <cellStyle name="표준 10 2 2 7 4" xfId="33114"/>
    <cellStyle name="표준 10 2 2 7 5" xfId="33115"/>
    <cellStyle name="표준 10 2 2 8" xfId="33116"/>
    <cellStyle name="표준 10 2 2 8 2" xfId="33117"/>
    <cellStyle name="표준 10 2 2 8 2 2" xfId="33118"/>
    <cellStyle name="표준 10 2 2 8 2 2 2" xfId="33119"/>
    <cellStyle name="표준 10 2 2 8 2 2 3" xfId="33120"/>
    <cellStyle name="표준 10 2 2 8 2 3" xfId="33121"/>
    <cellStyle name="표준 10 2 2 8 2 4" xfId="33122"/>
    <cellStyle name="표준 10 2 2 8 3" xfId="33123"/>
    <cellStyle name="표준 10 2 2 8 3 2" xfId="33124"/>
    <cellStyle name="표준 10 2 2 8 3 3" xfId="33125"/>
    <cellStyle name="표준 10 2 2 8 4" xfId="33126"/>
    <cellStyle name="표준 10 2 2 8 5" xfId="33127"/>
    <cellStyle name="표준 10 2 2 9" xfId="33128"/>
    <cellStyle name="표준 10 2 2 9 2" xfId="33129"/>
    <cellStyle name="표준 10 2 2 9 2 2" xfId="33130"/>
    <cellStyle name="표준 10 2 2 9 2 2 2" xfId="33131"/>
    <cellStyle name="표준 10 2 2 9 2 2 3" xfId="33132"/>
    <cellStyle name="표준 10 2 2 9 2 3" xfId="33133"/>
    <cellStyle name="표준 10 2 2 9 2 4" xfId="33134"/>
    <cellStyle name="표준 10 2 2 9 3" xfId="33135"/>
    <cellStyle name="표준 10 2 2 9 3 2" xfId="33136"/>
    <cellStyle name="표준 10 2 2 9 3 3" xfId="33137"/>
    <cellStyle name="표준 10 2 2 9 4" xfId="33138"/>
    <cellStyle name="표준 10 2 2 9 5" xfId="33139"/>
    <cellStyle name="표준 10 2 3" xfId="33140"/>
    <cellStyle name="표준 10 2 3 10" xfId="33141"/>
    <cellStyle name="표준 10 2 3 2" xfId="33142"/>
    <cellStyle name="표준 10 2 3 2 2" xfId="33143"/>
    <cellStyle name="표준 10 2 3 2 2 2" xfId="33144"/>
    <cellStyle name="표준 10 2 3 2 2 2 2" xfId="33145"/>
    <cellStyle name="표준 10 2 3 2 2 2 2 2" xfId="33146"/>
    <cellStyle name="표준 10 2 3 2 2 2 2 3" xfId="33147"/>
    <cellStyle name="표준 10 2 3 2 2 2 3" xfId="33148"/>
    <cellStyle name="표준 10 2 3 2 2 2 4" xfId="33149"/>
    <cellStyle name="표준 10 2 3 2 2 3" xfId="33150"/>
    <cellStyle name="표준 10 2 3 2 2 3 2" xfId="33151"/>
    <cellStyle name="표준 10 2 3 2 2 3 3" xfId="33152"/>
    <cellStyle name="표준 10 2 3 2 2 4" xfId="33153"/>
    <cellStyle name="표준 10 2 3 2 2 5" xfId="33154"/>
    <cellStyle name="표준 10 2 3 2 3" xfId="33155"/>
    <cellStyle name="표준 10 2 3 2 3 2" xfId="33156"/>
    <cellStyle name="표준 10 2 3 2 3 2 2" xfId="33157"/>
    <cellStyle name="표준 10 2 3 2 3 2 2 2" xfId="33158"/>
    <cellStyle name="표준 10 2 3 2 3 2 2 3" xfId="33159"/>
    <cellStyle name="표준 10 2 3 2 3 2 3" xfId="33160"/>
    <cellStyle name="표준 10 2 3 2 3 2 4" xfId="33161"/>
    <cellStyle name="표준 10 2 3 2 3 3" xfId="33162"/>
    <cellStyle name="표준 10 2 3 2 3 3 2" xfId="33163"/>
    <cellStyle name="표준 10 2 3 2 3 3 3" xfId="33164"/>
    <cellStyle name="표준 10 2 3 2 3 4" xfId="33165"/>
    <cellStyle name="표준 10 2 3 2 3 5" xfId="33166"/>
    <cellStyle name="표준 10 2 3 2 4" xfId="33167"/>
    <cellStyle name="표준 10 2 3 2 4 2" xfId="33168"/>
    <cellStyle name="표준 10 2 3 2 4 2 2" xfId="33169"/>
    <cellStyle name="표준 10 2 3 2 4 2 3" xfId="33170"/>
    <cellStyle name="표준 10 2 3 2 4 3" xfId="33171"/>
    <cellStyle name="표준 10 2 3 2 4 4" xfId="33172"/>
    <cellStyle name="표준 10 2 3 2 5" xfId="33173"/>
    <cellStyle name="표준 10 2 3 2 5 2" xfId="33174"/>
    <cellStyle name="표준 10 2 3 2 5 3" xfId="33175"/>
    <cellStyle name="표준 10 2 3 2 6" xfId="33176"/>
    <cellStyle name="표준 10 2 3 2 7" xfId="33177"/>
    <cellStyle name="표준 10 2 3 3" xfId="33178"/>
    <cellStyle name="표준 10 2 3 3 2" xfId="33179"/>
    <cellStyle name="표준 10 2 3 3 2 2" xfId="33180"/>
    <cellStyle name="표준 10 2 3 3 2 2 2" xfId="33181"/>
    <cellStyle name="표준 10 2 3 3 2 2 2 2" xfId="33182"/>
    <cellStyle name="표준 10 2 3 3 2 2 2 3" xfId="33183"/>
    <cellStyle name="표준 10 2 3 3 2 2 3" xfId="33184"/>
    <cellStyle name="표준 10 2 3 3 2 2 4" xfId="33185"/>
    <cellStyle name="표준 10 2 3 3 2 3" xfId="33186"/>
    <cellStyle name="표준 10 2 3 3 2 3 2" xfId="33187"/>
    <cellStyle name="표준 10 2 3 3 2 3 3" xfId="33188"/>
    <cellStyle name="표준 10 2 3 3 2 4" xfId="33189"/>
    <cellStyle name="표준 10 2 3 3 2 5" xfId="33190"/>
    <cellStyle name="표준 10 2 3 3 3" xfId="33191"/>
    <cellStyle name="표준 10 2 3 3 3 2" xfId="33192"/>
    <cellStyle name="표준 10 2 3 3 3 2 2" xfId="33193"/>
    <cellStyle name="표준 10 2 3 3 3 2 2 2" xfId="33194"/>
    <cellStyle name="표준 10 2 3 3 3 2 2 3" xfId="33195"/>
    <cellStyle name="표준 10 2 3 3 3 2 3" xfId="33196"/>
    <cellStyle name="표준 10 2 3 3 3 2 4" xfId="33197"/>
    <cellStyle name="표준 10 2 3 3 3 3" xfId="33198"/>
    <cellStyle name="표준 10 2 3 3 3 3 2" xfId="33199"/>
    <cellStyle name="표준 10 2 3 3 3 3 3" xfId="33200"/>
    <cellStyle name="표준 10 2 3 3 3 4" xfId="33201"/>
    <cellStyle name="표준 10 2 3 3 3 5" xfId="33202"/>
    <cellStyle name="표준 10 2 3 3 4" xfId="33203"/>
    <cellStyle name="표준 10 2 3 3 4 2" xfId="33204"/>
    <cellStyle name="표준 10 2 3 3 4 2 2" xfId="33205"/>
    <cellStyle name="표준 10 2 3 3 4 2 3" xfId="33206"/>
    <cellStyle name="표준 10 2 3 3 4 3" xfId="33207"/>
    <cellStyle name="표준 10 2 3 3 4 4" xfId="33208"/>
    <cellStyle name="표준 10 2 3 3 5" xfId="33209"/>
    <cellStyle name="표준 10 2 3 3 5 2" xfId="33210"/>
    <cellStyle name="표준 10 2 3 3 5 3" xfId="33211"/>
    <cellStyle name="표준 10 2 3 3 6" xfId="33212"/>
    <cellStyle name="표준 10 2 3 3 7" xfId="33213"/>
    <cellStyle name="표준 10 2 3 4" xfId="33214"/>
    <cellStyle name="표준 10 2 3 4 2" xfId="33215"/>
    <cellStyle name="표준 10 2 3 4 2 2" xfId="33216"/>
    <cellStyle name="표준 10 2 3 4 2 2 2" xfId="33217"/>
    <cellStyle name="표준 10 2 3 4 2 2 3" xfId="33218"/>
    <cellStyle name="표준 10 2 3 4 2 3" xfId="33219"/>
    <cellStyle name="표준 10 2 3 4 2 4" xfId="33220"/>
    <cellStyle name="표준 10 2 3 4 3" xfId="33221"/>
    <cellStyle name="표준 10 2 3 4 3 2" xfId="33222"/>
    <cellStyle name="표준 10 2 3 4 3 3" xfId="33223"/>
    <cellStyle name="표준 10 2 3 4 4" xfId="33224"/>
    <cellStyle name="표준 10 2 3 4 5" xfId="33225"/>
    <cellStyle name="표준 10 2 3 5" xfId="33226"/>
    <cellStyle name="표준 10 2 3 5 2" xfId="33227"/>
    <cellStyle name="표준 10 2 3 5 2 2" xfId="33228"/>
    <cellStyle name="표준 10 2 3 5 2 2 2" xfId="33229"/>
    <cellStyle name="표준 10 2 3 5 2 2 3" xfId="33230"/>
    <cellStyle name="표준 10 2 3 5 2 3" xfId="33231"/>
    <cellStyle name="표준 10 2 3 5 2 4" xfId="33232"/>
    <cellStyle name="표준 10 2 3 5 3" xfId="33233"/>
    <cellStyle name="표준 10 2 3 5 3 2" xfId="33234"/>
    <cellStyle name="표준 10 2 3 5 3 3" xfId="33235"/>
    <cellStyle name="표준 10 2 3 5 4" xfId="33236"/>
    <cellStyle name="표준 10 2 3 5 5" xfId="33237"/>
    <cellStyle name="표준 10 2 3 6" xfId="33238"/>
    <cellStyle name="표준 10 2 3 6 2" xfId="33239"/>
    <cellStyle name="표준 10 2 3 6 2 2" xfId="33240"/>
    <cellStyle name="표준 10 2 3 6 2 2 2" xfId="33241"/>
    <cellStyle name="표준 10 2 3 6 2 2 3" xfId="33242"/>
    <cellStyle name="표준 10 2 3 6 2 3" xfId="33243"/>
    <cellStyle name="표준 10 2 3 6 2 4" xfId="33244"/>
    <cellStyle name="표준 10 2 3 6 3" xfId="33245"/>
    <cellStyle name="표준 10 2 3 6 3 2" xfId="33246"/>
    <cellStyle name="표준 10 2 3 6 3 3" xfId="33247"/>
    <cellStyle name="표준 10 2 3 6 4" xfId="33248"/>
    <cellStyle name="표준 10 2 3 6 5" xfId="33249"/>
    <cellStyle name="표준 10 2 3 7" xfId="33250"/>
    <cellStyle name="표준 10 2 3 7 2" xfId="33251"/>
    <cellStyle name="표준 10 2 3 7 2 2" xfId="33252"/>
    <cellStyle name="표준 10 2 3 7 2 3" xfId="33253"/>
    <cellStyle name="표준 10 2 3 7 3" xfId="33254"/>
    <cellStyle name="표준 10 2 3 7 4" xfId="33255"/>
    <cellStyle name="표준 10 2 3 8" xfId="33256"/>
    <cellStyle name="표준 10 2 3 8 2" xfId="33257"/>
    <cellStyle name="표준 10 2 3 8 3" xfId="33258"/>
    <cellStyle name="표준 10 2 3 9" xfId="33259"/>
    <cellStyle name="표준 10 2 4" xfId="33260"/>
    <cellStyle name="표준 10 2 4 10" xfId="33261"/>
    <cellStyle name="표준 10 2 4 2" xfId="33262"/>
    <cellStyle name="표준 10 2 4 2 2" xfId="33263"/>
    <cellStyle name="표준 10 2 4 2 2 2" xfId="33264"/>
    <cellStyle name="표준 10 2 4 2 2 2 2" xfId="33265"/>
    <cellStyle name="표준 10 2 4 2 2 2 2 2" xfId="33266"/>
    <cellStyle name="표준 10 2 4 2 2 2 2 3" xfId="33267"/>
    <cellStyle name="표준 10 2 4 2 2 2 3" xfId="33268"/>
    <cellStyle name="표준 10 2 4 2 2 2 4" xfId="33269"/>
    <cellStyle name="표준 10 2 4 2 2 3" xfId="33270"/>
    <cellStyle name="표준 10 2 4 2 2 3 2" xfId="33271"/>
    <cellStyle name="표준 10 2 4 2 2 3 3" xfId="33272"/>
    <cellStyle name="표준 10 2 4 2 2 4" xfId="33273"/>
    <cellStyle name="표준 10 2 4 2 2 5" xfId="33274"/>
    <cellStyle name="표준 10 2 4 2 3" xfId="33275"/>
    <cellStyle name="표준 10 2 4 2 3 2" xfId="33276"/>
    <cellStyle name="표준 10 2 4 2 3 2 2" xfId="33277"/>
    <cellStyle name="표준 10 2 4 2 3 2 2 2" xfId="33278"/>
    <cellStyle name="표준 10 2 4 2 3 2 2 3" xfId="33279"/>
    <cellStyle name="표준 10 2 4 2 3 2 3" xfId="33280"/>
    <cellStyle name="표준 10 2 4 2 3 2 4" xfId="33281"/>
    <cellStyle name="표준 10 2 4 2 3 3" xfId="33282"/>
    <cellStyle name="표준 10 2 4 2 3 3 2" xfId="33283"/>
    <cellStyle name="표준 10 2 4 2 3 3 3" xfId="33284"/>
    <cellStyle name="표준 10 2 4 2 3 4" xfId="33285"/>
    <cellStyle name="표준 10 2 4 2 3 5" xfId="33286"/>
    <cellStyle name="표준 10 2 4 2 4" xfId="33287"/>
    <cellStyle name="표준 10 2 4 2 4 2" xfId="33288"/>
    <cellStyle name="표준 10 2 4 2 4 2 2" xfId="33289"/>
    <cellStyle name="표준 10 2 4 2 4 2 3" xfId="33290"/>
    <cellStyle name="표준 10 2 4 2 4 3" xfId="33291"/>
    <cellStyle name="표준 10 2 4 2 4 4" xfId="33292"/>
    <cellStyle name="표준 10 2 4 2 5" xfId="33293"/>
    <cellStyle name="표준 10 2 4 2 5 2" xfId="33294"/>
    <cellStyle name="표준 10 2 4 2 5 3" xfId="33295"/>
    <cellStyle name="표준 10 2 4 2 6" xfId="33296"/>
    <cellStyle name="표준 10 2 4 2 7" xfId="33297"/>
    <cellStyle name="표준 10 2 4 3" xfId="33298"/>
    <cellStyle name="표준 10 2 4 3 2" xfId="33299"/>
    <cellStyle name="표준 10 2 4 3 2 2" xfId="33300"/>
    <cellStyle name="표준 10 2 4 3 2 2 2" xfId="33301"/>
    <cellStyle name="표준 10 2 4 3 2 2 2 2" xfId="33302"/>
    <cellStyle name="표준 10 2 4 3 2 2 2 3" xfId="33303"/>
    <cellStyle name="표준 10 2 4 3 2 2 3" xfId="33304"/>
    <cellStyle name="표준 10 2 4 3 2 2 4" xfId="33305"/>
    <cellStyle name="표준 10 2 4 3 2 3" xfId="33306"/>
    <cellStyle name="표준 10 2 4 3 2 3 2" xfId="33307"/>
    <cellStyle name="표준 10 2 4 3 2 3 3" xfId="33308"/>
    <cellStyle name="표준 10 2 4 3 2 4" xfId="33309"/>
    <cellStyle name="표준 10 2 4 3 2 5" xfId="33310"/>
    <cellStyle name="표준 10 2 4 3 3" xfId="33311"/>
    <cellStyle name="표준 10 2 4 3 3 2" xfId="33312"/>
    <cellStyle name="표준 10 2 4 3 3 2 2" xfId="33313"/>
    <cellStyle name="표준 10 2 4 3 3 2 2 2" xfId="33314"/>
    <cellStyle name="표준 10 2 4 3 3 2 2 3" xfId="33315"/>
    <cellStyle name="표준 10 2 4 3 3 2 3" xfId="33316"/>
    <cellStyle name="표준 10 2 4 3 3 2 4" xfId="33317"/>
    <cellStyle name="표준 10 2 4 3 3 3" xfId="33318"/>
    <cellStyle name="표준 10 2 4 3 3 3 2" xfId="33319"/>
    <cellStyle name="표준 10 2 4 3 3 3 3" xfId="33320"/>
    <cellStyle name="표준 10 2 4 3 3 4" xfId="33321"/>
    <cellStyle name="표준 10 2 4 3 3 5" xfId="33322"/>
    <cellStyle name="표준 10 2 4 3 4" xfId="33323"/>
    <cellStyle name="표준 10 2 4 3 4 2" xfId="33324"/>
    <cellStyle name="표준 10 2 4 3 4 2 2" xfId="33325"/>
    <cellStyle name="표준 10 2 4 3 4 2 3" xfId="33326"/>
    <cellStyle name="표준 10 2 4 3 4 3" xfId="33327"/>
    <cellStyle name="표준 10 2 4 3 4 4" xfId="33328"/>
    <cellStyle name="표준 10 2 4 3 5" xfId="33329"/>
    <cellStyle name="표준 10 2 4 3 5 2" xfId="33330"/>
    <cellStyle name="표준 10 2 4 3 5 3" xfId="33331"/>
    <cellStyle name="표준 10 2 4 3 6" xfId="33332"/>
    <cellStyle name="표준 10 2 4 3 7" xfId="33333"/>
    <cellStyle name="표준 10 2 4 4" xfId="33334"/>
    <cellStyle name="표준 10 2 4 4 2" xfId="33335"/>
    <cellStyle name="표준 10 2 4 4 2 2" xfId="33336"/>
    <cellStyle name="표준 10 2 4 4 2 2 2" xfId="33337"/>
    <cellStyle name="표준 10 2 4 4 2 2 3" xfId="33338"/>
    <cellStyle name="표준 10 2 4 4 2 3" xfId="33339"/>
    <cellStyle name="표준 10 2 4 4 2 4" xfId="33340"/>
    <cellStyle name="표준 10 2 4 4 3" xfId="33341"/>
    <cellStyle name="표준 10 2 4 4 3 2" xfId="33342"/>
    <cellStyle name="표준 10 2 4 4 3 3" xfId="33343"/>
    <cellStyle name="표준 10 2 4 4 4" xfId="33344"/>
    <cellStyle name="표준 10 2 4 4 5" xfId="33345"/>
    <cellStyle name="표준 10 2 4 5" xfId="33346"/>
    <cellStyle name="표준 10 2 4 5 2" xfId="33347"/>
    <cellStyle name="표준 10 2 4 5 2 2" xfId="33348"/>
    <cellStyle name="표준 10 2 4 5 2 2 2" xfId="33349"/>
    <cellStyle name="표준 10 2 4 5 2 2 3" xfId="33350"/>
    <cellStyle name="표준 10 2 4 5 2 3" xfId="33351"/>
    <cellStyle name="표준 10 2 4 5 2 4" xfId="33352"/>
    <cellStyle name="표준 10 2 4 5 3" xfId="33353"/>
    <cellStyle name="표준 10 2 4 5 3 2" xfId="33354"/>
    <cellStyle name="표준 10 2 4 5 3 3" xfId="33355"/>
    <cellStyle name="표준 10 2 4 5 4" xfId="33356"/>
    <cellStyle name="표준 10 2 4 5 5" xfId="33357"/>
    <cellStyle name="표준 10 2 4 6" xfId="33358"/>
    <cellStyle name="표준 10 2 4 6 2" xfId="33359"/>
    <cellStyle name="표준 10 2 4 6 2 2" xfId="33360"/>
    <cellStyle name="표준 10 2 4 6 2 2 2" xfId="33361"/>
    <cellStyle name="표준 10 2 4 6 2 2 3" xfId="33362"/>
    <cellStyle name="표준 10 2 4 6 2 3" xfId="33363"/>
    <cellStyle name="표준 10 2 4 6 2 4" xfId="33364"/>
    <cellStyle name="표준 10 2 4 6 3" xfId="33365"/>
    <cellStyle name="표준 10 2 4 6 3 2" xfId="33366"/>
    <cellStyle name="표준 10 2 4 6 3 3" xfId="33367"/>
    <cellStyle name="표준 10 2 4 6 4" xfId="33368"/>
    <cellStyle name="표준 10 2 4 6 5" xfId="33369"/>
    <cellStyle name="표준 10 2 4 7" xfId="33370"/>
    <cellStyle name="표준 10 2 4 7 2" xfId="33371"/>
    <cellStyle name="표준 10 2 4 7 2 2" xfId="33372"/>
    <cellStyle name="표준 10 2 4 7 2 3" xfId="33373"/>
    <cellStyle name="표준 10 2 4 7 3" xfId="33374"/>
    <cellStyle name="표준 10 2 4 7 4" xfId="33375"/>
    <cellStyle name="표준 10 2 4 8" xfId="33376"/>
    <cellStyle name="표준 10 2 4 8 2" xfId="33377"/>
    <cellStyle name="표준 10 2 4 8 3" xfId="33378"/>
    <cellStyle name="표준 10 2 4 9" xfId="33379"/>
    <cellStyle name="표준 10 2 5" xfId="33380"/>
    <cellStyle name="표준 10 2 5 10" xfId="33381"/>
    <cellStyle name="표준 10 2 5 2" xfId="33382"/>
    <cellStyle name="표준 10 2 5 2 2" xfId="33383"/>
    <cellStyle name="표준 10 2 5 2 2 2" xfId="33384"/>
    <cellStyle name="표준 10 2 5 2 2 2 2" xfId="33385"/>
    <cellStyle name="표준 10 2 5 2 2 2 2 2" xfId="33386"/>
    <cellStyle name="표준 10 2 5 2 2 2 2 3" xfId="33387"/>
    <cellStyle name="표준 10 2 5 2 2 2 3" xfId="33388"/>
    <cellStyle name="표준 10 2 5 2 2 2 4" xfId="33389"/>
    <cellStyle name="표준 10 2 5 2 2 3" xfId="33390"/>
    <cellStyle name="표준 10 2 5 2 2 3 2" xfId="33391"/>
    <cellStyle name="표준 10 2 5 2 2 3 3" xfId="33392"/>
    <cellStyle name="표준 10 2 5 2 2 4" xfId="33393"/>
    <cellStyle name="표준 10 2 5 2 2 5" xfId="33394"/>
    <cellStyle name="표준 10 2 5 2 3" xfId="33395"/>
    <cellStyle name="표준 10 2 5 2 3 2" xfId="33396"/>
    <cellStyle name="표준 10 2 5 2 3 2 2" xfId="33397"/>
    <cellStyle name="표준 10 2 5 2 3 2 2 2" xfId="33398"/>
    <cellStyle name="표준 10 2 5 2 3 2 2 3" xfId="33399"/>
    <cellStyle name="표준 10 2 5 2 3 2 3" xfId="33400"/>
    <cellStyle name="표준 10 2 5 2 3 2 4" xfId="33401"/>
    <cellStyle name="표준 10 2 5 2 3 3" xfId="33402"/>
    <cellStyle name="표준 10 2 5 2 3 3 2" xfId="33403"/>
    <cellStyle name="표준 10 2 5 2 3 3 3" xfId="33404"/>
    <cellStyle name="표준 10 2 5 2 3 4" xfId="33405"/>
    <cellStyle name="표준 10 2 5 2 3 5" xfId="33406"/>
    <cellStyle name="표준 10 2 5 2 4" xfId="33407"/>
    <cellStyle name="표준 10 2 5 2 4 2" xfId="33408"/>
    <cellStyle name="표준 10 2 5 2 4 2 2" xfId="33409"/>
    <cellStyle name="표준 10 2 5 2 4 2 3" xfId="33410"/>
    <cellStyle name="표준 10 2 5 2 4 3" xfId="33411"/>
    <cellStyle name="표준 10 2 5 2 4 4" xfId="33412"/>
    <cellStyle name="표준 10 2 5 2 5" xfId="33413"/>
    <cellStyle name="표준 10 2 5 2 5 2" xfId="33414"/>
    <cellStyle name="표준 10 2 5 2 5 3" xfId="33415"/>
    <cellStyle name="표준 10 2 5 2 6" xfId="33416"/>
    <cellStyle name="표준 10 2 5 2 7" xfId="33417"/>
    <cellStyle name="표준 10 2 5 3" xfId="33418"/>
    <cellStyle name="표준 10 2 5 3 2" xfId="33419"/>
    <cellStyle name="표준 10 2 5 3 2 2" xfId="33420"/>
    <cellStyle name="표준 10 2 5 3 2 2 2" xfId="33421"/>
    <cellStyle name="표준 10 2 5 3 2 2 2 2" xfId="33422"/>
    <cellStyle name="표준 10 2 5 3 2 2 2 3" xfId="33423"/>
    <cellStyle name="표준 10 2 5 3 2 2 3" xfId="33424"/>
    <cellStyle name="표준 10 2 5 3 2 2 4" xfId="33425"/>
    <cellStyle name="표준 10 2 5 3 2 3" xfId="33426"/>
    <cellStyle name="표준 10 2 5 3 2 3 2" xfId="33427"/>
    <cellStyle name="표준 10 2 5 3 2 3 3" xfId="33428"/>
    <cellStyle name="표준 10 2 5 3 2 4" xfId="33429"/>
    <cellStyle name="표준 10 2 5 3 2 5" xfId="33430"/>
    <cellStyle name="표준 10 2 5 3 3" xfId="33431"/>
    <cellStyle name="표준 10 2 5 3 3 2" xfId="33432"/>
    <cellStyle name="표준 10 2 5 3 3 2 2" xfId="33433"/>
    <cellStyle name="표준 10 2 5 3 3 2 2 2" xfId="33434"/>
    <cellStyle name="표준 10 2 5 3 3 2 2 3" xfId="33435"/>
    <cellStyle name="표준 10 2 5 3 3 2 3" xfId="33436"/>
    <cellStyle name="표준 10 2 5 3 3 2 4" xfId="33437"/>
    <cellStyle name="표준 10 2 5 3 3 3" xfId="33438"/>
    <cellStyle name="표준 10 2 5 3 3 3 2" xfId="33439"/>
    <cellStyle name="표준 10 2 5 3 3 3 3" xfId="33440"/>
    <cellStyle name="표준 10 2 5 3 3 4" xfId="33441"/>
    <cellStyle name="표준 10 2 5 3 3 5" xfId="33442"/>
    <cellStyle name="표준 10 2 5 3 4" xfId="33443"/>
    <cellStyle name="표준 10 2 5 3 4 2" xfId="33444"/>
    <cellStyle name="표준 10 2 5 3 4 2 2" xfId="33445"/>
    <cellStyle name="표준 10 2 5 3 4 2 3" xfId="33446"/>
    <cellStyle name="표준 10 2 5 3 4 3" xfId="33447"/>
    <cellStyle name="표준 10 2 5 3 4 4" xfId="33448"/>
    <cellStyle name="표준 10 2 5 3 5" xfId="33449"/>
    <cellStyle name="표준 10 2 5 3 5 2" xfId="33450"/>
    <cellStyle name="표준 10 2 5 3 5 3" xfId="33451"/>
    <cellStyle name="표준 10 2 5 3 6" xfId="33452"/>
    <cellStyle name="표준 10 2 5 3 7" xfId="33453"/>
    <cellStyle name="표준 10 2 5 4" xfId="33454"/>
    <cellStyle name="표준 10 2 5 4 2" xfId="33455"/>
    <cellStyle name="표준 10 2 5 4 2 2" xfId="33456"/>
    <cellStyle name="표준 10 2 5 4 2 2 2" xfId="33457"/>
    <cellStyle name="표준 10 2 5 4 2 2 3" xfId="33458"/>
    <cellStyle name="표준 10 2 5 4 2 3" xfId="33459"/>
    <cellStyle name="표준 10 2 5 4 2 4" xfId="33460"/>
    <cellStyle name="표준 10 2 5 4 3" xfId="33461"/>
    <cellStyle name="표준 10 2 5 4 3 2" xfId="33462"/>
    <cellStyle name="표준 10 2 5 4 3 3" xfId="33463"/>
    <cellStyle name="표준 10 2 5 4 4" xfId="33464"/>
    <cellStyle name="표준 10 2 5 4 5" xfId="33465"/>
    <cellStyle name="표준 10 2 5 5" xfId="33466"/>
    <cellStyle name="표준 10 2 5 5 2" xfId="33467"/>
    <cellStyle name="표준 10 2 5 5 2 2" xfId="33468"/>
    <cellStyle name="표준 10 2 5 5 2 2 2" xfId="33469"/>
    <cellStyle name="표준 10 2 5 5 2 2 3" xfId="33470"/>
    <cellStyle name="표준 10 2 5 5 2 3" xfId="33471"/>
    <cellStyle name="표준 10 2 5 5 2 4" xfId="33472"/>
    <cellStyle name="표준 10 2 5 5 3" xfId="33473"/>
    <cellStyle name="표준 10 2 5 5 3 2" xfId="33474"/>
    <cellStyle name="표준 10 2 5 5 3 3" xfId="33475"/>
    <cellStyle name="표준 10 2 5 5 4" xfId="33476"/>
    <cellStyle name="표준 10 2 5 5 5" xfId="33477"/>
    <cellStyle name="표준 10 2 5 6" xfId="33478"/>
    <cellStyle name="표준 10 2 5 6 2" xfId="33479"/>
    <cellStyle name="표준 10 2 5 6 2 2" xfId="33480"/>
    <cellStyle name="표준 10 2 5 6 2 2 2" xfId="33481"/>
    <cellStyle name="표준 10 2 5 6 2 2 3" xfId="33482"/>
    <cellStyle name="표준 10 2 5 6 2 3" xfId="33483"/>
    <cellStyle name="표준 10 2 5 6 2 4" xfId="33484"/>
    <cellStyle name="표준 10 2 5 6 3" xfId="33485"/>
    <cellStyle name="표준 10 2 5 6 3 2" xfId="33486"/>
    <cellStyle name="표준 10 2 5 6 3 3" xfId="33487"/>
    <cellStyle name="표준 10 2 5 6 4" xfId="33488"/>
    <cellStyle name="표준 10 2 5 6 5" xfId="33489"/>
    <cellStyle name="표준 10 2 5 7" xfId="33490"/>
    <cellStyle name="표준 10 2 5 7 2" xfId="33491"/>
    <cellStyle name="표준 10 2 5 7 2 2" xfId="33492"/>
    <cellStyle name="표준 10 2 5 7 2 3" xfId="33493"/>
    <cellStyle name="표준 10 2 5 7 3" xfId="33494"/>
    <cellStyle name="표준 10 2 5 7 4" xfId="33495"/>
    <cellStyle name="표준 10 2 5 8" xfId="33496"/>
    <cellStyle name="표준 10 2 5 8 2" xfId="33497"/>
    <cellStyle name="표준 10 2 5 8 3" xfId="33498"/>
    <cellStyle name="표준 10 2 5 9" xfId="33499"/>
    <cellStyle name="표준 10 2 6" xfId="33500"/>
    <cellStyle name="표준 10 2 6 2" xfId="33501"/>
    <cellStyle name="표준 10 2 6 2 2" xfId="33502"/>
    <cellStyle name="표준 10 2 6 2 2 2" xfId="33503"/>
    <cellStyle name="표준 10 2 6 2 2 2 2" xfId="33504"/>
    <cellStyle name="표준 10 2 6 2 2 2 3" xfId="33505"/>
    <cellStyle name="표준 10 2 6 2 2 3" xfId="33506"/>
    <cellStyle name="표준 10 2 6 2 2 4" xfId="33507"/>
    <cellStyle name="표준 10 2 6 2 3" xfId="33508"/>
    <cellStyle name="표준 10 2 6 2 3 2" xfId="33509"/>
    <cellStyle name="표준 10 2 6 2 3 3" xfId="33510"/>
    <cellStyle name="표준 10 2 6 2 4" xfId="33511"/>
    <cellStyle name="표준 10 2 6 2 5" xfId="33512"/>
    <cellStyle name="표준 10 2 6 3" xfId="33513"/>
    <cellStyle name="표준 10 2 6 3 2" xfId="33514"/>
    <cellStyle name="표준 10 2 6 3 2 2" xfId="33515"/>
    <cellStyle name="표준 10 2 6 3 2 2 2" xfId="33516"/>
    <cellStyle name="표준 10 2 6 3 2 2 3" xfId="33517"/>
    <cellStyle name="표준 10 2 6 3 2 3" xfId="33518"/>
    <cellStyle name="표준 10 2 6 3 2 4" xfId="33519"/>
    <cellStyle name="표준 10 2 6 3 3" xfId="33520"/>
    <cellStyle name="표준 10 2 6 3 3 2" xfId="33521"/>
    <cellStyle name="표준 10 2 6 3 3 3" xfId="33522"/>
    <cellStyle name="표준 10 2 6 3 4" xfId="33523"/>
    <cellStyle name="표준 10 2 6 3 5" xfId="33524"/>
    <cellStyle name="표준 10 2 6 4" xfId="33525"/>
    <cellStyle name="표준 10 2 6 4 2" xfId="33526"/>
    <cellStyle name="표준 10 2 6 4 2 2" xfId="33527"/>
    <cellStyle name="표준 10 2 6 4 2 3" xfId="33528"/>
    <cellStyle name="표준 10 2 6 4 3" xfId="33529"/>
    <cellStyle name="표준 10 2 6 4 4" xfId="33530"/>
    <cellStyle name="표준 10 2 6 5" xfId="33531"/>
    <cellStyle name="표준 10 2 6 5 2" xfId="33532"/>
    <cellStyle name="표준 10 2 6 5 3" xfId="33533"/>
    <cellStyle name="표준 10 2 6 6" xfId="33534"/>
    <cellStyle name="표준 10 2 6 7" xfId="33535"/>
    <cellStyle name="표준 10 2 7" xfId="33536"/>
    <cellStyle name="표준 10 2 7 2" xfId="33537"/>
    <cellStyle name="표준 10 2 7 2 2" xfId="33538"/>
    <cellStyle name="표준 10 2 7 2 2 2" xfId="33539"/>
    <cellStyle name="표준 10 2 7 2 2 2 2" xfId="33540"/>
    <cellStyle name="표준 10 2 7 2 2 2 3" xfId="33541"/>
    <cellStyle name="표준 10 2 7 2 2 3" xfId="33542"/>
    <cellStyle name="표준 10 2 7 2 2 4" xfId="33543"/>
    <cellStyle name="표준 10 2 7 2 3" xfId="33544"/>
    <cellStyle name="표준 10 2 7 2 3 2" xfId="33545"/>
    <cellStyle name="표준 10 2 7 2 3 3" xfId="33546"/>
    <cellStyle name="표준 10 2 7 2 4" xfId="33547"/>
    <cellStyle name="표준 10 2 7 2 5" xfId="33548"/>
    <cellStyle name="표준 10 2 7 3" xfId="33549"/>
    <cellStyle name="표준 10 2 7 3 2" xfId="33550"/>
    <cellStyle name="표준 10 2 7 3 2 2" xfId="33551"/>
    <cellStyle name="표준 10 2 7 3 2 2 2" xfId="33552"/>
    <cellStyle name="표준 10 2 7 3 2 2 3" xfId="33553"/>
    <cellStyle name="표준 10 2 7 3 2 3" xfId="33554"/>
    <cellStyle name="표준 10 2 7 3 2 4" xfId="33555"/>
    <cellStyle name="표준 10 2 7 3 3" xfId="33556"/>
    <cellStyle name="표준 10 2 7 3 3 2" xfId="33557"/>
    <cellStyle name="표준 10 2 7 3 3 3" xfId="33558"/>
    <cellStyle name="표준 10 2 7 3 4" xfId="33559"/>
    <cellStyle name="표준 10 2 7 3 5" xfId="33560"/>
    <cellStyle name="표준 10 2 7 4" xfId="33561"/>
    <cellStyle name="표준 10 2 7 4 2" xfId="33562"/>
    <cellStyle name="표준 10 2 7 4 2 2" xfId="33563"/>
    <cellStyle name="표준 10 2 7 4 2 3" xfId="33564"/>
    <cellStyle name="표준 10 2 7 4 3" xfId="33565"/>
    <cellStyle name="표준 10 2 7 4 4" xfId="33566"/>
    <cellStyle name="표준 10 2 7 5" xfId="33567"/>
    <cellStyle name="표준 10 2 7 5 2" xfId="33568"/>
    <cellStyle name="표준 10 2 7 5 3" xfId="33569"/>
    <cellStyle name="표준 10 2 7 6" xfId="33570"/>
    <cellStyle name="표준 10 2 7 7" xfId="33571"/>
    <cellStyle name="표준 10 2 8" xfId="33572"/>
    <cellStyle name="표준 10 2 8 2" xfId="33573"/>
    <cellStyle name="표준 10 2 8 2 2" xfId="33574"/>
    <cellStyle name="표준 10 2 8 2 2 2" xfId="33575"/>
    <cellStyle name="표준 10 2 8 2 2 3" xfId="33576"/>
    <cellStyle name="표준 10 2 8 2 3" xfId="33577"/>
    <cellStyle name="표준 10 2 8 2 4" xfId="33578"/>
    <cellStyle name="표준 10 2 8 3" xfId="33579"/>
    <cellStyle name="표준 10 2 8 3 2" xfId="33580"/>
    <cellStyle name="표준 10 2 8 3 3" xfId="33581"/>
    <cellStyle name="표준 10 2 8 4" xfId="33582"/>
    <cellStyle name="표준 10 2 8 5" xfId="33583"/>
    <cellStyle name="표준 10 2 9" xfId="33584"/>
    <cellStyle name="표준 10 2 9 2" xfId="33585"/>
    <cellStyle name="표준 10 2 9 2 2" xfId="33586"/>
    <cellStyle name="표준 10 2 9 2 2 2" xfId="33587"/>
    <cellStyle name="표준 10 2 9 2 2 3" xfId="33588"/>
    <cellStyle name="표준 10 2 9 2 3" xfId="33589"/>
    <cellStyle name="표준 10 2 9 2 4" xfId="33590"/>
    <cellStyle name="표준 10 2 9 3" xfId="33591"/>
    <cellStyle name="표준 10 2 9 3 2" xfId="33592"/>
    <cellStyle name="표준 10 2 9 3 3" xfId="33593"/>
    <cellStyle name="표준 10 2 9 4" xfId="33594"/>
    <cellStyle name="표준 10 2 9 5" xfId="33595"/>
    <cellStyle name="표준 10 3" xfId="33596"/>
    <cellStyle name="표준 10 3 10" xfId="33597"/>
    <cellStyle name="표준 10 3 10 2" xfId="33598"/>
    <cellStyle name="표준 10 3 10 2 2" xfId="33599"/>
    <cellStyle name="표준 10 3 10 2 2 2" xfId="33600"/>
    <cellStyle name="표준 10 3 10 2 2 3" xfId="33601"/>
    <cellStyle name="표준 10 3 10 2 3" xfId="33602"/>
    <cellStyle name="표준 10 3 10 2 4" xfId="33603"/>
    <cellStyle name="표준 10 3 10 3" xfId="33604"/>
    <cellStyle name="표준 10 3 10 3 2" xfId="33605"/>
    <cellStyle name="표준 10 3 10 3 3" xfId="33606"/>
    <cellStyle name="표준 10 3 10 4" xfId="33607"/>
    <cellStyle name="표준 10 3 10 5" xfId="33608"/>
    <cellStyle name="표준 10 3 11" xfId="33609"/>
    <cellStyle name="표준 10 3 11 2" xfId="33610"/>
    <cellStyle name="표준 10 3 11 2 2" xfId="33611"/>
    <cellStyle name="표준 10 3 11 2 3" xfId="33612"/>
    <cellStyle name="표준 10 3 11 3" xfId="33613"/>
    <cellStyle name="표준 10 3 11 4" xfId="33614"/>
    <cellStyle name="표준 10 3 12" xfId="33615"/>
    <cellStyle name="표준 10 3 12 2" xfId="33616"/>
    <cellStyle name="표준 10 3 12 3" xfId="33617"/>
    <cellStyle name="표준 10 3 13" xfId="33618"/>
    <cellStyle name="표준 10 3 14" xfId="33619"/>
    <cellStyle name="표준 10 3 2" xfId="33620"/>
    <cellStyle name="표준 10 3 2 10" xfId="33621"/>
    <cellStyle name="표준 10 3 2 10 2" xfId="33622"/>
    <cellStyle name="표준 10 3 2 10 2 2" xfId="33623"/>
    <cellStyle name="표준 10 3 2 10 2 3" xfId="33624"/>
    <cellStyle name="표준 10 3 2 10 3" xfId="33625"/>
    <cellStyle name="표준 10 3 2 10 4" xfId="33626"/>
    <cellStyle name="표준 10 3 2 11" xfId="33627"/>
    <cellStyle name="표준 10 3 2 11 2" xfId="33628"/>
    <cellStyle name="표준 10 3 2 11 3" xfId="33629"/>
    <cellStyle name="표준 10 3 2 12" xfId="33630"/>
    <cellStyle name="표준 10 3 2 13" xfId="33631"/>
    <cellStyle name="표준 10 3 2 2" xfId="33632"/>
    <cellStyle name="표준 10 3 2 2 10" xfId="33633"/>
    <cellStyle name="표준 10 3 2 2 2" xfId="33634"/>
    <cellStyle name="표준 10 3 2 2 2 2" xfId="33635"/>
    <cellStyle name="표준 10 3 2 2 2 2 2" xfId="33636"/>
    <cellStyle name="표준 10 3 2 2 2 2 2 2" xfId="33637"/>
    <cellStyle name="표준 10 3 2 2 2 2 2 2 2" xfId="33638"/>
    <cellStyle name="표준 10 3 2 2 2 2 2 2 3" xfId="33639"/>
    <cellStyle name="표준 10 3 2 2 2 2 2 3" xfId="33640"/>
    <cellStyle name="표준 10 3 2 2 2 2 2 4" xfId="33641"/>
    <cellStyle name="표준 10 3 2 2 2 2 3" xfId="33642"/>
    <cellStyle name="표준 10 3 2 2 2 2 3 2" xfId="33643"/>
    <cellStyle name="표준 10 3 2 2 2 2 3 3" xfId="33644"/>
    <cellStyle name="표준 10 3 2 2 2 2 4" xfId="33645"/>
    <cellStyle name="표준 10 3 2 2 2 2 5" xfId="33646"/>
    <cellStyle name="표준 10 3 2 2 2 3" xfId="33647"/>
    <cellStyle name="표준 10 3 2 2 2 3 2" xfId="33648"/>
    <cellStyle name="표준 10 3 2 2 2 3 2 2" xfId="33649"/>
    <cellStyle name="표준 10 3 2 2 2 3 2 2 2" xfId="33650"/>
    <cellStyle name="표준 10 3 2 2 2 3 2 2 3" xfId="33651"/>
    <cellStyle name="표준 10 3 2 2 2 3 2 3" xfId="33652"/>
    <cellStyle name="표준 10 3 2 2 2 3 2 4" xfId="33653"/>
    <cellStyle name="표준 10 3 2 2 2 3 3" xfId="33654"/>
    <cellStyle name="표준 10 3 2 2 2 3 3 2" xfId="33655"/>
    <cellStyle name="표준 10 3 2 2 2 3 3 3" xfId="33656"/>
    <cellStyle name="표준 10 3 2 2 2 3 4" xfId="33657"/>
    <cellStyle name="표준 10 3 2 2 2 3 5" xfId="33658"/>
    <cellStyle name="표준 10 3 2 2 2 4" xfId="33659"/>
    <cellStyle name="표준 10 3 2 2 2 4 2" xfId="33660"/>
    <cellStyle name="표준 10 3 2 2 2 4 2 2" xfId="33661"/>
    <cellStyle name="표준 10 3 2 2 2 4 2 3" xfId="33662"/>
    <cellStyle name="표준 10 3 2 2 2 4 3" xfId="33663"/>
    <cellStyle name="표준 10 3 2 2 2 4 4" xfId="33664"/>
    <cellStyle name="표준 10 3 2 2 2 5" xfId="33665"/>
    <cellStyle name="표준 10 3 2 2 2 5 2" xfId="33666"/>
    <cellStyle name="표준 10 3 2 2 2 5 3" xfId="33667"/>
    <cellStyle name="표준 10 3 2 2 2 6" xfId="33668"/>
    <cellStyle name="표준 10 3 2 2 2 7" xfId="33669"/>
    <cellStyle name="표준 10 3 2 2 3" xfId="33670"/>
    <cellStyle name="표준 10 3 2 2 3 2" xfId="33671"/>
    <cellStyle name="표준 10 3 2 2 3 2 2" xfId="33672"/>
    <cellStyle name="표준 10 3 2 2 3 2 2 2" xfId="33673"/>
    <cellStyle name="표준 10 3 2 2 3 2 2 2 2" xfId="33674"/>
    <cellStyle name="표준 10 3 2 2 3 2 2 2 3" xfId="33675"/>
    <cellStyle name="표준 10 3 2 2 3 2 2 3" xfId="33676"/>
    <cellStyle name="표준 10 3 2 2 3 2 2 4" xfId="33677"/>
    <cellStyle name="표준 10 3 2 2 3 2 3" xfId="33678"/>
    <cellStyle name="표준 10 3 2 2 3 2 3 2" xfId="33679"/>
    <cellStyle name="표준 10 3 2 2 3 2 3 3" xfId="33680"/>
    <cellStyle name="표준 10 3 2 2 3 2 4" xfId="33681"/>
    <cellStyle name="표준 10 3 2 2 3 2 5" xfId="33682"/>
    <cellStyle name="표준 10 3 2 2 3 3" xfId="33683"/>
    <cellStyle name="표준 10 3 2 2 3 3 2" xfId="33684"/>
    <cellStyle name="표준 10 3 2 2 3 3 2 2" xfId="33685"/>
    <cellStyle name="표준 10 3 2 2 3 3 2 2 2" xfId="33686"/>
    <cellStyle name="표준 10 3 2 2 3 3 2 2 3" xfId="33687"/>
    <cellStyle name="표준 10 3 2 2 3 3 2 3" xfId="33688"/>
    <cellStyle name="표준 10 3 2 2 3 3 2 4" xfId="33689"/>
    <cellStyle name="표준 10 3 2 2 3 3 3" xfId="33690"/>
    <cellStyle name="표준 10 3 2 2 3 3 3 2" xfId="33691"/>
    <cellStyle name="표준 10 3 2 2 3 3 3 3" xfId="33692"/>
    <cellStyle name="표준 10 3 2 2 3 3 4" xfId="33693"/>
    <cellStyle name="표준 10 3 2 2 3 3 5" xfId="33694"/>
    <cellStyle name="표준 10 3 2 2 3 4" xfId="33695"/>
    <cellStyle name="표준 10 3 2 2 3 4 2" xfId="33696"/>
    <cellStyle name="표준 10 3 2 2 3 4 2 2" xfId="33697"/>
    <cellStyle name="표준 10 3 2 2 3 4 2 3" xfId="33698"/>
    <cellStyle name="표준 10 3 2 2 3 4 3" xfId="33699"/>
    <cellStyle name="표준 10 3 2 2 3 4 4" xfId="33700"/>
    <cellStyle name="표준 10 3 2 2 3 5" xfId="33701"/>
    <cellStyle name="표준 10 3 2 2 3 5 2" xfId="33702"/>
    <cellStyle name="표준 10 3 2 2 3 5 3" xfId="33703"/>
    <cellStyle name="표준 10 3 2 2 3 6" xfId="33704"/>
    <cellStyle name="표준 10 3 2 2 3 7" xfId="33705"/>
    <cellStyle name="표준 10 3 2 2 4" xfId="33706"/>
    <cellStyle name="표준 10 3 2 2 4 2" xfId="33707"/>
    <cellStyle name="표준 10 3 2 2 4 2 2" xfId="33708"/>
    <cellStyle name="표준 10 3 2 2 4 2 2 2" xfId="33709"/>
    <cellStyle name="표준 10 3 2 2 4 2 2 3" xfId="33710"/>
    <cellStyle name="표준 10 3 2 2 4 2 3" xfId="33711"/>
    <cellStyle name="표준 10 3 2 2 4 2 4" xfId="33712"/>
    <cellStyle name="표준 10 3 2 2 4 3" xfId="33713"/>
    <cellStyle name="표준 10 3 2 2 4 3 2" xfId="33714"/>
    <cellStyle name="표준 10 3 2 2 4 3 3" xfId="33715"/>
    <cellStyle name="표준 10 3 2 2 4 4" xfId="33716"/>
    <cellStyle name="표준 10 3 2 2 4 5" xfId="33717"/>
    <cellStyle name="표준 10 3 2 2 5" xfId="33718"/>
    <cellStyle name="표준 10 3 2 2 5 2" xfId="33719"/>
    <cellStyle name="표준 10 3 2 2 5 2 2" xfId="33720"/>
    <cellStyle name="표준 10 3 2 2 5 2 2 2" xfId="33721"/>
    <cellStyle name="표준 10 3 2 2 5 2 2 3" xfId="33722"/>
    <cellStyle name="표준 10 3 2 2 5 2 3" xfId="33723"/>
    <cellStyle name="표준 10 3 2 2 5 2 4" xfId="33724"/>
    <cellStyle name="표준 10 3 2 2 5 3" xfId="33725"/>
    <cellStyle name="표준 10 3 2 2 5 3 2" xfId="33726"/>
    <cellStyle name="표준 10 3 2 2 5 3 3" xfId="33727"/>
    <cellStyle name="표준 10 3 2 2 5 4" xfId="33728"/>
    <cellStyle name="표준 10 3 2 2 5 5" xfId="33729"/>
    <cellStyle name="표준 10 3 2 2 6" xfId="33730"/>
    <cellStyle name="표준 10 3 2 2 6 2" xfId="33731"/>
    <cellStyle name="표준 10 3 2 2 6 2 2" xfId="33732"/>
    <cellStyle name="표준 10 3 2 2 6 2 2 2" xfId="33733"/>
    <cellStyle name="표준 10 3 2 2 6 2 2 3" xfId="33734"/>
    <cellStyle name="표준 10 3 2 2 6 2 3" xfId="33735"/>
    <cellStyle name="표준 10 3 2 2 6 2 4" xfId="33736"/>
    <cellStyle name="표준 10 3 2 2 6 3" xfId="33737"/>
    <cellStyle name="표준 10 3 2 2 6 3 2" xfId="33738"/>
    <cellStyle name="표준 10 3 2 2 6 3 3" xfId="33739"/>
    <cellStyle name="표준 10 3 2 2 6 4" xfId="33740"/>
    <cellStyle name="표준 10 3 2 2 6 5" xfId="33741"/>
    <cellStyle name="표준 10 3 2 2 7" xfId="33742"/>
    <cellStyle name="표준 10 3 2 2 7 2" xfId="33743"/>
    <cellStyle name="표준 10 3 2 2 7 2 2" xfId="33744"/>
    <cellStyle name="표준 10 3 2 2 7 2 3" xfId="33745"/>
    <cellStyle name="표준 10 3 2 2 7 3" xfId="33746"/>
    <cellStyle name="표준 10 3 2 2 7 4" xfId="33747"/>
    <cellStyle name="표준 10 3 2 2 8" xfId="33748"/>
    <cellStyle name="표준 10 3 2 2 8 2" xfId="33749"/>
    <cellStyle name="표준 10 3 2 2 8 3" xfId="33750"/>
    <cellStyle name="표준 10 3 2 2 9" xfId="33751"/>
    <cellStyle name="표준 10 3 2 3" xfId="33752"/>
    <cellStyle name="표준 10 3 2 3 10" xfId="33753"/>
    <cellStyle name="표준 10 3 2 3 2" xfId="33754"/>
    <cellStyle name="표준 10 3 2 3 2 2" xfId="33755"/>
    <cellStyle name="표준 10 3 2 3 2 2 2" xfId="33756"/>
    <cellStyle name="표준 10 3 2 3 2 2 2 2" xfId="33757"/>
    <cellStyle name="표준 10 3 2 3 2 2 2 2 2" xfId="33758"/>
    <cellStyle name="표준 10 3 2 3 2 2 2 2 3" xfId="33759"/>
    <cellStyle name="표준 10 3 2 3 2 2 2 3" xfId="33760"/>
    <cellStyle name="표준 10 3 2 3 2 2 2 4" xfId="33761"/>
    <cellStyle name="표준 10 3 2 3 2 2 3" xfId="33762"/>
    <cellStyle name="표준 10 3 2 3 2 2 3 2" xfId="33763"/>
    <cellStyle name="표준 10 3 2 3 2 2 3 3" xfId="33764"/>
    <cellStyle name="표준 10 3 2 3 2 2 4" xfId="33765"/>
    <cellStyle name="표준 10 3 2 3 2 2 5" xfId="33766"/>
    <cellStyle name="표준 10 3 2 3 2 3" xfId="33767"/>
    <cellStyle name="표준 10 3 2 3 2 3 2" xfId="33768"/>
    <cellStyle name="표준 10 3 2 3 2 3 2 2" xfId="33769"/>
    <cellStyle name="표준 10 3 2 3 2 3 2 2 2" xfId="33770"/>
    <cellStyle name="표준 10 3 2 3 2 3 2 2 3" xfId="33771"/>
    <cellStyle name="표준 10 3 2 3 2 3 2 3" xfId="33772"/>
    <cellStyle name="표준 10 3 2 3 2 3 2 4" xfId="33773"/>
    <cellStyle name="표준 10 3 2 3 2 3 3" xfId="33774"/>
    <cellStyle name="표준 10 3 2 3 2 3 3 2" xfId="33775"/>
    <cellStyle name="표준 10 3 2 3 2 3 3 3" xfId="33776"/>
    <cellStyle name="표준 10 3 2 3 2 3 4" xfId="33777"/>
    <cellStyle name="표준 10 3 2 3 2 3 5" xfId="33778"/>
    <cellStyle name="표준 10 3 2 3 2 4" xfId="33779"/>
    <cellStyle name="표준 10 3 2 3 2 4 2" xfId="33780"/>
    <cellStyle name="표준 10 3 2 3 2 4 2 2" xfId="33781"/>
    <cellStyle name="표준 10 3 2 3 2 4 2 3" xfId="33782"/>
    <cellStyle name="표준 10 3 2 3 2 4 3" xfId="33783"/>
    <cellStyle name="표준 10 3 2 3 2 4 4" xfId="33784"/>
    <cellStyle name="표준 10 3 2 3 2 5" xfId="33785"/>
    <cellStyle name="표준 10 3 2 3 2 5 2" xfId="33786"/>
    <cellStyle name="표준 10 3 2 3 2 5 3" xfId="33787"/>
    <cellStyle name="표준 10 3 2 3 2 6" xfId="33788"/>
    <cellStyle name="표준 10 3 2 3 2 7" xfId="33789"/>
    <cellStyle name="표준 10 3 2 3 3" xfId="33790"/>
    <cellStyle name="표준 10 3 2 3 3 2" xfId="33791"/>
    <cellStyle name="표준 10 3 2 3 3 2 2" xfId="33792"/>
    <cellStyle name="표준 10 3 2 3 3 2 2 2" xfId="33793"/>
    <cellStyle name="표준 10 3 2 3 3 2 2 2 2" xfId="33794"/>
    <cellStyle name="표준 10 3 2 3 3 2 2 2 3" xfId="33795"/>
    <cellStyle name="표준 10 3 2 3 3 2 2 3" xfId="33796"/>
    <cellStyle name="표준 10 3 2 3 3 2 2 4" xfId="33797"/>
    <cellStyle name="표준 10 3 2 3 3 2 3" xfId="33798"/>
    <cellStyle name="표준 10 3 2 3 3 2 3 2" xfId="33799"/>
    <cellStyle name="표준 10 3 2 3 3 2 3 3" xfId="33800"/>
    <cellStyle name="표준 10 3 2 3 3 2 4" xfId="33801"/>
    <cellStyle name="표준 10 3 2 3 3 2 5" xfId="33802"/>
    <cellStyle name="표준 10 3 2 3 3 3" xfId="33803"/>
    <cellStyle name="표준 10 3 2 3 3 3 2" xfId="33804"/>
    <cellStyle name="표준 10 3 2 3 3 3 2 2" xfId="33805"/>
    <cellStyle name="표준 10 3 2 3 3 3 2 2 2" xfId="33806"/>
    <cellStyle name="표준 10 3 2 3 3 3 2 2 3" xfId="33807"/>
    <cellStyle name="표준 10 3 2 3 3 3 2 3" xfId="33808"/>
    <cellStyle name="표준 10 3 2 3 3 3 2 4" xfId="33809"/>
    <cellStyle name="표준 10 3 2 3 3 3 3" xfId="33810"/>
    <cellStyle name="표준 10 3 2 3 3 3 3 2" xfId="33811"/>
    <cellStyle name="표준 10 3 2 3 3 3 3 3" xfId="33812"/>
    <cellStyle name="표준 10 3 2 3 3 3 4" xfId="33813"/>
    <cellStyle name="표준 10 3 2 3 3 3 5" xfId="33814"/>
    <cellStyle name="표준 10 3 2 3 3 4" xfId="33815"/>
    <cellStyle name="표준 10 3 2 3 3 4 2" xfId="33816"/>
    <cellStyle name="표준 10 3 2 3 3 4 2 2" xfId="33817"/>
    <cellStyle name="표준 10 3 2 3 3 4 2 3" xfId="33818"/>
    <cellStyle name="표준 10 3 2 3 3 4 3" xfId="33819"/>
    <cellStyle name="표준 10 3 2 3 3 4 4" xfId="33820"/>
    <cellStyle name="표준 10 3 2 3 3 5" xfId="33821"/>
    <cellStyle name="표준 10 3 2 3 3 5 2" xfId="33822"/>
    <cellStyle name="표준 10 3 2 3 3 5 3" xfId="33823"/>
    <cellStyle name="표준 10 3 2 3 3 6" xfId="33824"/>
    <cellStyle name="표준 10 3 2 3 3 7" xfId="33825"/>
    <cellStyle name="표준 10 3 2 3 4" xfId="33826"/>
    <cellStyle name="표준 10 3 2 3 4 2" xfId="33827"/>
    <cellStyle name="표준 10 3 2 3 4 2 2" xfId="33828"/>
    <cellStyle name="표준 10 3 2 3 4 2 2 2" xfId="33829"/>
    <cellStyle name="표준 10 3 2 3 4 2 2 3" xfId="33830"/>
    <cellStyle name="표준 10 3 2 3 4 2 3" xfId="33831"/>
    <cellStyle name="표준 10 3 2 3 4 2 4" xfId="33832"/>
    <cellStyle name="표준 10 3 2 3 4 3" xfId="33833"/>
    <cellStyle name="표준 10 3 2 3 4 3 2" xfId="33834"/>
    <cellStyle name="표준 10 3 2 3 4 3 3" xfId="33835"/>
    <cellStyle name="표준 10 3 2 3 4 4" xfId="33836"/>
    <cellStyle name="표준 10 3 2 3 4 5" xfId="33837"/>
    <cellStyle name="표준 10 3 2 3 5" xfId="33838"/>
    <cellStyle name="표준 10 3 2 3 5 2" xfId="33839"/>
    <cellStyle name="표준 10 3 2 3 5 2 2" xfId="33840"/>
    <cellStyle name="표준 10 3 2 3 5 2 2 2" xfId="33841"/>
    <cellStyle name="표준 10 3 2 3 5 2 2 3" xfId="33842"/>
    <cellStyle name="표준 10 3 2 3 5 2 3" xfId="33843"/>
    <cellStyle name="표준 10 3 2 3 5 2 4" xfId="33844"/>
    <cellStyle name="표준 10 3 2 3 5 3" xfId="33845"/>
    <cellStyle name="표준 10 3 2 3 5 3 2" xfId="33846"/>
    <cellStyle name="표준 10 3 2 3 5 3 3" xfId="33847"/>
    <cellStyle name="표준 10 3 2 3 5 4" xfId="33848"/>
    <cellStyle name="표준 10 3 2 3 5 5" xfId="33849"/>
    <cellStyle name="표준 10 3 2 3 6" xfId="33850"/>
    <cellStyle name="표준 10 3 2 3 6 2" xfId="33851"/>
    <cellStyle name="표준 10 3 2 3 6 2 2" xfId="33852"/>
    <cellStyle name="표준 10 3 2 3 6 2 2 2" xfId="33853"/>
    <cellStyle name="표준 10 3 2 3 6 2 2 3" xfId="33854"/>
    <cellStyle name="표준 10 3 2 3 6 2 3" xfId="33855"/>
    <cellStyle name="표준 10 3 2 3 6 2 4" xfId="33856"/>
    <cellStyle name="표준 10 3 2 3 6 3" xfId="33857"/>
    <cellStyle name="표준 10 3 2 3 6 3 2" xfId="33858"/>
    <cellStyle name="표준 10 3 2 3 6 3 3" xfId="33859"/>
    <cellStyle name="표준 10 3 2 3 6 4" xfId="33860"/>
    <cellStyle name="표준 10 3 2 3 6 5" xfId="33861"/>
    <cellStyle name="표준 10 3 2 3 7" xfId="33862"/>
    <cellStyle name="표준 10 3 2 3 7 2" xfId="33863"/>
    <cellStyle name="표준 10 3 2 3 7 2 2" xfId="33864"/>
    <cellStyle name="표준 10 3 2 3 7 2 3" xfId="33865"/>
    <cellStyle name="표준 10 3 2 3 7 3" xfId="33866"/>
    <cellStyle name="표준 10 3 2 3 7 4" xfId="33867"/>
    <cellStyle name="표준 10 3 2 3 8" xfId="33868"/>
    <cellStyle name="표준 10 3 2 3 8 2" xfId="33869"/>
    <cellStyle name="표준 10 3 2 3 8 3" xfId="33870"/>
    <cellStyle name="표준 10 3 2 3 9" xfId="33871"/>
    <cellStyle name="표준 10 3 2 4" xfId="33872"/>
    <cellStyle name="표준 10 3 2 4 10" xfId="33873"/>
    <cellStyle name="표준 10 3 2 4 2" xfId="33874"/>
    <cellStyle name="표준 10 3 2 4 2 2" xfId="33875"/>
    <cellStyle name="표준 10 3 2 4 2 2 2" xfId="33876"/>
    <cellStyle name="표준 10 3 2 4 2 2 2 2" xfId="33877"/>
    <cellStyle name="표준 10 3 2 4 2 2 2 2 2" xfId="33878"/>
    <cellStyle name="표준 10 3 2 4 2 2 2 2 3" xfId="33879"/>
    <cellStyle name="표준 10 3 2 4 2 2 2 3" xfId="33880"/>
    <cellStyle name="표준 10 3 2 4 2 2 2 4" xfId="33881"/>
    <cellStyle name="표준 10 3 2 4 2 2 3" xfId="33882"/>
    <cellStyle name="표준 10 3 2 4 2 2 3 2" xfId="33883"/>
    <cellStyle name="표준 10 3 2 4 2 2 3 3" xfId="33884"/>
    <cellStyle name="표준 10 3 2 4 2 2 4" xfId="33885"/>
    <cellStyle name="표준 10 3 2 4 2 2 5" xfId="33886"/>
    <cellStyle name="표준 10 3 2 4 2 3" xfId="33887"/>
    <cellStyle name="표준 10 3 2 4 2 3 2" xfId="33888"/>
    <cellStyle name="표준 10 3 2 4 2 3 2 2" xfId="33889"/>
    <cellStyle name="표준 10 3 2 4 2 3 2 2 2" xfId="33890"/>
    <cellStyle name="표준 10 3 2 4 2 3 2 2 3" xfId="33891"/>
    <cellStyle name="표준 10 3 2 4 2 3 2 3" xfId="33892"/>
    <cellStyle name="표준 10 3 2 4 2 3 2 4" xfId="33893"/>
    <cellStyle name="표준 10 3 2 4 2 3 3" xfId="33894"/>
    <cellStyle name="표준 10 3 2 4 2 3 3 2" xfId="33895"/>
    <cellStyle name="표준 10 3 2 4 2 3 3 3" xfId="33896"/>
    <cellStyle name="표준 10 3 2 4 2 3 4" xfId="33897"/>
    <cellStyle name="표준 10 3 2 4 2 3 5" xfId="33898"/>
    <cellStyle name="표준 10 3 2 4 2 4" xfId="33899"/>
    <cellStyle name="표준 10 3 2 4 2 4 2" xfId="33900"/>
    <cellStyle name="표준 10 3 2 4 2 4 2 2" xfId="33901"/>
    <cellStyle name="표준 10 3 2 4 2 4 2 3" xfId="33902"/>
    <cellStyle name="표준 10 3 2 4 2 4 3" xfId="33903"/>
    <cellStyle name="표준 10 3 2 4 2 4 4" xfId="33904"/>
    <cellStyle name="표준 10 3 2 4 2 5" xfId="33905"/>
    <cellStyle name="표준 10 3 2 4 2 5 2" xfId="33906"/>
    <cellStyle name="표준 10 3 2 4 2 5 3" xfId="33907"/>
    <cellStyle name="표준 10 3 2 4 2 6" xfId="33908"/>
    <cellStyle name="표준 10 3 2 4 2 7" xfId="33909"/>
    <cellStyle name="표준 10 3 2 4 3" xfId="33910"/>
    <cellStyle name="표준 10 3 2 4 3 2" xfId="33911"/>
    <cellStyle name="표준 10 3 2 4 3 2 2" xfId="33912"/>
    <cellStyle name="표준 10 3 2 4 3 2 2 2" xfId="33913"/>
    <cellStyle name="표준 10 3 2 4 3 2 2 2 2" xfId="33914"/>
    <cellStyle name="표준 10 3 2 4 3 2 2 2 3" xfId="33915"/>
    <cellStyle name="표준 10 3 2 4 3 2 2 3" xfId="33916"/>
    <cellStyle name="표준 10 3 2 4 3 2 2 4" xfId="33917"/>
    <cellStyle name="표준 10 3 2 4 3 2 3" xfId="33918"/>
    <cellStyle name="표준 10 3 2 4 3 2 3 2" xfId="33919"/>
    <cellStyle name="표준 10 3 2 4 3 2 3 3" xfId="33920"/>
    <cellStyle name="표준 10 3 2 4 3 2 4" xfId="33921"/>
    <cellStyle name="표준 10 3 2 4 3 2 5" xfId="33922"/>
    <cellStyle name="표준 10 3 2 4 3 3" xfId="33923"/>
    <cellStyle name="표준 10 3 2 4 3 3 2" xfId="33924"/>
    <cellStyle name="표준 10 3 2 4 3 3 2 2" xfId="33925"/>
    <cellStyle name="표준 10 3 2 4 3 3 2 2 2" xfId="33926"/>
    <cellStyle name="표준 10 3 2 4 3 3 2 2 3" xfId="33927"/>
    <cellStyle name="표준 10 3 2 4 3 3 2 3" xfId="33928"/>
    <cellStyle name="표준 10 3 2 4 3 3 2 4" xfId="33929"/>
    <cellStyle name="표준 10 3 2 4 3 3 3" xfId="33930"/>
    <cellStyle name="표준 10 3 2 4 3 3 3 2" xfId="33931"/>
    <cellStyle name="표준 10 3 2 4 3 3 3 3" xfId="33932"/>
    <cellStyle name="표준 10 3 2 4 3 3 4" xfId="33933"/>
    <cellStyle name="표준 10 3 2 4 3 3 5" xfId="33934"/>
    <cellStyle name="표준 10 3 2 4 3 4" xfId="33935"/>
    <cellStyle name="표준 10 3 2 4 3 4 2" xfId="33936"/>
    <cellStyle name="표준 10 3 2 4 3 4 2 2" xfId="33937"/>
    <cellStyle name="표준 10 3 2 4 3 4 2 3" xfId="33938"/>
    <cellStyle name="표준 10 3 2 4 3 4 3" xfId="33939"/>
    <cellStyle name="표준 10 3 2 4 3 4 4" xfId="33940"/>
    <cellStyle name="표준 10 3 2 4 3 5" xfId="33941"/>
    <cellStyle name="표준 10 3 2 4 3 5 2" xfId="33942"/>
    <cellStyle name="표준 10 3 2 4 3 5 3" xfId="33943"/>
    <cellStyle name="표준 10 3 2 4 3 6" xfId="33944"/>
    <cellStyle name="표준 10 3 2 4 3 7" xfId="33945"/>
    <cellStyle name="표준 10 3 2 4 4" xfId="33946"/>
    <cellStyle name="표준 10 3 2 4 4 2" xfId="33947"/>
    <cellStyle name="표준 10 3 2 4 4 2 2" xfId="33948"/>
    <cellStyle name="표준 10 3 2 4 4 2 2 2" xfId="33949"/>
    <cellStyle name="표준 10 3 2 4 4 2 2 3" xfId="33950"/>
    <cellStyle name="표준 10 3 2 4 4 2 3" xfId="33951"/>
    <cellStyle name="표준 10 3 2 4 4 2 4" xfId="33952"/>
    <cellStyle name="표준 10 3 2 4 4 3" xfId="33953"/>
    <cellStyle name="표준 10 3 2 4 4 3 2" xfId="33954"/>
    <cellStyle name="표준 10 3 2 4 4 3 3" xfId="33955"/>
    <cellStyle name="표준 10 3 2 4 4 4" xfId="33956"/>
    <cellStyle name="표준 10 3 2 4 4 5" xfId="33957"/>
    <cellStyle name="표준 10 3 2 4 5" xfId="33958"/>
    <cellStyle name="표준 10 3 2 4 5 2" xfId="33959"/>
    <cellStyle name="표준 10 3 2 4 5 2 2" xfId="33960"/>
    <cellStyle name="표준 10 3 2 4 5 2 2 2" xfId="33961"/>
    <cellStyle name="표준 10 3 2 4 5 2 2 3" xfId="33962"/>
    <cellStyle name="표준 10 3 2 4 5 2 3" xfId="33963"/>
    <cellStyle name="표준 10 3 2 4 5 2 4" xfId="33964"/>
    <cellStyle name="표준 10 3 2 4 5 3" xfId="33965"/>
    <cellStyle name="표준 10 3 2 4 5 3 2" xfId="33966"/>
    <cellStyle name="표준 10 3 2 4 5 3 3" xfId="33967"/>
    <cellStyle name="표준 10 3 2 4 5 4" xfId="33968"/>
    <cellStyle name="표준 10 3 2 4 5 5" xfId="33969"/>
    <cellStyle name="표준 10 3 2 4 6" xfId="33970"/>
    <cellStyle name="표준 10 3 2 4 6 2" xfId="33971"/>
    <cellStyle name="표준 10 3 2 4 6 2 2" xfId="33972"/>
    <cellStyle name="표준 10 3 2 4 6 2 2 2" xfId="33973"/>
    <cellStyle name="표준 10 3 2 4 6 2 2 3" xfId="33974"/>
    <cellStyle name="표준 10 3 2 4 6 2 3" xfId="33975"/>
    <cellStyle name="표준 10 3 2 4 6 2 4" xfId="33976"/>
    <cellStyle name="표준 10 3 2 4 6 3" xfId="33977"/>
    <cellStyle name="표준 10 3 2 4 6 3 2" xfId="33978"/>
    <cellStyle name="표준 10 3 2 4 6 3 3" xfId="33979"/>
    <cellStyle name="표준 10 3 2 4 6 4" xfId="33980"/>
    <cellStyle name="표준 10 3 2 4 6 5" xfId="33981"/>
    <cellStyle name="표준 10 3 2 4 7" xfId="33982"/>
    <cellStyle name="표준 10 3 2 4 7 2" xfId="33983"/>
    <cellStyle name="표준 10 3 2 4 7 2 2" xfId="33984"/>
    <cellStyle name="표준 10 3 2 4 7 2 3" xfId="33985"/>
    <cellStyle name="표준 10 3 2 4 7 3" xfId="33986"/>
    <cellStyle name="표준 10 3 2 4 7 4" xfId="33987"/>
    <cellStyle name="표준 10 3 2 4 8" xfId="33988"/>
    <cellStyle name="표준 10 3 2 4 8 2" xfId="33989"/>
    <cellStyle name="표준 10 3 2 4 8 3" xfId="33990"/>
    <cellStyle name="표준 10 3 2 4 9" xfId="33991"/>
    <cellStyle name="표준 10 3 2 5" xfId="33992"/>
    <cellStyle name="표준 10 3 2 5 2" xfId="33993"/>
    <cellStyle name="표준 10 3 2 5 2 2" xfId="33994"/>
    <cellStyle name="표준 10 3 2 5 2 2 2" xfId="33995"/>
    <cellStyle name="표준 10 3 2 5 2 2 2 2" xfId="33996"/>
    <cellStyle name="표준 10 3 2 5 2 2 2 3" xfId="33997"/>
    <cellStyle name="표준 10 3 2 5 2 2 3" xfId="33998"/>
    <cellStyle name="표준 10 3 2 5 2 2 4" xfId="33999"/>
    <cellStyle name="표준 10 3 2 5 2 3" xfId="34000"/>
    <cellStyle name="표준 10 3 2 5 2 3 2" xfId="34001"/>
    <cellStyle name="표준 10 3 2 5 2 3 3" xfId="34002"/>
    <cellStyle name="표준 10 3 2 5 2 4" xfId="34003"/>
    <cellStyle name="표준 10 3 2 5 2 5" xfId="34004"/>
    <cellStyle name="표준 10 3 2 5 3" xfId="34005"/>
    <cellStyle name="표준 10 3 2 5 3 2" xfId="34006"/>
    <cellStyle name="표준 10 3 2 5 3 2 2" xfId="34007"/>
    <cellStyle name="표준 10 3 2 5 3 2 2 2" xfId="34008"/>
    <cellStyle name="표준 10 3 2 5 3 2 2 3" xfId="34009"/>
    <cellStyle name="표준 10 3 2 5 3 2 3" xfId="34010"/>
    <cellStyle name="표준 10 3 2 5 3 2 4" xfId="34011"/>
    <cellStyle name="표준 10 3 2 5 3 3" xfId="34012"/>
    <cellStyle name="표준 10 3 2 5 3 3 2" xfId="34013"/>
    <cellStyle name="표준 10 3 2 5 3 3 3" xfId="34014"/>
    <cellStyle name="표준 10 3 2 5 3 4" xfId="34015"/>
    <cellStyle name="표준 10 3 2 5 3 5" xfId="34016"/>
    <cellStyle name="표준 10 3 2 5 4" xfId="34017"/>
    <cellStyle name="표준 10 3 2 5 4 2" xfId="34018"/>
    <cellStyle name="표준 10 3 2 5 4 2 2" xfId="34019"/>
    <cellStyle name="표준 10 3 2 5 4 2 3" xfId="34020"/>
    <cellStyle name="표준 10 3 2 5 4 3" xfId="34021"/>
    <cellStyle name="표준 10 3 2 5 4 4" xfId="34022"/>
    <cellStyle name="표준 10 3 2 5 5" xfId="34023"/>
    <cellStyle name="표준 10 3 2 5 5 2" xfId="34024"/>
    <cellStyle name="표준 10 3 2 5 5 3" xfId="34025"/>
    <cellStyle name="표준 10 3 2 5 6" xfId="34026"/>
    <cellStyle name="표준 10 3 2 5 7" xfId="34027"/>
    <cellStyle name="표준 10 3 2 6" xfId="34028"/>
    <cellStyle name="표준 10 3 2 6 2" xfId="34029"/>
    <cellStyle name="표준 10 3 2 6 2 2" xfId="34030"/>
    <cellStyle name="표준 10 3 2 6 2 2 2" xfId="34031"/>
    <cellStyle name="표준 10 3 2 6 2 2 2 2" xfId="34032"/>
    <cellStyle name="표준 10 3 2 6 2 2 2 3" xfId="34033"/>
    <cellStyle name="표준 10 3 2 6 2 2 3" xfId="34034"/>
    <cellStyle name="표준 10 3 2 6 2 2 4" xfId="34035"/>
    <cellStyle name="표준 10 3 2 6 2 3" xfId="34036"/>
    <cellStyle name="표준 10 3 2 6 2 3 2" xfId="34037"/>
    <cellStyle name="표준 10 3 2 6 2 3 3" xfId="34038"/>
    <cellStyle name="표준 10 3 2 6 2 4" xfId="34039"/>
    <cellStyle name="표준 10 3 2 6 2 5" xfId="34040"/>
    <cellStyle name="표준 10 3 2 6 3" xfId="34041"/>
    <cellStyle name="표준 10 3 2 6 3 2" xfId="34042"/>
    <cellStyle name="표준 10 3 2 6 3 2 2" xfId="34043"/>
    <cellStyle name="표준 10 3 2 6 3 2 2 2" xfId="34044"/>
    <cellStyle name="표준 10 3 2 6 3 2 2 3" xfId="34045"/>
    <cellStyle name="표준 10 3 2 6 3 2 3" xfId="34046"/>
    <cellStyle name="표준 10 3 2 6 3 2 4" xfId="34047"/>
    <cellStyle name="표준 10 3 2 6 3 3" xfId="34048"/>
    <cellStyle name="표준 10 3 2 6 3 3 2" xfId="34049"/>
    <cellStyle name="표준 10 3 2 6 3 3 3" xfId="34050"/>
    <cellStyle name="표준 10 3 2 6 3 4" xfId="34051"/>
    <cellStyle name="표준 10 3 2 6 3 5" xfId="34052"/>
    <cellStyle name="표준 10 3 2 6 4" xfId="34053"/>
    <cellStyle name="표준 10 3 2 6 4 2" xfId="34054"/>
    <cellStyle name="표준 10 3 2 6 4 2 2" xfId="34055"/>
    <cellStyle name="표준 10 3 2 6 4 2 3" xfId="34056"/>
    <cellStyle name="표준 10 3 2 6 4 3" xfId="34057"/>
    <cellStyle name="표준 10 3 2 6 4 4" xfId="34058"/>
    <cellStyle name="표준 10 3 2 6 5" xfId="34059"/>
    <cellStyle name="표준 10 3 2 6 5 2" xfId="34060"/>
    <cellStyle name="표준 10 3 2 6 5 3" xfId="34061"/>
    <cellStyle name="표준 10 3 2 6 6" xfId="34062"/>
    <cellStyle name="표준 10 3 2 6 7" xfId="34063"/>
    <cellStyle name="표준 10 3 2 7" xfId="34064"/>
    <cellStyle name="표준 10 3 2 7 2" xfId="34065"/>
    <cellStyle name="표준 10 3 2 7 2 2" xfId="34066"/>
    <cellStyle name="표준 10 3 2 7 2 2 2" xfId="34067"/>
    <cellStyle name="표준 10 3 2 7 2 2 3" xfId="34068"/>
    <cellStyle name="표준 10 3 2 7 2 3" xfId="34069"/>
    <cellStyle name="표준 10 3 2 7 2 4" xfId="34070"/>
    <cellStyle name="표준 10 3 2 7 3" xfId="34071"/>
    <cellStyle name="표준 10 3 2 7 3 2" xfId="34072"/>
    <cellStyle name="표준 10 3 2 7 3 3" xfId="34073"/>
    <cellStyle name="표준 10 3 2 7 4" xfId="34074"/>
    <cellStyle name="표준 10 3 2 7 5" xfId="34075"/>
    <cellStyle name="표준 10 3 2 8" xfId="34076"/>
    <cellStyle name="표준 10 3 2 8 2" xfId="34077"/>
    <cellStyle name="표준 10 3 2 8 2 2" xfId="34078"/>
    <cellStyle name="표준 10 3 2 8 2 2 2" xfId="34079"/>
    <cellStyle name="표준 10 3 2 8 2 2 3" xfId="34080"/>
    <cellStyle name="표준 10 3 2 8 2 3" xfId="34081"/>
    <cellStyle name="표준 10 3 2 8 2 4" xfId="34082"/>
    <cellStyle name="표준 10 3 2 8 3" xfId="34083"/>
    <cellStyle name="표준 10 3 2 8 3 2" xfId="34084"/>
    <cellStyle name="표준 10 3 2 8 3 3" xfId="34085"/>
    <cellStyle name="표준 10 3 2 8 4" xfId="34086"/>
    <cellStyle name="표준 10 3 2 8 5" xfId="34087"/>
    <cellStyle name="표준 10 3 2 9" xfId="34088"/>
    <cellStyle name="표준 10 3 2 9 2" xfId="34089"/>
    <cellStyle name="표준 10 3 2 9 2 2" xfId="34090"/>
    <cellStyle name="표준 10 3 2 9 2 2 2" xfId="34091"/>
    <cellStyle name="표준 10 3 2 9 2 2 3" xfId="34092"/>
    <cellStyle name="표준 10 3 2 9 2 3" xfId="34093"/>
    <cellStyle name="표준 10 3 2 9 2 4" xfId="34094"/>
    <cellStyle name="표준 10 3 2 9 3" xfId="34095"/>
    <cellStyle name="표준 10 3 2 9 3 2" xfId="34096"/>
    <cellStyle name="표준 10 3 2 9 3 3" xfId="34097"/>
    <cellStyle name="표준 10 3 2 9 4" xfId="34098"/>
    <cellStyle name="표준 10 3 2 9 5" xfId="34099"/>
    <cellStyle name="표준 10 3 3" xfId="34100"/>
    <cellStyle name="표준 10 3 3 10" xfId="34101"/>
    <cellStyle name="표준 10 3 3 2" xfId="34102"/>
    <cellStyle name="표준 10 3 3 2 2" xfId="34103"/>
    <cellStyle name="표준 10 3 3 2 2 2" xfId="34104"/>
    <cellStyle name="표준 10 3 3 2 2 2 2" xfId="34105"/>
    <cellStyle name="표준 10 3 3 2 2 2 2 2" xfId="34106"/>
    <cellStyle name="표준 10 3 3 2 2 2 2 3" xfId="34107"/>
    <cellStyle name="표준 10 3 3 2 2 2 3" xfId="34108"/>
    <cellStyle name="표준 10 3 3 2 2 2 4" xfId="34109"/>
    <cellStyle name="표준 10 3 3 2 2 3" xfId="34110"/>
    <cellStyle name="표준 10 3 3 2 2 3 2" xfId="34111"/>
    <cellStyle name="표준 10 3 3 2 2 3 3" xfId="34112"/>
    <cellStyle name="표준 10 3 3 2 2 4" xfId="34113"/>
    <cellStyle name="표준 10 3 3 2 2 5" xfId="34114"/>
    <cellStyle name="표준 10 3 3 2 3" xfId="34115"/>
    <cellStyle name="표준 10 3 3 2 3 2" xfId="34116"/>
    <cellStyle name="표준 10 3 3 2 3 2 2" xfId="34117"/>
    <cellStyle name="표준 10 3 3 2 3 2 2 2" xfId="34118"/>
    <cellStyle name="표준 10 3 3 2 3 2 2 3" xfId="34119"/>
    <cellStyle name="표준 10 3 3 2 3 2 3" xfId="34120"/>
    <cellStyle name="표준 10 3 3 2 3 2 4" xfId="34121"/>
    <cellStyle name="표준 10 3 3 2 3 3" xfId="34122"/>
    <cellStyle name="표준 10 3 3 2 3 3 2" xfId="34123"/>
    <cellStyle name="표준 10 3 3 2 3 3 3" xfId="34124"/>
    <cellStyle name="표준 10 3 3 2 3 4" xfId="34125"/>
    <cellStyle name="표준 10 3 3 2 3 5" xfId="34126"/>
    <cellStyle name="표준 10 3 3 2 4" xfId="34127"/>
    <cellStyle name="표준 10 3 3 2 4 2" xfId="34128"/>
    <cellStyle name="표준 10 3 3 2 4 2 2" xfId="34129"/>
    <cellStyle name="표준 10 3 3 2 4 2 3" xfId="34130"/>
    <cellStyle name="표준 10 3 3 2 4 3" xfId="34131"/>
    <cellStyle name="표준 10 3 3 2 4 4" xfId="34132"/>
    <cellStyle name="표준 10 3 3 2 5" xfId="34133"/>
    <cellStyle name="표준 10 3 3 2 5 2" xfId="34134"/>
    <cellStyle name="표준 10 3 3 2 5 3" xfId="34135"/>
    <cellStyle name="표준 10 3 3 2 6" xfId="34136"/>
    <cellStyle name="표준 10 3 3 2 7" xfId="34137"/>
    <cellStyle name="표준 10 3 3 3" xfId="34138"/>
    <cellStyle name="표준 10 3 3 3 2" xfId="34139"/>
    <cellStyle name="표준 10 3 3 3 2 2" xfId="34140"/>
    <cellStyle name="표준 10 3 3 3 2 2 2" xfId="34141"/>
    <cellStyle name="표준 10 3 3 3 2 2 2 2" xfId="34142"/>
    <cellStyle name="표준 10 3 3 3 2 2 2 3" xfId="34143"/>
    <cellStyle name="표준 10 3 3 3 2 2 3" xfId="34144"/>
    <cellStyle name="표준 10 3 3 3 2 2 4" xfId="34145"/>
    <cellStyle name="표준 10 3 3 3 2 3" xfId="34146"/>
    <cellStyle name="표준 10 3 3 3 2 3 2" xfId="34147"/>
    <cellStyle name="표준 10 3 3 3 2 3 3" xfId="34148"/>
    <cellStyle name="표준 10 3 3 3 2 4" xfId="34149"/>
    <cellStyle name="표준 10 3 3 3 2 5" xfId="34150"/>
    <cellStyle name="표준 10 3 3 3 3" xfId="34151"/>
    <cellStyle name="표준 10 3 3 3 3 2" xfId="34152"/>
    <cellStyle name="표준 10 3 3 3 3 2 2" xfId="34153"/>
    <cellStyle name="표준 10 3 3 3 3 2 2 2" xfId="34154"/>
    <cellStyle name="표준 10 3 3 3 3 2 2 3" xfId="34155"/>
    <cellStyle name="표준 10 3 3 3 3 2 3" xfId="34156"/>
    <cellStyle name="표준 10 3 3 3 3 2 4" xfId="34157"/>
    <cellStyle name="표준 10 3 3 3 3 3" xfId="34158"/>
    <cellStyle name="표준 10 3 3 3 3 3 2" xfId="34159"/>
    <cellStyle name="표준 10 3 3 3 3 3 3" xfId="34160"/>
    <cellStyle name="표준 10 3 3 3 3 4" xfId="34161"/>
    <cellStyle name="표준 10 3 3 3 3 5" xfId="34162"/>
    <cellStyle name="표준 10 3 3 3 4" xfId="34163"/>
    <cellStyle name="표준 10 3 3 3 4 2" xfId="34164"/>
    <cellStyle name="표준 10 3 3 3 4 2 2" xfId="34165"/>
    <cellStyle name="표준 10 3 3 3 4 2 3" xfId="34166"/>
    <cellStyle name="표준 10 3 3 3 4 3" xfId="34167"/>
    <cellStyle name="표준 10 3 3 3 4 4" xfId="34168"/>
    <cellStyle name="표준 10 3 3 3 5" xfId="34169"/>
    <cellStyle name="표준 10 3 3 3 5 2" xfId="34170"/>
    <cellStyle name="표준 10 3 3 3 5 3" xfId="34171"/>
    <cellStyle name="표준 10 3 3 3 6" xfId="34172"/>
    <cellStyle name="표준 10 3 3 3 7" xfId="34173"/>
    <cellStyle name="표준 10 3 3 4" xfId="34174"/>
    <cellStyle name="표준 10 3 3 4 2" xfId="34175"/>
    <cellStyle name="표준 10 3 3 4 2 2" xfId="34176"/>
    <cellStyle name="표준 10 3 3 4 2 2 2" xfId="34177"/>
    <cellStyle name="표준 10 3 3 4 2 2 3" xfId="34178"/>
    <cellStyle name="표준 10 3 3 4 2 3" xfId="34179"/>
    <cellStyle name="표준 10 3 3 4 2 4" xfId="34180"/>
    <cellStyle name="표준 10 3 3 4 3" xfId="34181"/>
    <cellStyle name="표준 10 3 3 4 3 2" xfId="34182"/>
    <cellStyle name="표준 10 3 3 4 3 3" xfId="34183"/>
    <cellStyle name="표준 10 3 3 4 4" xfId="34184"/>
    <cellStyle name="표준 10 3 3 4 5" xfId="34185"/>
    <cellStyle name="표준 10 3 3 5" xfId="34186"/>
    <cellStyle name="표준 10 3 3 5 2" xfId="34187"/>
    <cellStyle name="표준 10 3 3 5 2 2" xfId="34188"/>
    <cellStyle name="표준 10 3 3 5 2 2 2" xfId="34189"/>
    <cellStyle name="표준 10 3 3 5 2 2 3" xfId="34190"/>
    <cellStyle name="표준 10 3 3 5 2 3" xfId="34191"/>
    <cellStyle name="표준 10 3 3 5 2 4" xfId="34192"/>
    <cellStyle name="표준 10 3 3 5 3" xfId="34193"/>
    <cellStyle name="표준 10 3 3 5 3 2" xfId="34194"/>
    <cellStyle name="표준 10 3 3 5 3 3" xfId="34195"/>
    <cellStyle name="표준 10 3 3 5 4" xfId="34196"/>
    <cellStyle name="표준 10 3 3 5 5" xfId="34197"/>
    <cellStyle name="표준 10 3 3 6" xfId="34198"/>
    <cellStyle name="표준 10 3 3 6 2" xfId="34199"/>
    <cellStyle name="표준 10 3 3 6 2 2" xfId="34200"/>
    <cellStyle name="표준 10 3 3 6 2 2 2" xfId="34201"/>
    <cellStyle name="표준 10 3 3 6 2 2 3" xfId="34202"/>
    <cellStyle name="표준 10 3 3 6 2 3" xfId="34203"/>
    <cellStyle name="표준 10 3 3 6 2 4" xfId="34204"/>
    <cellStyle name="표준 10 3 3 6 3" xfId="34205"/>
    <cellStyle name="표준 10 3 3 6 3 2" xfId="34206"/>
    <cellStyle name="표준 10 3 3 6 3 3" xfId="34207"/>
    <cellStyle name="표준 10 3 3 6 4" xfId="34208"/>
    <cellStyle name="표준 10 3 3 6 5" xfId="34209"/>
    <cellStyle name="표준 10 3 3 7" xfId="34210"/>
    <cellStyle name="표준 10 3 3 7 2" xfId="34211"/>
    <cellStyle name="표준 10 3 3 7 2 2" xfId="34212"/>
    <cellStyle name="표준 10 3 3 7 2 3" xfId="34213"/>
    <cellStyle name="표준 10 3 3 7 3" xfId="34214"/>
    <cellStyle name="표준 10 3 3 7 4" xfId="34215"/>
    <cellStyle name="표준 10 3 3 8" xfId="34216"/>
    <cellStyle name="표준 10 3 3 8 2" xfId="34217"/>
    <cellStyle name="표준 10 3 3 8 3" xfId="34218"/>
    <cellStyle name="표준 10 3 3 9" xfId="34219"/>
    <cellStyle name="표준 10 3 4" xfId="34220"/>
    <cellStyle name="표준 10 3 4 10" xfId="34221"/>
    <cellStyle name="표준 10 3 4 2" xfId="34222"/>
    <cellStyle name="표준 10 3 4 2 2" xfId="34223"/>
    <cellStyle name="표준 10 3 4 2 2 2" xfId="34224"/>
    <cellStyle name="표준 10 3 4 2 2 2 2" xfId="34225"/>
    <cellStyle name="표준 10 3 4 2 2 2 2 2" xfId="34226"/>
    <cellStyle name="표준 10 3 4 2 2 2 2 3" xfId="34227"/>
    <cellStyle name="표준 10 3 4 2 2 2 3" xfId="34228"/>
    <cellStyle name="표준 10 3 4 2 2 2 4" xfId="34229"/>
    <cellStyle name="표준 10 3 4 2 2 3" xfId="34230"/>
    <cellStyle name="표준 10 3 4 2 2 3 2" xfId="34231"/>
    <cellStyle name="표준 10 3 4 2 2 3 3" xfId="34232"/>
    <cellStyle name="표준 10 3 4 2 2 4" xfId="34233"/>
    <cellStyle name="표준 10 3 4 2 2 5" xfId="34234"/>
    <cellStyle name="표준 10 3 4 2 3" xfId="34235"/>
    <cellStyle name="표준 10 3 4 2 3 2" xfId="34236"/>
    <cellStyle name="표준 10 3 4 2 3 2 2" xfId="34237"/>
    <cellStyle name="표준 10 3 4 2 3 2 2 2" xfId="34238"/>
    <cellStyle name="표준 10 3 4 2 3 2 2 3" xfId="34239"/>
    <cellStyle name="표준 10 3 4 2 3 2 3" xfId="34240"/>
    <cellStyle name="표준 10 3 4 2 3 2 4" xfId="34241"/>
    <cellStyle name="표준 10 3 4 2 3 3" xfId="34242"/>
    <cellStyle name="표준 10 3 4 2 3 3 2" xfId="34243"/>
    <cellStyle name="표준 10 3 4 2 3 3 3" xfId="34244"/>
    <cellStyle name="표준 10 3 4 2 3 4" xfId="34245"/>
    <cellStyle name="표준 10 3 4 2 3 5" xfId="34246"/>
    <cellStyle name="표준 10 3 4 2 4" xfId="34247"/>
    <cellStyle name="표준 10 3 4 2 4 2" xfId="34248"/>
    <cellStyle name="표준 10 3 4 2 4 2 2" xfId="34249"/>
    <cellStyle name="표준 10 3 4 2 4 2 3" xfId="34250"/>
    <cellStyle name="표준 10 3 4 2 4 3" xfId="34251"/>
    <cellStyle name="표준 10 3 4 2 4 4" xfId="34252"/>
    <cellStyle name="표준 10 3 4 2 5" xfId="34253"/>
    <cellStyle name="표준 10 3 4 2 5 2" xfId="34254"/>
    <cellStyle name="표준 10 3 4 2 5 3" xfId="34255"/>
    <cellStyle name="표준 10 3 4 2 6" xfId="34256"/>
    <cellStyle name="표준 10 3 4 2 7" xfId="34257"/>
    <cellStyle name="표준 10 3 4 3" xfId="34258"/>
    <cellStyle name="표준 10 3 4 3 2" xfId="34259"/>
    <cellStyle name="표준 10 3 4 3 2 2" xfId="34260"/>
    <cellStyle name="표준 10 3 4 3 2 2 2" xfId="34261"/>
    <cellStyle name="표준 10 3 4 3 2 2 2 2" xfId="34262"/>
    <cellStyle name="표준 10 3 4 3 2 2 2 3" xfId="34263"/>
    <cellStyle name="표준 10 3 4 3 2 2 3" xfId="34264"/>
    <cellStyle name="표준 10 3 4 3 2 2 4" xfId="34265"/>
    <cellStyle name="표준 10 3 4 3 2 3" xfId="34266"/>
    <cellStyle name="표준 10 3 4 3 2 3 2" xfId="34267"/>
    <cellStyle name="표준 10 3 4 3 2 3 3" xfId="34268"/>
    <cellStyle name="표준 10 3 4 3 2 4" xfId="34269"/>
    <cellStyle name="표준 10 3 4 3 2 5" xfId="34270"/>
    <cellStyle name="표준 10 3 4 3 3" xfId="34271"/>
    <cellStyle name="표준 10 3 4 3 3 2" xfId="34272"/>
    <cellStyle name="표준 10 3 4 3 3 2 2" xfId="34273"/>
    <cellStyle name="표준 10 3 4 3 3 2 2 2" xfId="34274"/>
    <cellStyle name="표준 10 3 4 3 3 2 2 3" xfId="34275"/>
    <cellStyle name="표준 10 3 4 3 3 2 3" xfId="34276"/>
    <cellStyle name="표준 10 3 4 3 3 2 4" xfId="34277"/>
    <cellStyle name="표준 10 3 4 3 3 3" xfId="34278"/>
    <cellStyle name="표준 10 3 4 3 3 3 2" xfId="34279"/>
    <cellStyle name="표준 10 3 4 3 3 3 3" xfId="34280"/>
    <cellStyle name="표준 10 3 4 3 3 4" xfId="34281"/>
    <cellStyle name="표준 10 3 4 3 3 5" xfId="34282"/>
    <cellStyle name="표준 10 3 4 3 4" xfId="34283"/>
    <cellStyle name="표준 10 3 4 3 4 2" xfId="34284"/>
    <cellStyle name="표준 10 3 4 3 4 2 2" xfId="34285"/>
    <cellStyle name="표준 10 3 4 3 4 2 3" xfId="34286"/>
    <cellStyle name="표준 10 3 4 3 4 3" xfId="34287"/>
    <cellStyle name="표준 10 3 4 3 4 4" xfId="34288"/>
    <cellStyle name="표준 10 3 4 3 5" xfId="34289"/>
    <cellStyle name="표준 10 3 4 3 5 2" xfId="34290"/>
    <cellStyle name="표준 10 3 4 3 5 3" xfId="34291"/>
    <cellStyle name="표준 10 3 4 3 6" xfId="34292"/>
    <cellStyle name="표준 10 3 4 3 7" xfId="34293"/>
    <cellStyle name="표준 10 3 4 4" xfId="34294"/>
    <cellStyle name="표준 10 3 4 4 2" xfId="34295"/>
    <cellStyle name="표준 10 3 4 4 2 2" xfId="34296"/>
    <cellStyle name="표준 10 3 4 4 2 2 2" xfId="34297"/>
    <cellStyle name="표준 10 3 4 4 2 2 3" xfId="34298"/>
    <cellStyle name="표준 10 3 4 4 2 3" xfId="34299"/>
    <cellStyle name="표준 10 3 4 4 2 4" xfId="34300"/>
    <cellStyle name="표준 10 3 4 4 3" xfId="34301"/>
    <cellStyle name="표준 10 3 4 4 3 2" xfId="34302"/>
    <cellStyle name="표준 10 3 4 4 3 3" xfId="34303"/>
    <cellStyle name="표준 10 3 4 4 4" xfId="34304"/>
    <cellStyle name="표준 10 3 4 4 5" xfId="34305"/>
    <cellStyle name="표준 10 3 4 5" xfId="34306"/>
    <cellStyle name="표준 10 3 4 5 2" xfId="34307"/>
    <cellStyle name="표준 10 3 4 5 2 2" xfId="34308"/>
    <cellStyle name="표준 10 3 4 5 2 2 2" xfId="34309"/>
    <cellStyle name="표준 10 3 4 5 2 2 3" xfId="34310"/>
    <cellStyle name="표준 10 3 4 5 2 3" xfId="34311"/>
    <cellStyle name="표준 10 3 4 5 2 4" xfId="34312"/>
    <cellStyle name="표준 10 3 4 5 3" xfId="34313"/>
    <cellStyle name="표준 10 3 4 5 3 2" xfId="34314"/>
    <cellStyle name="표준 10 3 4 5 3 3" xfId="34315"/>
    <cellStyle name="표준 10 3 4 5 4" xfId="34316"/>
    <cellStyle name="표준 10 3 4 5 5" xfId="34317"/>
    <cellStyle name="표준 10 3 4 6" xfId="34318"/>
    <cellStyle name="표준 10 3 4 6 2" xfId="34319"/>
    <cellStyle name="표준 10 3 4 6 2 2" xfId="34320"/>
    <cellStyle name="표준 10 3 4 6 2 2 2" xfId="34321"/>
    <cellStyle name="표준 10 3 4 6 2 2 3" xfId="34322"/>
    <cellStyle name="표준 10 3 4 6 2 3" xfId="34323"/>
    <cellStyle name="표준 10 3 4 6 2 4" xfId="34324"/>
    <cellStyle name="표준 10 3 4 6 3" xfId="34325"/>
    <cellStyle name="표준 10 3 4 6 3 2" xfId="34326"/>
    <cellStyle name="표준 10 3 4 6 3 3" xfId="34327"/>
    <cellStyle name="표준 10 3 4 6 4" xfId="34328"/>
    <cellStyle name="표준 10 3 4 6 5" xfId="34329"/>
    <cellStyle name="표준 10 3 4 7" xfId="34330"/>
    <cellStyle name="표준 10 3 4 7 2" xfId="34331"/>
    <cellStyle name="표준 10 3 4 7 2 2" xfId="34332"/>
    <cellStyle name="표준 10 3 4 7 2 3" xfId="34333"/>
    <cellStyle name="표준 10 3 4 7 3" xfId="34334"/>
    <cellStyle name="표준 10 3 4 7 4" xfId="34335"/>
    <cellStyle name="표준 10 3 4 8" xfId="34336"/>
    <cellStyle name="표준 10 3 4 8 2" xfId="34337"/>
    <cellStyle name="표준 10 3 4 8 3" xfId="34338"/>
    <cellStyle name="표준 10 3 4 9" xfId="34339"/>
    <cellStyle name="표준 10 3 5" xfId="34340"/>
    <cellStyle name="표준 10 3 5 10" xfId="34341"/>
    <cellStyle name="표준 10 3 5 2" xfId="34342"/>
    <cellStyle name="표준 10 3 5 2 2" xfId="34343"/>
    <cellStyle name="표준 10 3 5 2 2 2" xfId="34344"/>
    <cellStyle name="표준 10 3 5 2 2 2 2" xfId="34345"/>
    <cellStyle name="표준 10 3 5 2 2 2 2 2" xfId="34346"/>
    <cellStyle name="표준 10 3 5 2 2 2 2 3" xfId="34347"/>
    <cellStyle name="표준 10 3 5 2 2 2 3" xfId="34348"/>
    <cellStyle name="표준 10 3 5 2 2 2 4" xfId="34349"/>
    <cellStyle name="표준 10 3 5 2 2 3" xfId="34350"/>
    <cellStyle name="표준 10 3 5 2 2 3 2" xfId="34351"/>
    <cellStyle name="표준 10 3 5 2 2 3 3" xfId="34352"/>
    <cellStyle name="표준 10 3 5 2 2 4" xfId="34353"/>
    <cellStyle name="표준 10 3 5 2 2 5" xfId="34354"/>
    <cellStyle name="표준 10 3 5 2 3" xfId="34355"/>
    <cellStyle name="표준 10 3 5 2 3 2" xfId="34356"/>
    <cellStyle name="표준 10 3 5 2 3 2 2" xfId="34357"/>
    <cellStyle name="표준 10 3 5 2 3 2 2 2" xfId="34358"/>
    <cellStyle name="표준 10 3 5 2 3 2 2 3" xfId="34359"/>
    <cellStyle name="표준 10 3 5 2 3 2 3" xfId="34360"/>
    <cellStyle name="표준 10 3 5 2 3 2 4" xfId="34361"/>
    <cellStyle name="표준 10 3 5 2 3 3" xfId="34362"/>
    <cellStyle name="표준 10 3 5 2 3 3 2" xfId="34363"/>
    <cellStyle name="표준 10 3 5 2 3 3 3" xfId="34364"/>
    <cellStyle name="표준 10 3 5 2 3 4" xfId="34365"/>
    <cellStyle name="표준 10 3 5 2 3 5" xfId="34366"/>
    <cellStyle name="표준 10 3 5 2 4" xfId="34367"/>
    <cellStyle name="표준 10 3 5 2 4 2" xfId="34368"/>
    <cellStyle name="표준 10 3 5 2 4 2 2" xfId="34369"/>
    <cellStyle name="표준 10 3 5 2 4 2 3" xfId="34370"/>
    <cellStyle name="표준 10 3 5 2 4 3" xfId="34371"/>
    <cellStyle name="표준 10 3 5 2 4 4" xfId="34372"/>
    <cellStyle name="표준 10 3 5 2 5" xfId="34373"/>
    <cellStyle name="표준 10 3 5 2 5 2" xfId="34374"/>
    <cellStyle name="표준 10 3 5 2 5 3" xfId="34375"/>
    <cellStyle name="표준 10 3 5 2 6" xfId="34376"/>
    <cellStyle name="표준 10 3 5 2 7" xfId="34377"/>
    <cellStyle name="표준 10 3 5 3" xfId="34378"/>
    <cellStyle name="표준 10 3 5 3 2" xfId="34379"/>
    <cellStyle name="표준 10 3 5 3 2 2" xfId="34380"/>
    <cellStyle name="표준 10 3 5 3 2 2 2" xfId="34381"/>
    <cellStyle name="표준 10 3 5 3 2 2 2 2" xfId="34382"/>
    <cellStyle name="표준 10 3 5 3 2 2 2 3" xfId="34383"/>
    <cellStyle name="표준 10 3 5 3 2 2 3" xfId="34384"/>
    <cellStyle name="표준 10 3 5 3 2 2 4" xfId="34385"/>
    <cellStyle name="표준 10 3 5 3 2 3" xfId="34386"/>
    <cellStyle name="표준 10 3 5 3 2 3 2" xfId="34387"/>
    <cellStyle name="표준 10 3 5 3 2 3 3" xfId="34388"/>
    <cellStyle name="표준 10 3 5 3 2 4" xfId="34389"/>
    <cellStyle name="표준 10 3 5 3 2 5" xfId="34390"/>
    <cellStyle name="표준 10 3 5 3 3" xfId="34391"/>
    <cellStyle name="표준 10 3 5 3 3 2" xfId="34392"/>
    <cellStyle name="표준 10 3 5 3 3 2 2" xfId="34393"/>
    <cellStyle name="표준 10 3 5 3 3 2 2 2" xfId="34394"/>
    <cellStyle name="표준 10 3 5 3 3 2 2 3" xfId="34395"/>
    <cellStyle name="표준 10 3 5 3 3 2 3" xfId="34396"/>
    <cellStyle name="표준 10 3 5 3 3 2 4" xfId="34397"/>
    <cellStyle name="표준 10 3 5 3 3 3" xfId="34398"/>
    <cellStyle name="표준 10 3 5 3 3 3 2" xfId="34399"/>
    <cellStyle name="표준 10 3 5 3 3 3 3" xfId="34400"/>
    <cellStyle name="표준 10 3 5 3 3 4" xfId="34401"/>
    <cellStyle name="표준 10 3 5 3 3 5" xfId="34402"/>
    <cellStyle name="표준 10 3 5 3 4" xfId="34403"/>
    <cellStyle name="표준 10 3 5 3 4 2" xfId="34404"/>
    <cellStyle name="표준 10 3 5 3 4 2 2" xfId="34405"/>
    <cellStyle name="표준 10 3 5 3 4 2 3" xfId="34406"/>
    <cellStyle name="표준 10 3 5 3 4 3" xfId="34407"/>
    <cellStyle name="표준 10 3 5 3 4 4" xfId="34408"/>
    <cellStyle name="표준 10 3 5 3 5" xfId="34409"/>
    <cellStyle name="표준 10 3 5 3 5 2" xfId="34410"/>
    <cellStyle name="표준 10 3 5 3 5 3" xfId="34411"/>
    <cellStyle name="표준 10 3 5 3 6" xfId="34412"/>
    <cellStyle name="표준 10 3 5 3 7" xfId="34413"/>
    <cellStyle name="표준 10 3 5 4" xfId="34414"/>
    <cellStyle name="표준 10 3 5 4 2" xfId="34415"/>
    <cellStyle name="표준 10 3 5 4 2 2" xfId="34416"/>
    <cellStyle name="표준 10 3 5 4 2 2 2" xfId="34417"/>
    <cellStyle name="표준 10 3 5 4 2 2 3" xfId="34418"/>
    <cellStyle name="표준 10 3 5 4 2 3" xfId="34419"/>
    <cellStyle name="표준 10 3 5 4 2 4" xfId="34420"/>
    <cellStyle name="표준 10 3 5 4 3" xfId="34421"/>
    <cellStyle name="표준 10 3 5 4 3 2" xfId="34422"/>
    <cellStyle name="표준 10 3 5 4 3 3" xfId="34423"/>
    <cellStyle name="표준 10 3 5 4 4" xfId="34424"/>
    <cellStyle name="표준 10 3 5 4 5" xfId="34425"/>
    <cellStyle name="표준 10 3 5 5" xfId="34426"/>
    <cellStyle name="표준 10 3 5 5 2" xfId="34427"/>
    <cellStyle name="표준 10 3 5 5 2 2" xfId="34428"/>
    <cellStyle name="표준 10 3 5 5 2 2 2" xfId="34429"/>
    <cellStyle name="표준 10 3 5 5 2 2 3" xfId="34430"/>
    <cellStyle name="표준 10 3 5 5 2 3" xfId="34431"/>
    <cellStyle name="표준 10 3 5 5 2 4" xfId="34432"/>
    <cellStyle name="표준 10 3 5 5 3" xfId="34433"/>
    <cellStyle name="표준 10 3 5 5 3 2" xfId="34434"/>
    <cellStyle name="표준 10 3 5 5 3 3" xfId="34435"/>
    <cellStyle name="표준 10 3 5 5 4" xfId="34436"/>
    <cellStyle name="표준 10 3 5 5 5" xfId="34437"/>
    <cellStyle name="표준 10 3 5 6" xfId="34438"/>
    <cellStyle name="표준 10 3 5 6 2" xfId="34439"/>
    <cellStyle name="표준 10 3 5 6 2 2" xfId="34440"/>
    <cellStyle name="표준 10 3 5 6 2 2 2" xfId="34441"/>
    <cellStyle name="표준 10 3 5 6 2 2 3" xfId="34442"/>
    <cellStyle name="표준 10 3 5 6 2 3" xfId="34443"/>
    <cellStyle name="표준 10 3 5 6 2 4" xfId="34444"/>
    <cellStyle name="표준 10 3 5 6 3" xfId="34445"/>
    <cellStyle name="표준 10 3 5 6 3 2" xfId="34446"/>
    <cellStyle name="표준 10 3 5 6 3 3" xfId="34447"/>
    <cellStyle name="표준 10 3 5 6 4" xfId="34448"/>
    <cellStyle name="표준 10 3 5 6 5" xfId="34449"/>
    <cellStyle name="표준 10 3 5 7" xfId="34450"/>
    <cellStyle name="표준 10 3 5 7 2" xfId="34451"/>
    <cellStyle name="표준 10 3 5 7 2 2" xfId="34452"/>
    <cellStyle name="표준 10 3 5 7 2 3" xfId="34453"/>
    <cellStyle name="표준 10 3 5 7 3" xfId="34454"/>
    <cellStyle name="표준 10 3 5 7 4" xfId="34455"/>
    <cellStyle name="표준 10 3 5 8" xfId="34456"/>
    <cellStyle name="표준 10 3 5 8 2" xfId="34457"/>
    <cellStyle name="표준 10 3 5 8 3" xfId="34458"/>
    <cellStyle name="표준 10 3 5 9" xfId="34459"/>
    <cellStyle name="표준 10 3 6" xfId="34460"/>
    <cellStyle name="표준 10 3 6 2" xfId="34461"/>
    <cellStyle name="표준 10 3 6 2 2" xfId="34462"/>
    <cellStyle name="표준 10 3 6 2 2 2" xfId="34463"/>
    <cellStyle name="표준 10 3 6 2 2 2 2" xfId="34464"/>
    <cellStyle name="표준 10 3 6 2 2 2 3" xfId="34465"/>
    <cellStyle name="표준 10 3 6 2 2 3" xfId="34466"/>
    <cellStyle name="표준 10 3 6 2 2 4" xfId="34467"/>
    <cellStyle name="표준 10 3 6 2 3" xfId="34468"/>
    <cellStyle name="표준 10 3 6 2 3 2" xfId="34469"/>
    <cellStyle name="표준 10 3 6 2 3 3" xfId="34470"/>
    <cellStyle name="표준 10 3 6 2 4" xfId="34471"/>
    <cellStyle name="표준 10 3 6 2 5" xfId="34472"/>
    <cellStyle name="표준 10 3 6 3" xfId="34473"/>
    <cellStyle name="표준 10 3 6 3 2" xfId="34474"/>
    <cellStyle name="표준 10 3 6 3 2 2" xfId="34475"/>
    <cellStyle name="표준 10 3 6 3 2 2 2" xfId="34476"/>
    <cellStyle name="표준 10 3 6 3 2 2 3" xfId="34477"/>
    <cellStyle name="표준 10 3 6 3 2 3" xfId="34478"/>
    <cellStyle name="표준 10 3 6 3 2 4" xfId="34479"/>
    <cellStyle name="표준 10 3 6 3 3" xfId="34480"/>
    <cellStyle name="표준 10 3 6 3 3 2" xfId="34481"/>
    <cellStyle name="표준 10 3 6 3 3 3" xfId="34482"/>
    <cellStyle name="표준 10 3 6 3 4" xfId="34483"/>
    <cellStyle name="표준 10 3 6 3 5" xfId="34484"/>
    <cellStyle name="표준 10 3 6 4" xfId="34485"/>
    <cellStyle name="표준 10 3 6 4 2" xfId="34486"/>
    <cellStyle name="표준 10 3 6 4 2 2" xfId="34487"/>
    <cellStyle name="표준 10 3 6 4 2 3" xfId="34488"/>
    <cellStyle name="표준 10 3 6 4 3" xfId="34489"/>
    <cellStyle name="표준 10 3 6 4 4" xfId="34490"/>
    <cellStyle name="표준 10 3 6 5" xfId="34491"/>
    <cellStyle name="표준 10 3 6 5 2" xfId="34492"/>
    <cellStyle name="표준 10 3 6 5 3" xfId="34493"/>
    <cellStyle name="표준 10 3 6 6" xfId="34494"/>
    <cellStyle name="표준 10 3 6 7" xfId="34495"/>
    <cellStyle name="표준 10 3 7" xfId="34496"/>
    <cellStyle name="표준 10 3 7 2" xfId="34497"/>
    <cellStyle name="표준 10 3 7 2 2" xfId="34498"/>
    <cellStyle name="표준 10 3 7 2 2 2" xfId="34499"/>
    <cellStyle name="표준 10 3 7 2 2 2 2" xfId="34500"/>
    <cellStyle name="표준 10 3 7 2 2 2 3" xfId="34501"/>
    <cellStyle name="표준 10 3 7 2 2 3" xfId="34502"/>
    <cellStyle name="표준 10 3 7 2 2 4" xfId="34503"/>
    <cellStyle name="표준 10 3 7 2 3" xfId="34504"/>
    <cellStyle name="표준 10 3 7 2 3 2" xfId="34505"/>
    <cellStyle name="표준 10 3 7 2 3 3" xfId="34506"/>
    <cellStyle name="표준 10 3 7 2 4" xfId="34507"/>
    <cellStyle name="표준 10 3 7 2 5" xfId="34508"/>
    <cellStyle name="표준 10 3 7 3" xfId="34509"/>
    <cellStyle name="표준 10 3 7 3 2" xfId="34510"/>
    <cellStyle name="표준 10 3 7 3 2 2" xfId="34511"/>
    <cellStyle name="표준 10 3 7 3 2 2 2" xfId="34512"/>
    <cellStyle name="표준 10 3 7 3 2 2 3" xfId="34513"/>
    <cellStyle name="표준 10 3 7 3 2 3" xfId="34514"/>
    <cellStyle name="표준 10 3 7 3 2 4" xfId="34515"/>
    <cellStyle name="표준 10 3 7 3 3" xfId="34516"/>
    <cellStyle name="표준 10 3 7 3 3 2" xfId="34517"/>
    <cellStyle name="표준 10 3 7 3 3 3" xfId="34518"/>
    <cellStyle name="표준 10 3 7 3 4" xfId="34519"/>
    <cellStyle name="표준 10 3 7 3 5" xfId="34520"/>
    <cellStyle name="표준 10 3 7 4" xfId="34521"/>
    <cellStyle name="표준 10 3 7 4 2" xfId="34522"/>
    <cellStyle name="표준 10 3 7 4 2 2" xfId="34523"/>
    <cellStyle name="표준 10 3 7 4 2 3" xfId="34524"/>
    <cellStyle name="표준 10 3 7 4 3" xfId="34525"/>
    <cellStyle name="표준 10 3 7 4 4" xfId="34526"/>
    <cellStyle name="표준 10 3 7 5" xfId="34527"/>
    <cellStyle name="표준 10 3 7 5 2" xfId="34528"/>
    <cellStyle name="표준 10 3 7 5 3" xfId="34529"/>
    <cellStyle name="표준 10 3 7 6" xfId="34530"/>
    <cellStyle name="표준 10 3 7 7" xfId="34531"/>
    <cellStyle name="표준 10 3 8" xfId="34532"/>
    <cellStyle name="표준 10 3 8 2" xfId="34533"/>
    <cellStyle name="표준 10 3 8 2 2" xfId="34534"/>
    <cellStyle name="표준 10 3 8 2 2 2" xfId="34535"/>
    <cellStyle name="표준 10 3 8 2 2 3" xfId="34536"/>
    <cellStyle name="표준 10 3 8 2 3" xfId="34537"/>
    <cellStyle name="표준 10 3 8 2 4" xfId="34538"/>
    <cellStyle name="표준 10 3 8 3" xfId="34539"/>
    <cellStyle name="표준 10 3 8 3 2" xfId="34540"/>
    <cellStyle name="표준 10 3 8 3 3" xfId="34541"/>
    <cellStyle name="표준 10 3 8 4" xfId="34542"/>
    <cellStyle name="표준 10 3 8 5" xfId="34543"/>
    <cellStyle name="표준 10 3 9" xfId="34544"/>
    <cellStyle name="표준 10 3 9 2" xfId="34545"/>
    <cellStyle name="표준 10 3 9 2 2" xfId="34546"/>
    <cellStyle name="표준 10 3 9 2 2 2" xfId="34547"/>
    <cellStyle name="표준 10 3 9 2 2 3" xfId="34548"/>
    <cellStyle name="표준 10 3 9 2 3" xfId="34549"/>
    <cellStyle name="표준 10 3 9 2 4" xfId="34550"/>
    <cellStyle name="표준 10 3 9 3" xfId="34551"/>
    <cellStyle name="표준 10 3 9 3 2" xfId="34552"/>
    <cellStyle name="표준 10 3 9 3 3" xfId="34553"/>
    <cellStyle name="표준 10 3 9 4" xfId="34554"/>
    <cellStyle name="표준 10 3 9 5" xfId="34555"/>
    <cellStyle name="표준 10 4" xfId="34556"/>
    <cellStyle name="표준 10 4 10" xfId="34557"/>
    <cellStyle name="표준 10 4 10 2" xfId="34558"/>
    <cellStyle name="표준 10 4 10 2 2" xfId="34559"/>
    <cellStyle name="표준 10 4 10 2 2 2" xfId="34560"/>
    <cellStyle name="표준 10 4 10 2 2 3" xfId="34561"/>
    <cellStyle name="표준 10 4 10 2 3" xfId="34562"/>
    <cellStyle name="표준 10 4 10 2 4" xfId="34563"/>
    <cellStyle name="표준 10 4 10 3" xfId="34564"/>
    <cellStyle name="표준 10 4 10 3 2" xfId="34565"/>
    <cellStyle name="표준 10 4 10 3 3" xfId="34566"/>
    <cellStyle name="표준 10 4 10 4" xfId="34567"/>
    <cellStyle name="표준 10 4 10 5" xfId="34568"/>
    <cellStyle name="표준 10 4 11" xfId="34569"/>
    <cellStyle name="표준 10 4 11 2" xfId="34570"/>
    <cellStyle name="표준 10 4 11 2 2" xfId="34571"/>
    <cellStyle name="표준 10 4 11 2 3" xfId="34572"/>
    <cellStyle name="표준 10 4 11 3" xfId="34573"/>
    <cellStyle name="표준 10 4 11 4" xfId="34574"/>
    <cellStyle name="표준 10 4 12" xfId="34575"/>
    <cellStyle name="표준 10 4 12 2" xfId="34576"/>
    <cellStyle name="표준 10 4 12 3" xfId="34577"/>
    <cellStyle name="표준 10 4 13" xfId="34578"/>
    <cellStyle name="표준 10 4 14" xfId="34579"/>
    <cellStyle name="표준 10 4 2" xfId="34580"/>
    <cellStyle name="표준 10 4 2 10" xfId="34581"/>
    <cellStyle name="표준 10 4 2 10 2" xfId="34582"/>
    <cellStyle name="표준 10 4 2 10 2 2" xfId="34583"/>
    <cellStyle name="표준 10 4 2 10 2 3" xfId="34584"/>
    <cellStyle name="표준 10 4 2 10 3" xfId="34585"/>
    <cellStyle name="표준 10 4 2 10 4" xfId="34586"/>
    <cellStyle name="표준 10 4 2 11" xfId="34587"/>
    <cellStyle name="표준 10 4 2 11 2" xfId="34588"/>
    <cellStyle name="표준 10 4 2 11 3" xfId="34589"/>
    <cellStyle name="표준 10 4 2 12" xfId="34590"/>
    <cellStyle name="표준 10 4 2 13" xfId="34591"/>
    <cellStyle name="표준 10 4 2 2" xfId="34592"/>
    <cellStyle name="표준 10 4 2 2 10" xfId="34593"/>
    <cellStyle name="표준 10 4 2 2 2" xfId="34594"/>
    <cellStyle name="표준 10 4 2 2 2 2" xfId="34595"/>
    <cellStyle name="표준 10 4 2 2 2 2 2" xfId="34596"/>
    <cellStyle name="표준 10 4 2 2 2 2 2 2" xfId="34597"/>
    <cellStyle name="표준 10 4 2 2 2 2 2 2 2" xfId="34598"/>
    <cellStyle name="표준 10 4 2 2 2 2 2 2 3" xfId="34599"/>
    <cellStyle name="표준 10 4 2 2 2 2 2 3" xfId="34600"/>
    <cellStyle name="표준 10 4 2 2 2 2 2 4" xfId="34601"/>
    <cellStyle name="표준 10 4 2 2 2 2 3" xfId="34602"/>
    <cellStyle name="표준 10 4 2 2 2 2 3 2" xfId="34603"/>
    <cellStyle name="표준 10 4 2 2 2 2 3 3" xfId="34604"/>
    <cellStyle name="표준 10 4 2 2 2 2 4" xfId="34605"/>
    <cellStyle name="표준 10 4 2 2 2 2 5" xfId="34606"/>
    <cellStyle name="표준 10 4 2 2 2 3" xfId="34607"/>
    <cellStyle name="표준 10 4 2 2 2 3 2" xfId="34608"/>
    <cellStyle name="표준 10 4 2 2 2 3 2 2" xfId="34609"/>
    <cellStyle name="표준 10 4 2 2 2 3 2 2 2" xfId="34610"/>
    <cellStyle name="표준 10 4 2 2 2 3 2 2 3" xfId="34611"/>
    <cellStyle name="표준 10 4 2 2 2 3 2 3" xfId="34612"/>
    <cellStyle name="표준 10 4 2 2 2 3 2 4" xfId="34613"/>
    <cellStyle name="표준 10 4 2 2 2 3 3" xfId="34614"/>
    <cellStyle name="표준 10 4 2 2 2 3 3 2" xfId="34615"/>
    <cellStyle name="표준 10 4 2 2 2 3 3 3" xfId="34616"/>
    <cellStyle name="표준 10 4 2 2 2 3 4" xfId="34617"/>
    <cellStyle name="표준 10 4 2 2 2 3 5" xfId="34618"/>
    <cellStyle name="표준 10 4 2 2 2 4" xfId="34619"/>
    <cellStyle name="표준 10 4 2 2 2 4 2" xfId="34620"/>
    <cellStyle name="표준 10 4 2 2 2 4 2 2" xfId="34621"/>
    <cellStyle name="표준 10 4 2 2 2 4 2 3" xfId="34622"/>
    <cellStyle name="표준 10 4 2 2 2 4 3" xfId="34623"/>
    <cellStyle name="표준 10 4 2 2 2 4 4" xfId="34624"/>
    <cellStyle name="표준 10 4 2 2 2 5" xfId="34625"/>
    <cellStyle name="표준 10 4 2 2 2 5 2" xfId="34626"/>
    <cellStyle name="표준 10 4 2 2 2 5 3" xfId="34627"/>
    <cellStyle name="표준 10 4 2 2 2 6" xfId="34628"/>
    <cellStyle name="표준 10 4 2 2 2 7" xfId="34629"/>
    <cellStyle name="표준 10 4 2 2 3" xfId="34630"/>
    <cellStyle name="표준 10 4 2 2 3 2" xfId="34631"/>
    <cellStyle name="표준 10 4 2 2 3 2 2" xfId="34632"/>
    <cellStyle name="표준 10 4 2 2 3 2 2 2" xfId="34633"/>
    <cellStyle name="표준 10 4 2 2 3 2 2 2 2" xfId="34634"/>
    <cellStyle name="표준 10 4 2 2 3 2 2 2 3" xfId="34635"/>
    <cellStyle name="표준 10 4 2 2 3 2 2 3" xfId="34636"/>
    <cellStyle name="표준 10 4 2 2 3 2 2 4" xfId="34637"/>
    <cellStyle name="표준 10 4 2 2 3 2 3" xfId="34638"/>
    <cellStyle name="표준 10 4 2 2 3 2 3 2" xfId="34639"/>
    <cellStyle name="표준 10 4 2 2 3 2 3 3" xfId="34640"/>
    <cellStyle name="표준 10 4 2 2 3 2 4" xfId="34641"/>
    <cellStyle name="표준 10 4 2 2 3 2 5" xfId="34642"/>
    <cellStyle name="표준 10 4 2 2 3 3" xfId="34643"/>
    <cellStyle name="표준 10 4 2 2 3 3 2" xfId="34644"/>
    <cellStyle name="표준 10 4 2 2 3 3 2 2" xfId="34645"/>
    <cellStyle name="표준 10 4 2 2 3 3 2 2 2" xfId="34646"/>
    <cellStyle name="표준 10 4 2 2 3 3 2 2 3" xfId="34647"/>
    <cellStyle name="표준 10 4 2 2 3 3 2 3" xfId="34648"/>
    <cellStyle name="표준 10 4 2 2 3 3 2 4" xfId="34649"/>
    <cellStyle name="표준 10 4 2 2 3 3 3" xfId="34650"/>
    <cellStyle name="표준 10 4 2 2 3 3 3 2" xfId="34651"/>
    <cellStyle name="표준 10 4 2 2 3 3 3 3" xfId="34652"/>
    <cellStyle name="표준 10 4 2 2 3 3 4" xfId="34653"/>
    <cellStyle name="표준 10 4 2 2 3 3 5" xfId="34654"/>
    <cellStyle name="표준 10 4 2 2 3 4" xfId="34655"/>
    <cellStyle name="표준 10 4 2 2 3 4 2" xfId="34656"/>
    <cellStyle name="표준 10 4 2 2 3 4 2 2" xfId="34657"/>
    <cellStyle name="표준 10 4 2 2 3 4 2 3" xfId="34658"/>
    <cellStyle name="표준 10 4 2 2 3 4 3" xfId="34659"/>
    <cellStyle name="표준 10 4 2 2 3 4 4" xfId="34660"/>
    <cellStyle name="표준 10 4 2 2 3 5" xfId="34661"/>
    <cellStyle name="표준 10 4 2 2 3 5 2" xfId="34662"/>
    <cellStyle name="표준 10 4 2 2 3 5 3" xfId="34663"/>
    <cellStyle name="표준 10 4 2 2 3 6" xfId="34664"/>
    <cellStyle name="표준 10 4 2 2 3 7" xfId="34665"/>
    <cellStyle name="표준 10 4 2 2 4" xfId="34666"/>
    <cellStyle name="표준 10 4 2 2 4 2" xfId="34667"/>
    <cellStyle name="표준 10 4 2 2 4 2 2" xfId="34668"/>
    <cellStyle name="표준 10 4 2 2 4 2 2 2" xfId="34669"/>
    <cellStyle name="표준 10 4 2 2 4 2 2 3" xfId="34670"/>
    <cellStyle name="표준 10 4 2 2 4 2 3" xfId="34671"/>
    <cellStyle name="표준 10 4 2 2 4 2 4" xfId="34672"/>
    <cellStyle name="표준 10 4 2 2 4 3" xfId="34673"/>
    <cellStyle name="표준 10 4 2 2 4 3 2" xfId="34674"/>
    <cellStyle name="표준 10 4 2 2 4 3 3" xfId="34675"/>
    <cellStyle name="표준 10 4 2 2 4 4" xfId="34676"/>
    <cellStyle name="표준 10 4 2 2 4 5" xfId="34677"/>
    <cellStyle name="표준 10 4 2 2 5" xfId="34678"/>
    <cellStyle name="표준 10 4 2 2 5 2" xfId="34679"/>
    <cellStyle name="표준 10 4 2 2 5 2 2" xfId="34680"/>
    <cellStyle name="표준 10 4 2 2 5 2 2 2" xfId="34681"/>
    <cellStyle name="표준 10 4 2 2 5 2 2 3" xfId="34682"/>
    <cellStyle name="표준 10 4 2 2 5 2 3" xfId="34683"/>
    <cellStyle name="표준 10 4 2 2 5 2 4" xfId="34684"/>
    <cellStyle name="표준 10 4 2 2 5 3" xfId="34685"/>
    <cellStyle name="표준 10 4 2 2 5 3 2" xfId="34686"/>
    <cellStyle name="표준 10 4 2 2 5 3 3" xfId="34687"/>
    <cellStyle name="표준 10 4 2 2 5 4" xfId="34688"/>
    <cellStyle name="표준 10 4 2 2 5 5" xfId="34689"/>
    <cellStyle name="표준 10 4 2 2 6" xfId="34690"/>
    <cellStyle name="표준 10 4 2 2 6 2" xfId="34691"/>
    <cellStyle name="표준 10 4 2 2 6 2 2" xfId="34692"/>
    <cellStyle name="표준 10 4 2 2 6 2 2 2" xfId="34693"/>
    <cellStyle name="표준 10 4 2 2 6 2 2 3" xfId="34694"/>
    <cellStyle name="표준 10 4 2 2 6 2 3" xfId="34695"/>
    <cellStyle name="표준 10 4 2 2 6 2 4" xfId="34696"/>
    <cellStyle name="표준 10 4 2 2 6 3" xfId="34697"/>
    <cellStyle name="표준 10 4 2 2 6 3 2" xfId="34698"/>
    <cellStyle name="표준 10 4 2 2 6 3 3" xfId="34699"/>
    <cellStyle name="표준 10 4 2 2 6 4" xfId="34700"/>
    <cellStyle name="표준 10 4 2 2 6 5" xfId="34701"/>
    <cellStyle name="표준 10 4 2 2 7" xfId="34702"/>
    <cellStyle name="표준 10 4 2 2 7 2" xfId="34703"/>
    <cellStyle name="표준 10 4 2 2 7 2 2" xfId="34704"/>
    <cellStyle name="표준 10 4 2 2 7 2 3" xfId="34705"/>
    <cellStyle name="표준 10 4 2 2 7 3" xfId="34706"/>
    <cellStyle name="표준 10 4 2 2 7 4" xfId="34707"/>
    <cellStyle name="표준 10 4 2 2 8" xfId="34708"/>
    <cellStyle name="표준 10 4 2 2 8 2" xfId="34709"/>
    <cellStyle name="표준 10 4 2 2 8 3" xfId="34710"/>
    <cellStyle name="표준 10 4 2 2 9" xfId="34711"/>
    <cellStyle name="표준 10 4 2 3" xfId="34712"/>
    <cellStyle name="표준 10 4 2 3 10" xfId="34713"/>
    <cellStyle name="표준 10 4 2 3 2" xfId="34714"/>
    <cellStyle name="표준 10 4 2 3 2 2" xfId="34715"/>
    <cellStyle name="표준 10 4 2 3 2 2 2" xfId="34716"/>
    <cellStyle name="표준 10 4 2 3 2 2 2 2" xfId="34717"/>
    <cellStyle name="표준 10 4 2 3 2 2 2 2 2" xfId="34718"/>
    <cellStyle name="표준 10 4 2 3 2 2 2 2 3" xfId="34719"/>
    <cellStyle name="표준 10 4 2 3 2 2 2 3" xfId="34720"/>
    <cellStyle name="표준 10 4 2 3 2 2 2 4" xfId="34721"/>
    <cellStyle name="표준 10 4 2 3 2 2 3" xfId="34722"/>
    <cellStyle name="표준 10 4 2 3 2 2 3 2" xfId="34723"/>
    <cellStyle name="표준 10 4 2 3 2 2 3 3" xfId="34724"/>
    <cellStyle name="표준 10 4 2 3 2 2 4" xfId="34725"/>
    <cellStyle name="표준 10 4 2 3 2 2 5" xfId="34726"/>
    <cellStyle name="표준 10 4 2 3 2 3" xfId="34727"/>
    <cellStyle name="표준 10 4 2 3 2 3 2" xfId="34728"/>
    <cellStyle name="표준 10 4 2 3 2 3 2 2" xfId="34729"/>
    <cellStyle name="표준 10 4 2 3 2 3 2 2 2" xfId="34730"/>
    <cellStyle name="표준 10 4 2 3 2 3 2 2 3" xfId="34731"/>
    <cellStyle name="표준 10 4 2 3 2 3 2 3" xfId="34732"/>
    <cellStyle name="표준 10 4 2 3 2 3 2 4" xfId="34733"/>
    <cellStyle name="표준 10 4 2 3 2 3 3" xfId="34734"/>
    <cellStyle name="표준 10 4 2 3 2 3 3 2" xfId="34735"/>
    <cellStyle name="표준 10 4 2 3 2 3 3 3" xfId="34736"/>
    <cellStyle name="표준 10 4 2 3 2 3 4" xfId="34737"/>
    <cellStyle name="표준 10 4 2 3 2 3 5" xfId="34738"/>
    <cellStyle name="표준 10 4 2 3 2 4" xfId="34739"/>
    <cellStyle name="표준 10 4 2 3 2 4 2" xfId="34740"/>
    <cellStyle name="표준 10 4 2 3 2 4 2 2" xfId="34741"/>
    <cellStyle name="표준 10 4 2 3 2 4 2 3" xfId="34742"/>
    <cellStyle name="표준 10 4 2 3 2 4 3" xfId="34743"/>
    <cellStyle name="표준 10 4 2 3 2 4 4" xfId="34744"/>
    <cellStyle name="표준 10 4 2 3 2 5" xfId="34745"/>
    <cellStyle name="표준 10 4 2 3 2 5 2" xfId="34746"/>
    <cellStyle name="표준 10 4 2 3 2 5 3" xfId="34747"/>
    <cellStyle name="표준 10 4 2 3 2 6" xfId="34748"/>
    <cellStyle name="표준 10 4 2 3 2 7" xfId="34749"/>
    <cellStyle name="표준 10 4 2 3 3" xfId="34750"/>
    <cellStyle name="표준 10 4 2 3 3 2" xfId="34751"/>
    <cellStyle name="표준 10 4 2 3 3 2 2" xfId="34752"/>
    <cellStyle name="표준 10 4 2 3 3 2 2 2" xfId="34753"/>
    <cellStyle name="표준 10 4 2 3 3 2 2 2 2" xfId="34754"/>
    <cellStyle name="표준 10 4 2 3 3 2 2 2 3" xfId="34755"/>
    <cellStyle name="표준 10 4 2 3 3 2 2 3" xfId="34756"/>
    <cellStyle name="표준 10 4 2 3 3 2 2 4" xfId="34757"/>
    <cellStyle name="표준 10 4 2 3 3 2 3" xfId="34758"/>
    <cellStyle name="표준 10 4 2 3 3 2 3 2" xfId="34759"/>
    <cellStyle name="표준 10 4 2 3 3 2 3 3" xfId="34760"/>
    <cellStyle name="표준 10 4 2 3 3 2 4" xfId="34761"/>
    <cellStyle name="표준 10 4 2 3 3 2 5" xfId="34762"/>
    <cellStyle name="표준 10 4 2 3 3 3" xfId="34763"/>
    <cellStyle name="표준 10 4 2 3 3 3 2" xfId="34764"/>
    <cellStyle name="표준 10 4 2 3 3 3 2 2" xfId="34765"/>
    <cellStyle name="표준 10 4 2 3 3 3 2 2 2" xfId="34766"/>
    <cellStyle name="표준 10 4 2 3 3 3 2 2 3" xfId="34767"/>
    <cellStyle name="표준 10 4 2 3 3 3 2 3" xfId="34768"/>
    <cellStyle name="표준 10 4 2 3 3 3 2 4" xfId="34769"/>
    <cellStyle name="표준 10 4 2 3 3 3 3" xfId="34770"/>
    <cellStyle name="표준 10 4 2 3 3 3 3 2" xfId="34771"/>
    <cellStyle name="표준 10 4 2 3 3 3 3 3" xfId="34772"/>
    <cellStyle name="표준 10 4 2 3 3 3 4" xfId="34773"/>
    <cellStyle name="표준 10 4 2 3 3 3 5" xfId="34774"/>
    <cellStyle name="표준 10 4 2 3 3 4" xfId="34775"/>
    <cellStyle name="표준 10 4 2 3 3 4 2" xfId="34776"/>
    <cellStyle name="표준 10 4 2 3 3 4 2 2" xfId="34777"/>
    <cellStyle name="표준 10 4 2 3 3 4 2 3" xfId="34778"/>
    <cellStyle name="표준 10 4 2 3 3 4 3" xfId="34779"/>
    <cellStyle name="표준 10 4 2 3 3 4 4" xfId="34780"/>
    <cellStyle name="표준 10 4 2 3 3 5" xfId="34781"/>
    <cellStyle name="표준 10 4 2 3 3 5 2" xfId="34782"/>
    <cellStyle name="표준 10 4 2 3 3 5 3" xfId="34783"/>
    <cellStyle name="표준 10 4 2 3 3 6" xfId="34784"/>
    <cellStyle name="표준 10 4 2 3 3 7" xfId="34785"/>
    <cellStyle name="표준 10 4 2 3 4" xfId="34786"/>
    <cellStyle name="표준 10 4 2 3 4 2" xfId="34787"/>
    <cellStyle name="표준 10 4 2 3 4 2 2" xfId="34788"/>
    <cellStyle name="표준 10 4 2 3 4 2 2 2" xfId="34789"/>
    <cellStyle name="표준 10 4 2 3 4 2 2 3" xfId="34790"/>
    <cellStyle name="표준 10 4 2 3 4 2 3" xfId="34791"/>
    <cellStyle name="표준 10 4 2 3 4 2 4" xfId="34792"/>
    <cellStyle name="표준 10 4 2 3 4 3" xfId="34793"/>
    <cellStyle name="표준 10 4 2 3 4 3 2" xfId="34794"/>
    <cellStyle name="표준 10 4 2 3 4 3 3" xfId="34795"/>
    <cellStyle name="표준 10 4 2 3 4 4" xfId="34796"/>
    <cellStyle name="표준 10 4 2 3 4 5" xfId="34797"/>
    <cellStyle name="표준 10 4 2 3 5" xfId="34798"/>
    <cellStyle name="표준 10 4 2 3 5 2" xfId="34799"/>
    <cellStyle name="표준 10 4 2 3 5 2 2" xfId="34800"/>
    <cellStyle name="표준 10 4 2 3 5 2 2 2" xfId="34801"/>
    <cellStyle name="표준 10 4 2 3 5 2 2 3" xfId="34802"/>
    <cellStyle name="표준 10 4 2 3 5 2 3" xfId="34803"/>
    <cellStyle name="표준 10 4 2 3 5 2 4" xfId="34804"/>
    <cellStyle name="표준 10 4 2 3 5 3" xfId="34805"/>
    <cellStyle name="표준 10 4 2 3 5 3 2" xfId="34806"/>
    <cellStyle name="표준 10 4 2 3 5 3 3" xfId="34807"/>
    <cellStyle name="표준 10 4 2 3 5 4" xfId="34808"/>
    <cellStyle name="표준 10 4 2 3 5 5" xfId="34809"/>
    <cellStyle name="표준 10 4 2 3 6" xfId="34810"/>
    <cellStyle name="표준 10 4 2 3 6 2" xfId="34811"/>
    <cellStyle name="표준 10 4 2 3 6 2 2" xfId="34812"/>
    <cellStyle name="표준 10 4 2 3 6 2 2 2" xfId="34813"/>
    <cellStyle name="표준 10 4 2 3 6 2 2 3" xfId="34814"/>
    <cellStyle name="표준 10 4 2 3 6 2 3" xfId="34815"/>
    <cellStyle name="표준 10 4 2 3 6 2 4" xfId="34816"/>
    <cellStyle name="표준 10 4 2 3 6 3" xfId="34817"/>
    <cellStyle name="표준 10 4 2 3 6 3 2" xfId="34818"/>
    <cellStyle name="표준 10 4 2 3 6 3 3" xfId="34819"/>
    <cellStyle name="표준 10 4 2 3 6 4" xfId="34820"/>
    <cellStyle name="표준 10 4 2 3 6 5" xfId="34821"/>
    <cellStyle name="표준 10 4 2 3 7" xfId="34822"/>
    <cellStyle name="표준 10 4 2 3 7 2" xfId="34823"/>
    <cellStyle name="표준 10 4 2 3 7 2 2" xfId="34824"/>
    <cellStyle name="표준 10 4 2 3 7 2 3" xfId="34825"/>
    <cellStyle name="표준 10 4 2 3 7 3" xfId="34826"/>
    <cellStyle name="표준 10 4 2 3 7 4" xfId="34827"/>
    <cellStyle name="표준 10 4 2 3 8" xfId="34828"/>
    <cellStyle name="표준 10 4 2 3 8 2" xfId="34829"/>
    <cellStyle name="표준 10 4 2 3 8 3" xfId="34830"/>
    <cellStyle name="표준 10 4 2 3 9" xfId="34831"/>
    <cellStyle name="표준 10 4 2 4" xfId="34832"/>
    <cellStyle name="표준 10 4 2 4 10" xfId="34833"/>
    <cellStyle name="표준 10 4 2 4 2" xfId="34834"/>
    <cellStyle name="표준 10 4 2 4 2 2" xfId="34835"/>
    <cellStyle name="표준 10 4 2 4 2 2 2" xfId="34836"/>
    <cellStyle name="표준 10 4 2 4 2 2 2 2" xfId="34837"/>
    <cellStyle name="표준 10 4 2 4 2 2 2 2 2" xfId="34838"/>
    <cellStyle name="표준 10 4 2 4 2 2 2 2 3" xfId="34839"/>
    <cellStyle name="표준 10 4 2 4 2 2 2 3" xfId="34840"/>
    <cellStyle name="표준 10 4 2 4 2 2 2 4" xfId="34841"/>
    <cellStyle name="표준 10 4 2 4 2 2 3" xfId="34842"/>
    <cellStyle name="표준 10 4 2 4 2 2 3 2" xfId="34843"/>
    <cellStyle name="표준 10 4 2 4 2 2 3 3" xfId="34844"/>
    <cellStyle name="표준 10 4 2 4 2 2 4" xfId="34845"/>
    <cellStyle name="표준 10 4 2 4 2 2 5" xfId="34846"/>
    <cellStyle name="표준 10 4 2 4 2 3" xfId="34847"/>
    <cellStyle name="표준 10 4 2 4 2 3 2" xfId="34848"/>
    <cellStyle name="표준 10 4 2 4 2 3 2 2" xfId="34849"/>
    <cellStyle name="표준 10 4 2 4 2 3 2 2 2" xfId="34850"/>
    <cellStyle name="표준 10 4 2 4 2 3 2 2 3" xfId="34851"/>
    <cellStyle name="표준 10 4 2 4 2 3 2 3" xfId="34852"/>
    <cellStyle name="표준 10 4 2 4 2 3 2 4" xfId="34853"/>
    <cellStyle name="표준 10 4 2 4 2 3 3" xfId="34854"/>
    <cellStyle name="표준 10 4 2 4 2 3 3 2" xfId="34855"/>
    <cellStyle name="표준 10 4 2 4 2 3 3 3" xfId="34856"/>
    <cellStyle name="표준 10 4 2 4 2 3 4" xfId="34857"/>
    <cellStyle name="표준 10 4 2 4 2 3 5" xfId="34858"/>
    <cellStyle name="표준 10 4 2 4 2 4" xfId="34859"/>
    <cellStyle name="표준 10 4 2 4 2 4 2" xfId="34860"/>
    <cellStyle name="표준 10 4 2 4 2 4 2 2" xfId="34861"/>
    <cellStyle name="표준 10 4 2 4 2 4 2 3" xfId="34862"/>
    <cellStyle name="표준 10 4 2 4 2 4 3" xfId="34863"/>
    <cellStyle name="표준 10 4 2 4 2 4 4" xfId="34864"/>
    <cellStyle name="표준 10 4 2 4 2 5" xfId="34865"/>
    <cellStyle name="표준 10 4 2 4 2 5 2" xfId="34866"/>
    <cellStyle name="표준 10 4 2 4 2 5 3" xfId="34867"/>
    <cellStyle name="표준 10 4 2 4 2 6" xfId="34868"/>
    <cellStyle name="표준 10 4 2 4 2 7" xfId="34869"/>
    <cellStyle name="표준 10 4 2 4 3" xfId="34870"/>
    <cellStyle name="표준 10 4 2 4 3 2" xfId="34871"/>
    <cellStyle name="표준 10 4 2 4 3 2 2" xfId="34872"/>
    <cellStyle name="표준 10 4 2 4 3 2 2 2" xfId="34873"/>
    <cellStyle name="표준 10 4 2 4 3 2 2 2 2" xfId="34874"/>
    <cellStyle name="표준 10 4 2 4 3 2 2 2 3" xfId="34875"/>
    <cellStyle name="표준 10 4 2 4 3 2 2 3" xfId="34876"/>
    <cellStyle name="표준 10 4 2 4 3 2 2 4" xfId="34877"/>
    <cellStyle name="표준 10 4 2 4 3 2 3" xfId="34878"/>
    <cellStyle name="표준 10 4 2 4 3 2 3 2" xfId="34879"/>
    <cellStyle name="표준 10 4 2 4 3 2 3 3" xfId="34880"/>
    <cellStyle name="표준 10 4 2 4 3 2 4" xfId="34881"/>
    <cellStyle name="표준 10 4 2 4 3 2 5" xfId="34882"/>
    <cellStyle name="표준 10 4 2 4 3 3" xfId="34883"/>
    <cellStyle name="표준 10 4 2 4 3 3 2" xfId="34884"/>
    <cellStyle name="표준 10 4 2 4 3 3 2 2" xfId="34885"/>
    <cellStyle name="표준 10 4 2 4 3 3 2 2 2" xfId="34886"/>
    <cellStyle name="표준 10 4 2 4 3 3 2 2 3" xfId="34887"/>
    <cellStyle name="표준 10 4 2 4 3 3 2 3" xfId="34888"/>
    <cellStyle name="표준 10 4 2 4 3 3 2 4" xfId="34889"/>
    <cellStyle name="표준 10 4 2 4 3 3 3" xfId="34890"/>
    <cellStyle name="표준 10 4 2 4 3 3 3 2" xfId="34891"/>
    <cellStyle name="표준 10 4 2 4 3 3 3 3" xfId="34892"/>
    <cellStyle name="표준 10 4 2 4 3 3 4" xfId="34893"/>
    <cellStyle name="표준 10 4 2 4 3 3 5" xfId="34894"/>
    <cellStyle name="표준 10 4 2 4 3 4" xfId="34895"/>
    <cellStyle name="표준 10 4 2 4 3 4 2" xfId="34896"/>
    <cellStyle name="표준 10 4 2 4 3 4 2 2" xfId="34897"/>
    <cellStyle name="표준 10 4 2 4 3 4 2 3" xfId="34898"/>
    <cellStyle name="표준 10 4 2 4 3 4 3" xfId="34899"/>
    <cellStyle name="표준 10 4 2 4 3 4 4" xfId="34900"/>
    <cellStyle name="표준 10 4 2 4 3 5" xfId="34901"/>
    <cellStyle name="표준 10 4 2 4 3 5 2" xfId="34902"/>
    <cellStyle name="표준 10 4 2 4 3 5 3" xfId="34903"/>
    <cellStyle name="표준 10 4 2 4 3 6" xfId="34904"/>
    <cellStyle name="표준 10 4 2 4 3 7" xfId="34905"/>
    <cellStyle name="표준 10 4 2 4 4" xfId="34906"/>
    <cellStyle name="표준 10 4 2 4 4 2" xfId="34907"/>
    <cellStyle name="표준 10 4 2 4 4 2 2" xfId="34908"/>
    <cellStyle name="표준 10 4 2 4 4 2 2 2" xfId="34909"/>
    <cellStyle name="표준 10 4 2 4 4 2 2 3" xfId="34910"/>
    <cellStyle name="표준 10 4 2 4 4 2 3" xfId="34911"/>
    <cellStyle name="표준 10 4 2 4 4 2 4" xfId="34912"/>
    <cellStyle name="표준 10 4 2 4 4 3" xfId="34913"/>
    <cellStyle name="표준 10 4 2 4 4 3 2" xfId="34914"/>
    <cellStyle name="표준 10 4 2 4 4 3 3" xfId="34915"/>
    <cellStyle name="표준 10 4 2 4 4 4" xfId="34916"/>
    <cellStyle name="표준 10 4 2 4 4 5" xfId="34917"/>
    <cellStyle name="표준 10 4 2 4 5" xfId="34918"/>
    <cellStyle name="표준 10 4 2 4 5 2" xfId="34919"/>
    <cellStyle name="표준 10 4 2 4 5 2 2" xfId="34920"/>
    <cellStyle name="표준 10 4 2 4 5 2 2 2" xfId="34921"/>
    <cellStyle name="표준 10 4 2 4 5 2 2 3" xfId="34922"/>
    <cellStyle name="표준 10 4 2 4 5 2 3" xfId="34923"/>
    <cellStyle name="표준 10 4 2 4 5 2 4" xfId="34924"/>
    <cellStyle name="표준 10 4 2 4 5 3" xfId="34925"/>
    <cellStyle name="표준 10 4 2 4 5 3 2" xfId="34926"/>
    <cellStyle name="표준 10 4 2 4 5 3 3" xfId="34927"/>
    <cellStyle name="표준 10 4 2 4 5 4" xfId="34928"/>
    <cellStyle name="표준 10 4 2 4 5 5" xfId="34929"/>
    <cellStyle name="표준 10 4 2 4 6" xfId="34930"/>
    <cellStyle name="표준 10 4 2 4 6 2" xfId="34931"/>
    <cellStyle name="표준 10 4 2 4 6 2 2" xfId="34932"/>
    <cellStyle name="표준 10 4 2 4 6 2 2 2" xfId="34933"/>
    <cellStyle name="표준 10 4 2 4 6 2 2 3" xfId="34934"/>
    <cellStyle name="표준 10 4 2 4 6 2 3" xfId="34935"/>
    <cellStyle name="표준 10 4 2 4 6 2 4" xfId="34936"/>
    <cellStyle name="표준 10 4 2 4 6 3" xfId="34937"/>
    <cellStyle name="표준 10 4 2 4 6 3 2" xfId="34938"/>
    <cellStyle name="표준 10 4 2 4 6 3 3" xfId="34939"/>
    <cellStyle name="표준 10 4 2 4 6 4" xfId="34940"/>
    <cellStyle name="표준 10 4 2 4 6 5" xfId="34941"/>
    <cellStyle name="표준 10 4 2 4 7" xfId="34942"/>
    <cellStyle name="표준 10 4 2 4 7 2" xfId="34943"/>
    <cellStyle name="표준 10 4 2 4 7 2 2" xfId="34944"/>
    <cellStyle name="표준 10 4 2 4 7 2 3" xfId="34945"/>
    <cellStyle name="표준 10 4 2 4 7 3" xfId="34946"/>
    <cellStyle name="표준 10 4 2 4 7 4" xfId="34947"/>
    <cellStyle name="표준 10 4 2 4 8" xfId="34948"/>
    <cellStyle name="표준 10 4 2 4 8 2" xfId="34949"/>
    <cellStyle name="표준 10 4 2 4 8 3" xfId="34950"/>
    <cellStyle name="표준 10 4 2 4 9" xfId="34951"/>
    <cellStyle name="표준 10 4 2 5" xfId="34952"/>
    <cellStyle name="표준 10 4 2 5 2" xfId="34953"/>
    <cellStyle name="표준 10 4 2 5 2 2" xfId="34954"/>
    <cellStyle name="표준 10 4 2 5 2 2 2" xfId="34955"/>
    <cellStyle name="표준 10 4 2 5 2 2 2 2" xfId="34956"/>
    <cellStyle name="표준 10 4 2 5 2 2 2 3" xfId="34957"/>
    <cellStyle name="표준 10 4 2 5 2 2 3" xfId="34958"/>
    <cellStyle name="표준 10 4 2 5 2 2 4" xfId="34959"/>
    <cellStyle name="표준 10 4 2 5 2 3" xfId="34960"/>
    <cellStyle name="표준 10 4 2 5 2 3 2" xfId="34961"/>
    <cellStyle name="표준 10 4 2 5 2 3 3" xfId="34962"/>
    <cellStyle name="표준 10 4 2 5 2 4" xfId="34963"/>
    <cellStyle name="표준 10 4 2 5 2 5" xfId="34964"/>
    <cellStyle name="표준 10 4 2 5 3" xfId="34965"/>
    <cellStyle name="표준 10 4 2 5 3 2" xfId="34966"/>
    <cellStyle name="표준 10 4 2 5 3 2 2" xfId="34967"/>
    <cellStyle name="표준 10 4 2 5 3 2 2 2" xfId="34968"/>
    <cellStyle name="표준 10 4 2 5 3 2 2 3" xfId="34969"/>
    <cellStyle name="표준 10 4 2 5 3 2 3" xfId="34970"/>
    <cellStyle name="표준 10 4 2 5 3 2 4" xfId="34971"/>
    <cellStyle name="표준 10 4 2 5 3 3" xfId="34972"/>
    <cellStyle name="표준 10 4 2 5 3 3 2" xfId="34973"/>
    <cellStyle name="표준 10 4 2 5 3 3 3" xfId="34974"/>
    <cellStyle name="표준 10 4 2 5 3 4" xfId="34975"/>
    <cellStyle name="표준 10 4 2 5 3 5" xfId="34976"/>
    <cellStyle name="표준 10 4 2 5 4" xfId="34977"/>
    <cellStyle name="표준 10 4 2 5 4 2" xfId="34978"/>
    <cellStyle name="표준 10 4 2 5 4 2 2" xfId="34979"/>
    <cellStyle name="표준 10 4 2 5 4 2 3" xfId="34980"/>
    <cellStyle name="표준 10 4 2 5 4 3" xfId="34981"/>
    <cellStyle name="표준 10 4 2 5 4 4" xfId="34982"/>
    <cellStyle name="표준 10 4 2 5 5" xfId="34983"/>
    <cellStyle name="표준 10 4 2 5 5 2" xfId="34984"/>
    <cellStyle name="표준 10 4 2 5 5 3" xfId="34985"/>
    <cellStyle name="표준 10 4 2 5 6" xfId="34986"/>
    <cellStyle name="표준 10 4 2 5 7" xfId="34987"/>
    <cellStyle name="표준 10 4 2 6" xfId="34988"/>
    <cellStyle name="표준 10 4 2 6 2" xfId="34989"/>
    <cellStyle name="표준 10 4 2 6 2 2" xfId="34990"/>
    <cellStyle name="표준 10 4 2 6 2 2 2" xfId="34991"/>
    <cellStyle name="표준 10 4 2 6 2 2 2 2" xfId="34992"/>
    <cellStyle name="표준 10 4 2 6 2 2 2 3" xfId="34993"/>
    <cellStyle name="표준 10 4 2 6 2 2 3" xfId="34994"/>
    <cellStyle name="표준 10 4 2 6 2 2 4" xfId="34995"/>
    <cellStyle name="표준 10 4 2 6 2 3" xfId="34996"/>
    <cellStyle name="표준 10 4 2 6 2 3 2" xfId="34997"/>
    <cellStyle name="표준 10 4 2 6 2 3 3" xfId="34998"/>
    <cellStyle name="표준 10 4 2 6 2 4" xfId="34999"/>
    <cellStyle name="표준 10 4 2 6 2 5" xfId="35000"/>
    <cellStyle name="표준 10 4 2 6 3" xfId="35001"/>
    <cellStyle name="표준 10 4 2 6 3 2" xfId="35002"/>
    <cellStyle name="표준 10 4 2 6 3 2 2" xfId="35003"/>
    <cellStyle name="표준 10 4 2 6 3 2 2 2" xfId="35004"/>
    <cellStyle name="표준 10 4 2 6 3 2 2 3" xfId="35005"/>
    <cellStyle name="표준 10 4 2 6 3 2 3" xfId="35006"/>
    <cellStyle name="표준 10 4 2 6 3 2 4" xfId="35007"/>
    <cellStyle name="표준 10 4 2 6 3 3" xfId="35008"/>
    <cellStyle name="표준 10 4 2 6 3 3 2" xfId="35009"/>
    <cellStyle name="표준 10 4 2 6 3 3 3" xfId="35010"/>
    <cellStyle name="표준 10 4 2 6 3 4" xfId="35011"/>
    <cellStyle name="표준 10 4 2 6 3 5" xfId="35012"/>
    <cellStyle name="표준 10 4 2 6 4" xfId="35013"/>
    <cellStyle name="표준 10 4 2 6 4 2" xfId="35014"/>
    <cellStyle name="표준 10 4 2 6 4 2 2" xfId="35015"/>
    <cellStyle name="표준 10 4 2 6 4 2 3" xfId="35016"/>
    <cellStyle name="표준 10 4 2 6 4 3" xfId="35017"/>
    <cellStyle name="표준 10 4 2 6 4 4" xfId="35018"/>
    <cellStyle name="표준 10 4 2 6 5" xfId="35019"/>
    <cellStyle name="표준 10 4 2 6 5 2" xfId="35020"/>
    <cellStyle name="표준 10 4 2 6 5 3" xfId="35021"/>
    <cellStyle name="표준 10 4 2 6 6" xfId="35022"/>
    <cellStyle name="표준 10 4 2 6 7" xfId="35023"/>
    <cellStyle name="표준 10 4 2 7" xfId="35024"/>
    <cellStyle name="표준 10 4 2 7 2" xfId="35025"/>
    <cellStyle name="표준 10 4 2 7 2 2" xfId="35026"/>
    <cellStyle name="표준 10 4 2 7 2 2 2" xfId="35027"/>
    <cellStyle name="표준 10 4 2 7 2 2 3" xfId="35028"/>
    <cellStyle name="표준 10 4 2 7 2 3" xfId="35029"/>
    <cellStyle name="표준 10 4 2 7 2 4" xfId="35030"/>
    <cellStyle name="표준 10 4 2 7 3" xfId="35031"/>
    <cellStyle name="표준 10 4 2 7 3 2" xfId="35032"/>
    <cellStyle name="표준 10 4 2 7 3 3" xfId="35033"/>
    <cellStyle name="표준 10 4 2 7 4" xfId="35034"/>
    <cellStyle name="표준 10 4 2 7 5" xfId="35035"/>
    <cellStyle name="표준 10 4 2 8" xfId="35036"/>
    <cellStyle name="표준 10 4 2 8 2" xfId="35037"/>
    <cellStyle name="표준 10 4 2 8 2 2" xfId="35038"/>
    <cellStyle name="표준 10 4 2 8 2 2 2" xfId="35039"/>
    <cellStyle name="표준 10 4 2 8 2 2 3" xfId="35040"/>
    <cellStyle name="표준 10 4 2 8 2 3" xfId="35041"/>
    <cellStyle name="표준 10 4 2 8 2 4" xfId="35042"/>
    <cellStyle name="표준 10 4 2 8 3" xfId="35043"/>
    <cellStyle name="표준 10 4 2 8 3 2" xfId="35044"/>
    <cellStyle name="표준 10 4 2 8 3 3" xfId="35045"/>
    <cellStyle name="표준 10 4 2 8 4" xfId="35046"/>
    <cellStyle name="표준 10 4 2 8 5" xfId="35047"/>
    <cellStyle name="표준 10 4 2 9" xfId="35048"/>
    <cellStyle name="표준 10 4 2 9 2" xfId="35049"/>
    <cellStyle name="표준 10 4 2 9 2 2" xfId="35050"/>
    <cellStyle name="표준 10 4 2 9 2 2 2" xfId="35051"/>
    <cellStyle name="표준 10 4 2 9 2 2 3" xfId="35052"/>
    <cellStyle name="표준 10 4 2 9 2 3" xfId="35053"/>
    <cellStyle name="표준 10 4 2 9 2 4" xfId="35054"/>
    <cellStyle name="표준 10 4 2 9 3" xfId="35055"/>
    <cellStyle name="표준 10 4 2 9 3 2" xfId="35056"/>
    <cellStyle name="표준 10 4 2 9 3 3" xfId="35057"/>
    <cellStyle name="표준 10 4 2 9 4" xfId="35058"/>
    <cellStyle name="표준 10 4 2 9 5" xfId="35059"/>
    <cellStyle name="표준 10 4 3" xfId="35060"/>
    <cellStyle name="표준 10 4 3 10" xfId="35061"/>
    <cellStyle name="표준 10 4 3 2" xfId="35062"/>
    <cellStyle name="표준 10 4 3 2 2" xfId="35063"/>
    <cellStyle name="표준 10 4 3 2 2 2" xfId="35064"/>
    <cellStyle name="표준 10 4 3 2 2 2 2" xfId="35065"/>
    <cellStyle name="표준 10 4 3 2 2 2 2 2" xfId="35066"/>
    <cellStyle name="표준 10 4 3 2 2 2 2 3" xfId="35067"/>
    <cellStyle name="표준 10 4 3 2 2 2 3" xfId="35068"/>
    <cellStyle name="표준 10 4 3 2 2 2 4" xfId="35069"/>
    <cellStyle name="표준 10 4 3 2 2 3" xfId="35070"/>
    <cellStyle name="표준 10 4 3 2 2 3 2" xfId="35071"/>
    <cellStyle name="표준 10 4 3 2 2 3 3" xfId="35072"/>
    <cellStyle name="표준 10 4 3 2 2 4" xfId="35073"/>
    <cellStyle name="표준 10 4 3 2 2 5" xfId="35074"/>
    <cellStyle name="표준 10 4 3 2 3" xfId="35075"/>
    <cellStyle name="표준 10 4 3 2 3 2" xfId="35076"/>
    <cellStyle name="표준 10 4 3 2 3 2 2" xfId="35077"/>
    <cellStyle name="표준 10 4 3 2 3 2 2 2" xfId="35078"/>
    <cellStyle name="표준 10 4 3 2 3 2 2 3" xfId="35079"/>
    <cellStyle name="표준 10 4 3 2 3 2 3" xfId="35080"/>
    <cellStyle name="표준 10 4 3 2 3 2 4" xfId="35081"/>
    <cellStyle name="표준 10 4 3 2 3 3" xfId="35082"/>
    <cellStyle name="표준 10 4 3 2 3 3 2" xfId="35083"/>
    <cellStyle name="표준 10 4 3 2 3 3 3" xfId="35084"/>
    <cellStyle name="표준 10 4 3 2 3 4" xfId="35085"/>
    <cellStyle name="표준 10 4 3 2 3 5" xfId="35086"/>
    <cellStyle name="표준 10 4 3 2 4" xfId="35087"/>
    <cellStyle name="표준 10 4 3 2 4 2" xfId="35088"/>
    <cellStyle name="표준 10 4 3 2 4 2 2" xfId="35089"/>
    <cellStyle name="표준 10 4 3 2 4 2 3" xfId="35090"/>
    <cellStyle name="표준 10 4 3 2 4 3" xfId="35091"/>
    <cellStyle name="표준 10 4 3 2 4 4" xfId="35092"/>
    <cellStyle name="표준 10 4 3 2 5" xfId="35093"/>
    <cellStyle name="표준 10 4 3 2 5 2" xfId="35094"/>
    <cellStyle name="표준 10 4 3 2 5 3" xfId="35095"/>
    <cellStyle name="표준 10 4 3 2 6" xfId="35096"/>
    <cellStyle name="표준 10 4 3 2 7" xfId="35097"/>
    <cellStyle name="표준 10 4 3 3" xfId="35098"/>
    <cellStyle name="표준 10 4 3 3 2" xfId="35099"/>
    <cellStyle name="표준 10 4 3 3 2 2" xfId="35100"/>
    <cellStyle name="표준 10 4 3 3 2 2 2" xfId="35101"/>
    <cellStyle name="표준 10 4 3 3 2 2 2 2" xfId="35102"/>
    <cellStyle name="표준 10 4 3 3 2 2 2 3" xfId="35103"/>
    <cellStyle name="표준 10 4 3 3 2 2 3" xfId="35104"/>
    <cellStyle name="표준 10 4 3 3 2 2 4" xfId="35105"/>
    <cellStyle name="표준 10 4 3 3 2 3" xfId="35106"/>
    <cellStyle name="표준 10 4 3 3 2 3 2" xfId="35107"/>
    <cellStyle name="표준 10 4 3 3 2 3 3" xfId="35108"/>
    <cellStyle name="표준 10 4 3 3 2 4" xfId="35109"/>
    <cellStyle name="표준 10 4 3 3 2 5" xfId="35110"/>
    <cellStyle name="표준 10 4 3 3 3" xfId="35111"/>
    <cellStyle name="표준 10 4 3 3 3 2" xfId="35112"/>
    <cellStyle name="표준 10 4 3 3 3 2 2" xfId="35113"/>
    <cellStyle name="표준 10 4 3 3 3 2 2 2" xfId="35114"/>
    <cellStyle name="표준 10 4 3 3 3 2 2 3" xfId="35115"/>
    <cellStyle name="표준 10 4 3 3 3 2 3" xfId="35116"/>
    <cellStyle name="표준 10 4 3 3 3 2 4" xfId="35117"/>
    <cellStyle name="표준 10 4 3 3 3 3" xfId="35118"/>
    <cellStyle name="표준 10 4 3 3 3 3 2" xfId="35119"/>
    <cellStyle name="표준 10 4 3 3 3 3 3" xfId="35120"/>
    <cellStyle name="표준 10 4 3 3 3 4" xfId="35121"/>
    <cellStyle name="표준 10 4 3 3 3 5" xfId="35122"/>
    <cellStyle name="표준 10 4 3 3 4" xfId="35123"/>
    <cellStyle name="표준 10 4 3 3 4 2" xfId="35124"/>
    <cellStyle name="표준 10 4 3 3 4 2 2" xfId="35125"/>
    <cellStyle name="표준 10 4 3 3 4 2 3" xfId="35126"/>
    <cellStyle name="표준 10 4 3 3 4 3" xfId="35127"/>
    <cellStyle name="표준 10 4 3 3 4 4" xfId="35128"/>
    <cellStyle name="표준 10 4 3 3 5" xfId="35129"/>
    <cellStyle name="표준 10 4 3 3 5 2" xfId="35130"/>
    <cellStyle name="표준 10 4 3 3 5 3" xfId="35131"/>
    <cellStyle name="표준 10 4 3 3 6" xfId="35132"/>
    <cellStyle name="표준 10 4 3 3 7" xfId="35133"/>
    <cellStyle name="표준 10 4 3 4" xfId="35134"/>
    <cellStyle name="표준 10 4 3 4 2" xfId="35135"/>
    <cellStyle name="표준 10 4 3 4 2 2" xfId="35136"/>
    <cellStyle name="표준 10 4 3 4 2 2 2" xfId="35137"/>
    <cellStyle name="표준 10 4 3 4 2 2 3" xfId="35138"/>
    <cellStyle name="표준 10 4 3 4 2 3" xfId="35139"/>
    <cellStyle name="표준 10 4 3 4 2 4" xfId="35140"/>
    <cellStyle name="표준 10 4 3 4 3" xfId="35141"/>
    <cellStyle name="표준 10 4 3 4 3 2" xfId="35142"/>
    <cellStyle name="표준 10 4 3 4 3 3" xfId="35143"/>
    <cellStyle name="표준 10 4 3 4 4" xfId="35144"/>
    <cellStyle name="표준 10 4 3 4 5" xfId="35145"/>
    <cellStyle name="표준 10 4 3 5" xfId="35146"/>
    <cellStyle name="표준 10 4 3 5 2" xfId="35147"/>
    <cellStyle name="표준 10 4 3 5 2 2" xfId="35148"/>
    <cellStyle name="표준 10 4 3 5 2 2 2" xfId="35149"/>
    <cellStyle name="표준 10 4 3 5 2 2 3" xfId="35150"/>
    <cellStyle name="표준 10 4 3 5 2 3" xfId="35151"/>
    <cellStyle name="표준 10 4 3 5 2 4" xfId="35152"/>
    <cellStyle name="표준 10 4 3 5 3" xfId="35153"/>
    <cellStyle name="표준 10 4 3 5 3 2" xfId="35154"/>
    <cellStyle name="표준 10 4 3 5 3 3" xfId="35155"/>
    <cellStyle name="표준 10 4 3 5 4" xfId="35156"/>
    <cellStyle name="표준 10 4 3 5 5" xfId="35157"/>
    <cellStyle name="표준 10 4 3 6" xfId="35158"/>
    <cellStyle name="표준 10 4 3 6 2" xfId="35159"/>
    <cellStyle name="표준 10 4 3 6 2 2" xfId="35160"/>
    <cellStyle name="표준 10 4 3 6 2 2 2" xfId="35161"/>
    <cellStyle name="표준 10 4 3 6 2 2 3" xfId="35162"/>
    <cellStyle name="표준 10 4 3 6 2 3" xfId="35163"/>
    <cellStyle name="표준 10 4 3 6 2 4" xfId="35164"/>
    <cellStyle name="표준 10 4 3 6 3" xfId="35165"/>
    <cellStyle name="표준 10 4 3 6 3 2" xfId="35166"/>
    <cellStyle name="표준 10 4 3 6 3 3" xfId="35167"/>
    <cellStyle name="표준 10 4 3 6 4" xfId="35168"/>
    <cellStyle name="표준 10 4 3 6 5" xfId="35169"/>
    <cellStyle name="표준 10 4 3 7" xfId="35170"/>
    <cellStyle name="표준 10 4 3 7 2" xfId="35171"/>
    <cellStyle name="표준 10 4 3 7 2 2" xfId="35172"/>
    <cellStyle name="표준 10 4 3 7 2 3" xfId="35173"/>
    <cellStyle name="표준 10 4 3 7 3" xfId="35174"/>
    <cellStyle name="표준 10 4 3 7 4" xfId="35175"/>
    <cellStyle name="표준 10 4 3 8" xfId="35176"/>
    <cellStyle name="표준 10 4 3 8 2" xfId="35177"/>
    <cellStyle name="표준 10 4 3 8 3" xfId="35178"/>
    <cellStyle name="표준 10 4 3 9" xfId="35179"/>
    <cellStyle name="표준 10 4 4" xfId="35180"/>
    <cellStyle name="표준 10 4 4 10" xfId="35181"/>
    <cellStyle name="표준 10 4 4 2" xfId="35182"/>
    <cellStyle name="표준 10 4 4 2 2" xfId="35183"/>
    <cellStyle name="표준 10 4 4 2 2 2" xfId="35184"/>
    <cellStyle name="표준 10 4 4 2 2 2 2" xfId="35185"/>
    <cellStyle name="표준 10 4 4 2 2 2 2 2" xfId="35186"/>
    <cellStyle name="표준 10 4 4 2 2 2 2 3" xfId="35187"/>
    <cellStyle name="표준 10 4 4 2 2 2 3" xfId="35188"/>
    <cellStyle name="표준 10 4 4 2 2 2 4" xfId="35189"/>
    <cellStyle name="표준 10 4 4 2 2 3" xfId="35190"/>
    <cellStyle name="표준 10 4 4 2 2 3 2" xfId="35191"/>
    <cellStyle name="표준 10 4 4 2 2 3 3" xfId="35192"/>
    <cellStyle name="표준 10 4 4 2 2 4" xfId="35193"/>
    <cellStyle name="표준 10 4 4 2 2 5" xfId="35194"/>
    <cellStyle name="표준 10 4 4 2 3" xfId="35195"/>
    <cellStyle name="표준 10 4 4 2 3 2" xfId="35196"/>
    <cellStyle name="표준 10 4 4 2 3 2 2" xfId="35197"/>
    <cellStyle name="표준 10 4 4 2 3 2 2 2" xfId="35198"/>
    <cellStyle name="표준 10 4 4 2 3 2 2 3" xfId="35199"/>
    <cellStyle name="표준 10 4 4 2 3 2 3" xfId="35200"/>
    <cellStyle name="표준 10 4 4 2 3 2 4" xfId="35201"/>
    <cellStyle name="표준 10 4 4 2 3 3" xfId="35202"/>
    <cellStyle name="표준 10 4 4 2 3 3 2" xfId="35203"/>
    <cellStyle name="표준 10 4 4 2 3 3 3" xfId="35204"/>
    <cellStyle name="표준 10 4 4 2 3 4" xfId="35205"/>
    <cellStyle name="표준 10 4 4 2 3 5" xfId="35206"/>
    <cellStyle name="표준 10 4 4 2 4" xfId="35207"/>
    <cellStyle name="표준 10 4 4 2 4 2" xfId="35208"/>
    <cellStyle name="표준 10 4 4 2 4 2 2" xfId="35209"/>
    <cellStyle name="표준 10 4 4 2 4 2 3" xfId="35210"/>
    <cellStyle name="표준 10 4 4 2 4 3" xfId="35211"/>
    <cellStyle name="표준 10 4 4 2 4 4" xfId="35212"/>
    <cellStyle name="표준 10 4 4 2 5" xfId="35213"/>
    <cellStyle name="표준 10 4 4 2 5 2" xfId="35214"/>
    <cellStyle name="표준 10 4 4 2 5 3" xfId="35215"/>
    <cellStyle name="표준 10 4 4 2 6" xfId="35216"/>
    <cellStyle name="표준 10 4 4 2 7" xfId="35217"/>
    <cellStyle name="표준 10 4 4 3" xfId="35218"/>
    <cellStyle name="표준 10 4 4 3 2" xfId="35219"/>
    <cellStyle name="표준 10 4 4 3 2 2" xfId="35220"/>
    <cellStyle name="표준 10 4 4 3 2 2 2" xfId="35221"/>
    <cellStyle name="표준 10 4 4 3 2 2 2 2" xfId="35222"/>
    <cellStyle name="표준 10 4 4 3 2 2 2 3" xfId="35223"/>
    <cellStyle name="표준 10 4 4 3 2 2 3" xfId="35224"/>
    <cellStyle name="표준 10 4 4 3 2 2 4" xfId="35225"/>
    <cellStyle name="표준 10 4 4 3 2 3" xfId="35226"/>
    <cellStyle name="표준 10 4 4 3 2 3 2" xfId="35227"/>
    <cellStyle name="표준 10 4 4 3 2 3 3" xfId="35228"/>
    <cellStyle name="표준 10 4 4 3 2 4" xfId="35229"/>
    <cellStyle name="표준 10 4 4 3 2 5" xfId="35230"/>
    <cellStyle name="표준 10 4 4 3 3" xfId="35231"/>
    <cellStyle name="표준 10 4 4 3 3 2" xfId="35232"/>
    <cellStyle name="표준 10 4 4 3 3 2 2" xfId="35233"/>
    <cellStyle name="표준 10 4 4 3 3 2 2 2" xfId="35234"/>
    <cellStyle name="표준 10 4 4 3 3 2 2 3" xfId="35235"/>
    <cellStyle name="표준 10 4 4 3 3 2 3" xfId="35236"/>
    <cellStyle name="표준 10 4 4 3 3 2 4" xfId="35237"/>
    <cellStyle name="표준 10 4 4 3 3 3" xfId="35238"/>
    <cellStyle name="표준 10 4 4 3 3 3 2" xfId="35239"/>
    <cellStyle name="표준 10 4 4 3 3 3 3" xfId="35240"/>
    <cellStyle name="표준 10 4 4 3 3 4" xfId="35241"/>
    <cellStyle name="표준 10 4 4 3 3 5" xfId="35242"/>
    <cellStyle name="표준 10 4 4 3 4" xfId="35243"/>
    <cellStyle name="표준 10 4 4 3 4 2" xfId="35244"/>
    <cellStyle name="표준 10 4 4 3 4 2 2" xfId="35245"/>
    <cellStyle name="표준 10 4 4 3 4 2 3" xfId="35246"/>
    <cellStyle name="표준 10 4 4 3 4 3" xfId="35247"/>
    <cellStyle name="표준 10 4 4 3 4 4" xfId="35248"/>
    <cellStyle name="표준 10 4 4 3 5" xfId="35249"/>
    <cellStyle name="표준 10 4 4 3 5 2" xfId="35250"/>
    <cellStyle name="표준 10 4 4 3 5 3" xfId="35251"/>
    <cellStyle name="표준 10 4 4 3 6" xfId="35252"/>
    <cellStyle name="표준 10 4 4 3 7" xfId="35253"/>
    <cellStyle name="표준 10 4 4 4" xfId="35254"/>
    <cellStyle name="표준 10 4 4 4 2" xfId="35255"/>
    <cellStyle name="표준 10 4 4 4 2 2" xfId="35256"/>
    <cellStyle name="표준 10 4 4 4 2 2 2" xfId="35257"/>
    <cellStyle name="표준 10 4 4 4 2 2 3" xfId="35258"/>
    <cellStyle name="표준 10 4 4 4 2 3" xfId="35259"/>
    <cellStyle name="표준 10 4 4 4 2 4" xfId="35260"/>
    <cellStyle name="표준 10 4 4 4 3" xfId="35261"/>
    <cellStyle name="표준 10 4 4 4 3 2" xfId="35262"/>
    <cellStyle name="표준 10 4 4 4 3 3" xfId="35263"/>
    <cellStyle name="표준 10 4 4 4 4" xfId="35264"/>
    <cellStyle name="표준 10 4 4 4 5" xfId="35265"/>
    <cellStyle name="표준 10 4 4 5" xfId="35266"/>
    <cellStyle name="표준 10 4 4 5 2" xfId="35267"/>
    <cellStyle name="표준 10 4 4 5 2 2" xfId="35268"/>
    <cellStyle name="표준 10 4 4 5 2 2 2" xfId="35269"/>
    <cellStyle name="표준 10 4 4 5 2 2 3" xfId="35270"/>
    <cellStyle name="표준 10 4 4 5 2 3" xfId="35271"/>
    <cellStyle name="표준 10 4 4 5 2 4" xfId="35272"/>
    <cellStyle name="표준 10 4 4 5 3" xfId="35273"/>
    <cellStyle name="표준 10 4 4 5 3 2" xfId="35274"/>
    <cellStyle name="표준 10 4 4 5 3 3" xfId="35275"/>
    <cellStyle name="표준 10 4 4 5 4" xfId="35276"/>
    <cellStyle name="표준 10 4 4 5 5" xfId="35277"/>
    <cellStyle name="표준 10 4 4 6" xfId="35278"/>
    <cellStyle name="표준 10 4 4 6 2" xfId="35279"/>
    <cellStyle name="표준 10 4 4 6 2 2" xfId="35280"/>
    <cellStyle name="표준 10 4 4 6 2 2 2" xfId="35281"/>
    <cellStyle name="표준 10 4 4 6 2 2 3" xfId="35282"/>
    <cellStyle name="표준 10 4 4 6 2 3" xfId="35283"/>
    <cellStyle name="표준 10 4 4 6 2 4" xfId="35284"/>
    <cellStyle name="표준 10 4 4 6 3" xfId="35285"/>
    <cellStyle name="표준 10 4 4 6 3 2" xfId="35286"/>
    <cellStyle name="표준 10 4 4 6 3 3" xfId="35287"/>
    <cellStyle name="표준 10 4 4 6 4" xfId="35288"/>
    <cellStyle name="표준 10 4 4 6 5" xfId="35289"/>
    <cellStyle name="표준 10 4 4 7" xfId="35290"/>
    <cellStyle name="표준 10 4 4 7 2" xfId="35291"/>
    <cellStyle name="표준 10 4 4 7 2 2" xfId="35292"/>
    <cellStyle name="표준 10 4 4 7 2 3" xfId="35293"/>
    <cellStyle name="표준 10 4 4 7 3" xfId="35294"/>
    <cellStyle name="표준 10 4 4 7 4" xfId="35295"/>
    <cellStyle name="표준 10 4 4 8" xfId="35296"/>
    <cellStyle name="표준 10 4 4 8 2" xfId="35297"/>
    <cellStyle name="표준 10 4 4 8 3" xfId="35298"/>
    <cellStyle name="표준 10 4 4 9" xfId="35299"/>
    <cellStyle name="표준 10 4 5" xfId="35300"/>
    <cellStyle name="표준 10 4 5 10" xfId="35301"/>
    <cellStyle name="표준 10 4 5 2" xfId="35302"/>
    <cellStyle name="표준 10 4 5 2 2" xfId="35303"/>
    <cellStyle name="표준 10 4 5 2 2 2" xfId="35304"/>
    <cellStyle name="표준 10 4 5 2 2 2 2" xfId="35305"/>
    <cellStyle name="표준 10 4 5 2 2 2 2 2" xfId="35306"/>
    <cellStyle name="표준 10 4 5 2 2 2 2 3" xfId="35307"/>
    <cellStyle name="표준 10 4 5 2 2 2 3" xfId="35308"/>
    <cellStyle name="표준 10 4 5 2 2 2 4" xfId="35309"/>
    <cellStyle name="표준 10 4 5 2 2 3" xfId="35310"/>
    <cellStyle name="표준 10 4 5 2 2 3 2" xfId="35311"/>
    <cellStyle name="표준 10 4 5 2 2 3 3" xfId="35312"/>
    <cellStyle name="표준 10 4 5 2 2 4" xfId="35313"/>
    <cellStyle name="표준 10 4 5 2 2 5" xfId="35314"/>
    <cellStyle name="표준 10 4 5 2 3" xfId="35315"/>
    <cellStyle name="표준 10 4 5 2 3 2" xfId="35316"/>
    <cellStyle name="표준 10 4 5 2 3 2 2" xfId="35317"/>
    <cellStyle name="표준 10 4 5 2 3 2 2 2" xfId="35318"/>
    <cellStyle name="표준 10 4 5 2 3 2 2 3" xfId="35319"/>
    <cellStyle name="표준 10 4 5 2 3 2 3" xfId="35320"/>
    <cellStyle name="표준 10 4 5 2 3 2 4" xfId="35321"/>
    <cellStyle name="표준 10 4 5 2 3 3" xfId="35322"/>
    <cellStyle name="표준 10 4 5 2 3 3 2" xfId="35323"/>
    <cellStyle name="표준 10 4 5 2 3 3 3" xfId="35324"/>
    <cellStyle name="표준 10 4 5 2 3 4" xfId="35325"/>
    <cellStyle name="표준 10 4 5 2 3 5" xfId="35326"/>
    <cellStyle name="표준 10 4 5 2 4" xfId="35327"/>
    <cellStyle name="표준 10 4 5 2 4 2" xfId="35328"/>
    <cellStyle name="표준 10 4 5 2 4 2 2" xfId="35329"/>
    <cellStyle name="표준 10 4 5 2 4 2 3" xfId="35330"/>
    <cellStyle name="표준 10 4 5 2 4 3" xfId="35331"/>
    <cellStyle name="표준 10 4 5 2 4 4" xfId="35332"/>
    <cellStyle name="표준 10 4 5 2 5" xfId="35333"/>
    <cellStyle name="표준 10 4 5 2 5 2" xfId="35334"/>
    <cellStyle name="표준 10 4 5 2 5 3" xfId="35335"/>
    <cellStyle name="표준 10 4 5 2 6" xfId="35336"/>
    <cellStyle name="표준 10 4 5 2 7" xfId="35337"/>
    <cellStyle name="표준 10 4 5 3" xfId="35338"/>
    <cellStyle name="표준 10 4 5 3 2" xfId="35339"/>
    <cellStyle name="표준 10 4 5 3 2 2" xfId="35340"/>
    <cellStyle name="표준 10 4 5 3 2 2 2" xfId="35341"/>
    <cellStyle name="표준 10 4 5 3 2 2 2 2" xfId="35342"/>
    <cellStyle name="표준 10 4 5 3 2 2 2 3" xfId="35343"/>
    <cellStyle name="표준 10 4 5 3 2 2 3" xfId="35344"/>
    <cellStyle name="표준 10 4 5 3 2 2 4" xfId="35345"/>
    <cellStyle name="표준 10 4 5 3 2 3" xfId="35346"/>
    <cellStyle name="표준 10 4 5 3 2 3 2" xfId="35347"/>
    <cellStyle name="표준 10 4 5 3 2 3 3" xfId="35348"/>
    <cellStyle name="표준 10 4 5 3 2 4" xfId="35349"/>
    <cellStyle name="표준 10 4 5 3 2 5" xfId="35350"/>
    <cellStyle name="표준 10 4 5 3 3" xfId="35351"/>
    <cellStyle name="표준 10 4 5 3 3 2" xfId="35352"/>
    <cellStyle name="표준 10 4 5 3 3 2 2" xfId="35353"/>
    <cellStyle name="표준 10 4 5 3 3 2 2 2" xfId="35354"/>
    <cellStyle name="표준 10 4 5 3 3 2 2 3" xfId="35355"/>
    <cellStyle name="표준 10 4 5 3 3 2 3" xfId="35356"/>
    <cellStyle name="표준 10 4 5 3 3 2 4" xfId="35357"/>
    <cellStyle name="표준 10 4 5 3 3 3" xfId="35358"/>
    <cellStyle name="표준 10 4 5 3 3 3 2" xfId="35359"/>
    <cellStyle name="표준 10 4 5 3 3 3 3" xfId="35360"/>
    <cellStyle name="표준 10 4 5 3 3 4" xfId="35361"/>
    <cellStyle name="표준 10 4 5 3 3 5" xfId="35362"/>
    <cellStyle name="표준 10 4 5 3 4" xfId="35363"/>
    <cellStyle name="표준 10 4 5 3 4 2" xfId="35364"/>
    <cellStyle name="표준 10 4 5 3 4 2 2" xfId="35365"/>
    <cellStyle name="표준 10 4 5 3 4 2 3" xfId="35366"/>
    <cellStyle name="표준 10 4 5 3 4 3" xfId="35367"/>
    <cellStyle name="표준 10 4 5 3 4 4" xfId="35368"/>
    <cellStyle name="표준 10 4 5 3 5" xfId="35369"/>
    <cellStyle name="표준 10 4 5 3 5 2" xfId="35370"/>
    <cellStyle name="표준 10 4 5 3 5 3" xfId="35371"/>
    <cellStyle name="표준 10 4 5 3 6" xfId="35372"/>
    <cellStyle name="표준 10 4 5 3 7" xfId="35373"/>
    <cellStyle name="표준 10 4 5 4" xfId="35374"/>
    <cellStyle name="표준 10 4 5 4 2" xfId="35375"/>
    <cellStyle name="표준 10 4 5 4 2 2" xfId="35376"/>
    <cellStyle name="표준 10 4 5 4 2 2 2" xfId="35377"/>
    <cellStyle name="표준 10 4 5 4 2 2 3" xfId="35378"/>
    <cellStyle name="표준 10 4 5 4 2 3" xfId="35379"/>
    <cellStyle name="표준 10 4 5 4 2 4" xfId="35380"/>
    <cellStyle name="표준 10 4 5 4 3" xfId="35381"/>
    <cellStyle name="표준 10 4 5 4 3 2" xfId="35382"/>
    <cellStyle name="표준 10 4 5 4 3 3" xfId="35383"/>
    <cellStyle name="표준 10 4 5 4 4" xfId="35384"/>
    <cellStyle name="표준 10 4 5 4 5" xfId="35385"/>
    <cellStyle name="표준 10 4 5 5" xfId="35386"/>
    <cellStyle name="표준 10 4 5 5 2" xfId="35387"/>
    <cellStyle name="표준 10 4 5 5 2 2" xfId="35388"/>
    <cellStyle name="표준 10 4 5 5 2 2 2" xfId="35389"/>
    <cellStyle name="표준 10 4 5 5 2 2 3" xfId="35390"/>
    <cellStyle name="표준 10 4 5 5 2 3" xfId="35391"/>
    <cellStyle name="표준 10 4 5 5 2 4" xfId="35392"/>
    <cellStyle name="표준 10 4 5 5 3" xfId="35393"/>
    <cellStyle name="표준 10 4 5 5 3 2" xfId="35394"/>
    <cellStyle name="표준 10 4 5 5 3 3" xfId="35395"/>
    <cellStyle name="표준 10 4 5 5 4" xfId="35396"/>
    <cellStyle name="표준 10 4 5 5 5" xfId="35397"/>
    <cellStyle name="표준 10 4 5 6" xfId="35398"/>
    <cellStyle name="표준 10 4 5 6 2" xfId="35399"/>
    <cellStyle name="표준 10 4 5 6 2 2" xfId="35400"/>
    <cellStyle name="표준 10 4 5 6 2 2 2" xfId="35401"/>
    <cellStyle name="표준 10 4 5 6 2 2 3" xfId="35402"/>
    <cellStyle name="표준 10 4 5 6 2 3" xfId="35403"/>
    <cellStyle name="표준 10 4 5 6 2 4" xfId="35404"/>
    <cellStyle name="표준 10 4 5 6 3" xfId="35405"/>
    <cellStyle name="표준 10 4 5 6 3 2" xfId="35406"/>
    <cellStyle name="표준 10 4 5 6 3 3" xfId="35407"/>
    <cellStyle name="표준 10 4 5 6 4" xfId="35408"/>
    <cellStyle name="표준 10 4 5 6 5" xfId="35409"/>
    <cellStyle name="표준 10 4 5 7" xfId="35410"/>
    <cellStyle name="표준 10 4 5 7 2" xfId="35411"/>
    <cellStyle name="표준 10 4 5 7 2 2" xfId="35412"/>
    <cellStyle name="표준 10 4 5 7 2 3" xfId="35413"/>
    <cellStyle name="표준 10 4 5 7 3" xfId="35414"/>
    <cellStyle name="표준 10 4 5 7 4" xfId="35415"/>
    <cellStyle name="표준 10 4 5 8" xfId="35416"/>
    <cellStyle name="표준 10 4 5 8 2" xfId="35417"/>
    <cellStyle name="표준 10 4 5 8 3" xfId="35418"/>
    <cellStyle name="표준 10 4 5 9" xfId="35419"/>
    <cellStyle name="표준 10 4 6" xfId="35420"/>
    <cellStyle name="표준 10 4 6 2" xfId="35421"/>
    <cellStyle name="표준 10 4 6 2 2" xfId="35422"/>
    <cellStyle name="표준 10 4 6 2 2 2" xfId="35423"/>
    <cellStyle name="표준 10 4 6 2 2 2 2" xfId="35424"/>
    <cellStyle name="표준 10 4 6 2 2 2 3" xfId="35425"/>
    <cellStyle name="표준 10 4 6 2 2 3" xfId="35426"/>
    <cellStyle name="표준 10 4 6 2 2 4" xfId="35427"/>
    <cellStyle name="표준 10 4 6 2 3" xfId="35428"/>
    <cellStyle name="표준 10 4 6 2 3 2" xfId="35429"/>
    <cellStyle name="표준 10 4 6 2 3 3" xfId="35430"/>
    <cellStyle name="표준 10 4 6 2 4" xfId="35431"/>
    <cellStyle name="표준 10 4 6 2 5" xfId="35432"/>
    <cellStyle name="표준 10 4 6 3" xfId="35433"/>
    <cellStyle name="표준 10 4 6 3 2" xfId="35434"/>
    <cellStyle name="표준 10 4 6 3 2 2" xfId="35435"/>
    <cellStyle name="표준 10 4 6 3 2 2 2" xfId="35436"/>
    <cellStyle name="표준 10 4 6 3 2 2 3" xfId="35437"/>
    <cellStyle name="표준 10 4 6 3 2 3" xfId="35438"/>
    <cellStyle name="표준 10 4 6 3 2 4" xfId="35439"/>
    <cellStyle name="표준 10 4 6 3 3" xfId="35440"/>
    <cellStyle name="표준 10 4 6 3 3 2" xfId="35441"/>
    <cellStyle name="표준 10 4 6 3 3 3" xfId="35442"/>
    <cellStyle name="표준 10 4 6 3 4" xfId="35443"/>
    <cellStyle name="표준 10 4 6 3 5" xfId="35444"/>
    <cellStyle name="표준 10 4 6 4" xfId="35445"/>
    <cellStyle name="표준 10 4 6 4 2" xfId="35446"/>
    <cellStyle name="표준 10 4 6 4 2 2" xfId="35447"/>
    <cellStyle name="표준 10 4 6 4 2 3" xfId="35448"/>
    <cellStyle name="표준 10 4 6 4 3" xfId="35449"/>
    <cellStyle name="표준 10 4 6 4 4" xfId="35450"/>
    <cellStyle name="표준 10 4 6 5" xfId="35451"/>
    <cellStyle name="표준 10 4 6 5 2" xfId="35452"/>
    <cellStyle name="표준 10 4 6 5 3" xfId="35453"/>
    <cellStyle name="표준 10 4 6 6" xfId="35454"/>
    <cellStyle name="표준 10 4 6 7" xfId="35455"/>
    <cellStyle name="표준 10 4 7" xfId="35456"/>
    <cellStyle name="표준 10 4 7 2" xfId="35457"/>
    <cellStyle name="표준 10 4 7 2 2" xfId="35458"/>
    <cellStyle name="표준 10 4 7 2 2 2" xfId="35459"/>
    <cellStyle name="표준 10 4 7 2 2 2 2" xfId="35460"/>
    <cellStyle name="표준 10 4 7 2 2 2 3" xfId="35461"/>
    <cellStyle name="표준 10 4 7 2 2 3" xfId="35462"/>
    <cellStyle name="표준 10 4 7 2 2 4" xfId="35463"/>
    <cellStyle name="표준 10 4 7 2 3" xfId="35464"/>
    <cellStyle name="표준 10 4 7 2 3 2" xfId="35465"/>
    <cellStyle name="표준 10 4 7 2 3 3" xfId="35466"/>
    <cellStyle name="표준 10 4 7 2 4" xfId="35467"/>
    <cellStyle name="표준 10 4 7 2 5" xfId="35468"/>
    <cellStyle name="표준 10 4 7 3" xfId="35469"/>
    <cellStyle name="표준 10 4 7 3 2" xfId="35470"/>
    <cellStyle name="표준 10 4 7 3 2 2" xfId="35471"/>
    <cellStyle name="표준 10 4 7 3 2 2 2" xfId="35472"/>
    <cellStyle name="표준 10 4 7 3 2 2 3" xfId="35473"/>
    <cellStyle name="표준 10 4 7 3 2 3" xfId="35474"/>
    <cellStyle name="표준 10 4 7 3 2 4" xfId="35475"/>
    <cellStyle name="표준 10 4 7 3 3" xfId="35476"/>
    <cellStyle name="표준 10 4 7 3 3 2" xfId="35477"/>
    <cellStyle name="표준 10 4 7 3 3 3" xfId="35478"/>
    <cellStyle name="표준 10 4 7 3 4" xfId="35479"/>
    <cellStyle name="표준 10 4 7 3 5" xfId="35480"/>
    <cellStyle name="표준 10 4 7 4" xfId="35481"/>
    <cellStyle name="표준 10 4 7 4 2" xfId="35482"/>
    <cellStyle name="표준 10 4 7 4 2 2" xfId="35483"/>
    <cellStyle name="표준 10 4 7 4 2 3" xfId="35484"/>
    <cellStyle name="표준 10 4 7 4 3" xfId="35485"/>
    <cellStyle name="표준 10 4 7 4 4" xfId="35486"/>
    <cellStyle name="표준 10 4 7 5" xfId="35487"/>
    <cellStyle name="표준 10 4 7 5 2" xfId="35488"/>
    <cellStyle name="표준 10 4 7 5 3" xfId="35489"/>
    <cellStyle name="표준 10 4 7 6" xfId="35490"/>
    <cellStyle name="표준 10 4 7 7" xfId="35491"/>
    <cellStyle name="표준 10 4 8" xfId="35492"/>
    <cellStyle name="표준 10 4 8 2" xfId="35493"/>
    <cellStyle name="표준 10 4 8 2 2" xfId="35494"/>
    <cellStyle name="표준 10 4 8 2 2 2" xfId="35495"/>
    <cellStyle name="표준 10 4 8 2 2 3" xfId="35496"/>
    <cellStyle name="표준 10 4 8 2 3" xfId="35497"/>
    <cellStyle name="표준 10 4 8 2 4" xfId="35498"/>
    <cellStyle name="표준 10 4 8 3" xfId="35499"/>
    <cellStyle name="표준 10 4 8 3 2" xfId="35500"/>
    <cellStyle name="표준 10 4 8 3 3" xfId="35501"/>
    <cellStyle name="표준 10 4 8 4" xfId="35502"/>
    <cellStyle name="표준 10 4 8 5" xfId="35503"/>
    <cellStyle name="표준 10 4 9" xfId="35504"/>
    <cellStyle name="표준 10 4 9 2" xfId="35505"/>
    <cellStyle name="표준 10 4 9 2 2" xfId="35506"/>
    <cellStyle name="표준 10 4 9 2 2 2" xfId="35507"/>
    <cellStyle name="표준 10 4 9 2 2 3" xfId="35508"/>
    <cellStyle name="표준 10 4 9 2 3" xfId="35509"/>
    <cellStyle name="표준 10 4 9 2 4" xfId="35510"/>
    <cellStyle name="표준 10 4 9 3" xfId="35511"/>
    <cellStyle name="표준 10 4 9 3 2" xfId="35512"/>
    <cellStyle name="표준 10 4 9 3 3" xfId="35513"/>
    <cellStyle name="표준 10 4 9 4" xfId="35514"/>
    <cellStyle name="표준 10 4 9 5" xfId="35515"/>
    <cellStyle name="표준 10 5" xfId="35516"/>
    <cellStyle name="표준 10 5 10" xfId="35517"/>
    <cellStyle name="표준 10 5 10 2" xfId="35518"/>
    <cellStyle name="표준 10 5 10 2 2" xfId="35519"/>
    <cellStyle name="표준 10 5 10 2 3" xfId="35520"/>
    <cellStyle name="표준 10 5 10 3" xfId="35521"/>
    <cellStyle name="표준 10 5 10 4" xfId="35522"/>
    <cellStyle name="표준 10 5 11" xfId="35523"/>
    <cellStyle name="표준 10 5 11 2" xfId="35524"/>
    <cellStyle name="표준 10 5 11 3" xfId="35525"/>
    <cellStyle name="표준 10 5 12" xfId="35526"/>
    <cellStyle name="표준 10 5 13" xfId="35527"/>
    <cellStyle name="표준 10 5 2" xfId="35528"/>
    <cellStyle name="표준 10 5 2 10" xfId="35529"/>
    <cellStyle name="표준 10 5 2 2" xfId="35530"/>
    <cellStyle name="표준 10 5 2 2 2" xfId="35531"/>
    <cellStyle name="표준 10 5 2 2 2 2" xfId="35532"/>
    <cellStyle name="표준 10 5 2 2 2 2 2" xfId="35533"/>
    <cellStyle name="표준 10 5 2 2 2 2 2 2" xfId="35534"/>
    <cellStyle name="표준 10 5 2 2 2 2 2 3" xfId="35535"/>
    <cellStyle name="표준 10 5 2 2 2 2 3" xfId="35536"/>
    <cellStyle name="표준 10 5 2 2 2 2 4" xfId="35537"/>
    <cellStyle name="표준 10 5 2 2 2 3" xfId="35538"/>
    <cellStyle name="표준 10 5 2 2 2 3 2" xfId="35539"/>
    <cellStyle name="표준 10 5 2 2 2 3 3" xfId="35540"/>
    <cellStyle name="표준 10 5 2 2 2 4" xfId="35541"/>
    <cellStyle name="표준 10 5 2 2 2 5" xfId="35542"/>
    <cellStyle name="표준 10 5 2 2 3" xfId="35543"/>
    <cellStyle name="표준 10 5 2 2 3 2" xfId="35544"/>
    <cellStyle name="표준 10 5 2 2 3 2 2" xfId="35545"/>
    <cellStyle name="표준 10 5 2 2 3 2 2 2" xfId="35546"/>
    <cellStyle name="표준 10 5 2 2 3 2 2 3" xfId="35547"/>
    <cellStyle name="표준 10 5 2 2 3 2 3" xfId="35548"/>
    <cellStyle name="표준 10 5 2 2 3 2 4" xfId="35549"/>
    <cellStyle name="표준 10 5 2 2 3 3" xfId="35550"/>
    <cellStyle name="표준 10 5 2 2 3 3 2" xfId="35551"/>
    <cellStyle name="표준 10 5 2 2 3 3 3" xfId="35552"/>
    <cellStyle name="표준 10 5 2 2 3 4" xfId="35553"/>
    <cellStyle name="표준 10 5 2 2 3 5" xfId="35554"/>
    <cellStyle name="표준 10 5 2 2 4" xfId="35555"/>
    <cellStyle name="표준 10 5 2 2 4 2" xfId="35556"/>
    <cellStyle name="표준 10 5 2 2 4 2 2" xfId="35557"/>
    <cellStyle name="표준 10 5 2 2 4 2 3" xfId="35558"/>
    <cellStyle name="표준 10 5 2 2 4 3" xfId="35559"/>
    <cellStyle name="표준 10 5 2 2 4 4" xfId="35560"/>
    <cellStyle name="표준 10 5 2 2 5" xfId="35561"/>
    <cellStyle name="표준 10 5 2 2 5 2" xfId="35562"/>
    <cellStyle name="표준 10 5 2 2 5 3" xfId="35563"/>
    <cellStyle name="표준 10 5 2 2 6" xfId="35564"/>
    <cellStyle name="표준 10 5 2 2 7" xfId="35565"/>
    <cellStyle name="표준 10 5 2 3" xfId="35566"/>
    <cellStyle name="표준 10 5 2 3 2" xfId="35567"/>
    <cellStyle name="표준 10 5 2 3 2 2" xfId="35568"/>
    <cellStyle name="표준 10 5 2 3 2 2 2" xfId="35569"/>
    <cellStyle name="표준 10 5 2 3 2 2 2 2" xfId="35570"/>
    <cellStyle name="표준 10 5 2 3 2 2 2 3" xfId="35571"/>
    <cellStyle name="표준 10 5 2 3 2 2 3" xfId="35572"/>
    <cellStyle name="표준 10 5 2 3 2 2 4" xfId="35573"/>
    <cellStyle name="표준 10 5 2 3 2 3" xfId="35574"/>
    <cellStyle name="표준 10 5 2 3 2 3 2" xfId="35575"/>
    <cellStyle name="표준 10 5 2 3 2 3 3" xfId="35576"/>
    <cellStyle name="표준 10 5 2 3 2 4" xfId="35577"/>
    <cellStyle name="표준 10 5 2 3 2 5" xfId="35578"/>
    <cellStyle name="표준 10 5 2 3 3" xfId="35579"/>
    <cellStyle name="표준 10 5 2 3 3 2" xfId="35580"/>
    <cellStyle name="표준 10 5 2 3 3 2 2" xfId="35581"/>
    <cellStyle name="표준 10 5 2 3 3 2 2 2" xfId="35582"/>
    <cellStyle name="표준 10 5 2 3 3 2 2 3" xfId="35583"/>
    <cellStyle name="표준 10 5 2 3 3 2 3" xfId="35584"/>
    <cellStyle name="표준 10 5 2 3 3 2 4" xfId="35585"/>
    <cellStyle name="표준 10 5 2 3 3 3" xfId="35586"/>
    <cellStyle name="표준 10 5 2 3 3 3 2" xfId="35587"/>
    <cellStyle name="표준 10 5 2 3 3 3 3" xfId="35588"/>
    <cellStyle name="표준 10 5 2 3 3 4" xfId="35589"/>
    <cellStyle name="표준 10 5 2 3 3 5" xfId="35590"/>
    <cellStyle name="표준 10 5 2 3 4" xfId="35591"/>
    <cellStyle name="표준 10 5 2 3 4 2" xfId="35592"/>
    <cellStyle name="표준 10 5 2 3 4 2 2" xfId="35593"/>
    <cellStyle name="표준 10 5 2 3 4 2 3" xfId="35594"/>
    <cellStyle name="표준 10 5 2 3 4 3" xfId="35595"/>
    <cellStyle name="표준 10 5 2 3 4 4" xfId="35596"/>
    <cellStyle name="표준 10 5 2 3 5" xfId="35597"/>
    <cellStyle name="표준 10 5 2 3 5 2" xfId="35598"/>
    <cellStyle name="표준 10 5 2 3 5 3" xfId="35599"/>
    <cellStyle name="표준 10 5 2 3 6" xfId="35600"/>
    <cellStyle name="표준 10 5 2 3 7" xfId="35601"/>
    <cellStyle name="표준 10 5 2 4" xfId="35602"/>
    <cellStyle name="표준 10 5 2 4 2" xfId="35603"/>
    <cellStyle name="표준 10 5 2 4 2 2" xfId="35604"/>
    <cellStyle name="표준 10 5 2 4 2 2 2" xfId="35605"/>
    <cellStyle name="표준 10 5 2 4 2 2 3" xfId="35606"/>
    <cellStyle name="표준 10 5 2 4 2 3" xfId="35607"/>
    <cellStyle name="표준 10 5 2 4 2 4" xfId="35608"/>
    <cellStyle name="표준 10 5 2 4 3" xfId="35609"/>
    <cellStyle name="표준 10 5 2 4 3 2" xfId="35610"/>
    <cellStyle name="표준 10 5 2 4 3 3" xfId="35611"/>
    <cellStyle name="표준 10 5 2 4 4" xfId="35612"/>
    <cellStyle name="표준 10 5 2 4 5" xfId="35613"/>
    <cellStyle name="표준 10 5 2 5" xfId="35614"/>
    <cellStyle name="표준 10 5 2 5 2" xfId="35615"/>
    <cellStyle name="표준 10 5 2 5 2 2" xfId="35616"/>
    <cellStyle name="표준 10 5 2 5 2 2 2" xfId="35617"/>
    <cellStyle name="표준 10 5 2 5 2 2 3" xfId="35618"/>
    <cellStyle name="표준 10 5 2 5 2 3" xfId="35619"/>
    <cellStyle name="표준 10 5 2 5 2 4" xfId="35620"/>
    <cellStyle name="표준 10 5 2 5 3" xfId="35621"/>
    <cellStyle name="표준 10 5 2 5 3 2" xfId="35622"/>
    <cellStyle name="표준 10 5 2 5 3 3" xfId="35623"/>
    <cellStyle name="표준 10 5 2 5 4" xfId="35624"/>
    <cellStyle name="표준 10 5 2 5 5" xfId="35625"/>
    <cellStyle name="표준 10 5 2 6" xfId="35626"/>
    <cellStyle name="표준 10 5 2 6 2" xfId="35627"/>
    <cellStyle name="표준 10 5 2 6 2 2" xfId="35628"/>
    <cellStyle name="표준 10 5 2 6 2 2 2" xfId="35629"/>
    <cellStyle name="표준 10 5 2 6 2 2 3" xfId="35630"/>
    <cellStyle name="표준 10 5 2 6 2 3" xfId="35631"/>
    <cellStyle name="표준 10 5 2 6 2 4" xfId="35632"/>
    <cellStyle name="표준 10 5 2 6 3" xfId="35633"/>
    <cellStyle name="표준 10 5 2 6 3 2" xfId="35634"/>
    <cellStyle name="표준 10 5 2 6 3 3" xfId="35635"/>
    <cellStyle name="표준 10 5 2 6 4" xfId="35636"/>
    <cellStyle name="표준 10 5 2 6 5" xfId="35637"/>
    <cellStyle name="표준 10 5 2 7" xfId="35638"/>
    <cellStyle name="표준 10 5 2 7 2" xfId="35639"/>
    <cellStyle name="표준 10 5 2 7 2 2" xfId="35640"/>
    <cellStyle name="표준 10 5 2 7 2 3" xfId="35641"/>
    <cellStyle name="표준 10 5 2 7 3" xfId="35642"/>
    <cellStyle name="표준 10 5 2 7 4" xfId="35643"/>
    <cellStyle name="표준 10 5 2 8" xfId="35644"/>
    <cellStyle name="표준 10 5 2 8 2" xfId="35645"/>
    <cellStyle name="표준 10 5 2 8 3" xfId="35646"/>
    <cellStyle name="표준 10 5 2 9" xfId="35647"/>
    <cellStyle name="표준 10 5 3" xfId="35648"/>
    <cellStyle name="표준 10 5 3 10" xfId="35649"/>
    <cellStyle name="표준 10 5 3 2" xfId="35650"/>
    <cellStyle name="표준 10 5 3 2 2" xfId="35651"/>
    <cellStyle name="표준 10 5 3 2 2 2" xfId="35652"/>
    <cellStyle name="표준 10 5 3 2 2 2 2" xfId="35653"/>
    <cellStyle name="표준 10 5 3 2 2 2 2 2" xfId="35654"/>
    <cellStyle name="표준 10 5 3 2 2 2 2 3" xfId="35655"/>
    <cellStyle name="표준 10 5 3 2 2 2 3" xfId="35656"/>
    <cellStyle name="표준 10 5 3 2 2 2 4" xfId="35657"/>
    <cellStyle name="표준 10 5 3 2 2 3" xfId="35658"/>
    <cellStyle name="표준 10 5 3 2 2 3 2" xfId="35659"/>
    <cellStyle name="표준 10 5 3 2 2 3 3" xfId="35660"/>
    <cellStyle name="표준 10 5 3 2 2 4" xfId="35661"/>
    <cellStyle name="표준 10 5 3 2 2 5" xfId="35662"/>
    <cellStyle name="표준 10 5 3 2 3" xfId="35663"/>
    <cellStyle name="표준 10 5 3 2 3 2" xfId="35664"/>
    <cellStyle name="표준 10 5 3 2 3 2 2" xfId="35665"/>
    <cellStyle name="표준 10 5 3 2 3 2 2 2" xfId="35666"/>
    <cellStyle name="표준 10 5 3 2 3 2 2 3" xfId="35667"/>
    <cellStyle name="표준 10 5 3 2 3 2 3" xfId="35668"/>
    <cellStyle name="표준 10 5 3 2 3 2 4" xfId="35669"/>
    <cellStyle name="표준 10 5 3 2 3 3" xfId="35670"/>
    <cellStyle name="표준 10 5 3 2 3 3 2" xfId="35671"/>
    <cellStyle name="표준 10 5 3 2 3 3 3" xfId="35672"/>
    <cellStyle name="표준 10 5 3 2 3 4" xfId="35673"/>
    <cellStyle name="표준 10 5 3 2 3 5" xfId="35674"/>
    <cellStyle name="표준 10 5 3 2 4" xfId="35675"/>
    <cellStyle name="표준 10 5 3 2 4 2" xfId="35676"/>
    <cellStyle name="표준 10 5 3 2 4 2 2" xfId="35677"/>
    <cellStyle name="표준 10 5 3 2 4 2 3" xfId="35678"/>
    <cellStyle name="표준 10 5 3 2 4 3" xfId="35679"/>
    <cellStyle name="표준 10 5 3 2 4 4" xfId="35680"/>
    <cellStyle name="표준 10 5 3 2 5" xfId="35681"/>
    <cellStyle name="표준 10 5 3 2 5 2" xfId="35682"/>
    <cellStyle name="표준 10 5 3 2 5 3" xfId="35683"/>
    <cellStyle name="표준 10 5 3 2 6" xfId="35684"/>
    <cellStyle name="표준 10 5 3 2 7" xfId="35685"/>
    <cellStyle name="표준 10 5 3 3" xfId="35686"/>
    <cellStyle name="표준 10 5 3 3 2" xfId="35687"/>
    <cellStyle name="표준 10 5 3 3 2 2" xfId="35688"/>
    <cellStyle name="표준 10 5 3 3 2 2 2" xfId="35689"/>
    <cellStyle name="표준 10 5 3 3 2 2 2 2" xfId="35690"/>
    <cellStyle name="표준 10 5 3 3 2 2 2 3" xfId="35691"/>
    <cellStyle name="표준 10 5 3 3 2 2 3" xfId="35692"/>
    <cellStyle name="표준 10 5 3 3 2 2 4" xfId="35693"/>
    <cellStyle name="표준 10 5 3 3 2 3" xfId="35694"/>
    <cellStyle name="표준 10 5 3 3 2 3 2" xfId="35695"/>
    <cellStyle name="표준 10 5 3 3 2 3 3" xfId="35696"/>
    <cellStyle name="표준 10 5 3 3 2 4" xfId="35697"/>
    <cellStyle name="표준 10 5 3 3 2 5" xfId="35698"/>
    <cellStyle name="표준 10 5 3 3 3" xfId="35699"/>
    <cellStyle name="표준 10 5 3 3 3 2" xfId="35700"/>
    <cellStyle name="표준 10 5 3 3 3 2 2" xfId="35701"/>
    <cellStyle name="표준 10 5 3 3 3 2 2 2" xfId="35702"/>
    <cellStyle name="표준 10 5 3 3 3 2 2 3" xfId="35703"/>
    <cellStyle name="표준 10 5 3 3 3 2 3" xfId="35704"/>
    <cellStyle name="표준 10 5 3 3 3 2 4" xfId="35705"/>
    <cellStyle name="표준 10 5 3 3 3 3" xfId="35706"/>
    <cellStyle name="표준 10 5 3 3 3 3 2" xfId="35707"/>
    <cellStyle name="표준 10 5 3 3 3 3 3" xfId="35708"/>
    <cellStyle name="표준 10 5 3 3 3 4" xfId="35709"/>
    <cellStyle name="표준 10 5 3 3 3 5" xfId="35710"/>
    <cellStyle name="표준 10 5 3 3 4" xfId="35711"/>
    <cellStyle name="표준 10 5 3 3 4 2" xfId="35712"/>
    <cellStyle name="표준 10 5 3 3 4 2 2" xfId="35713"/>
    <cellStyle name="표준 10 5 3 3 4 2 3" xfId="35714"/>
    <cellStyle name="표준 10 5 3 3 4 3" xfId="35715"/>
    <cellStyle name="표준 10 5 3 3 4 4" xfId="35716"/>
    <cellStyle name="표준 10 5 3 3 5" xfId="35717"/>
    <cellStyle name="표준 10 5 3 3 5 2" xfId="35718"/>
    <cellStyle name="표준 10 5 3 3 5 3" xfId="35719"/>
    <cellStyle name="표준 10 5 3 3 6" xfId="35720"/>
    <cellStyle name="표준 10 5 3 3 7" xfId="35721"/>
    <cellStyle name="표준 10 5 3 4" xfId="35722"/>
    <cellStyle name="표준 10 5 3 4 2" xfId="35723"/>
    <cellStyle name="표준 10 5 3 4 2 2" xfId="35724"/>
    <cellStyle name="표준 10 5 3 4 2 2 2" xfId="35725"/>
    <cellStyle name="표준 10 5 3 4 2 2 3" xfId="35726"/>
    <cellStyle name="표준 10 5 3 4 2 3" xfId="35727"/>
    <cellStyle name="표준 10 5 3 4 2 4" xfId="35728"/>
    <cellStyle name="표준 10 5 3 4 3" xfId="35729"/>
    <cellStyle name="표준 10 5 3 4 3 2" xfId="35730"/>
    <cellStyle name="표준 10 5 3 4 3 3" xfId="35731"/>
    <cellStyle name="표준 10 5 3 4 4" xfId="35732"/>
    <cellStyle name="표준 10 5 3 4 5" xfId="35733"/>
    <cellStyle name="표준 10 5 3 5" xfId="35734"/>
    <cellStyle name="표준 10 5 3 5 2" xfId="35735"/>
    <cellStyle name="표준 10 5 3 5 2 2" xfId="35736"/>
    <cellStyle name="표준 10 5 3 5 2 2 2" xfId="35737"/>
    <cellStyle name="표준 10 5 3 5 2 2 3" xfId="35738"/>
    <cellStyle name="표준 10 5 3 5 2 3" xfId="35739"/>
    <cellStyle name="표준 10 5 3 5 2 4" xfId="35740"/>
    <cellStyle name="표준 10 5 3 5 3" xfId="35741"/>
    <cellStyle name="표준 10 5 3 5 3 2" xfId="35742"/>
    <cellStyle name="표준 10 5 3 5 3 3" xfId="35743"/>
    <cellStyle name="표준 10 5 3 5 4" xfId="35744"/>
    <cellStyle name="표준 10 5 3 5 5" xfId="35745"/>
    <cellStyle name="표준 10 5 3 6" xfId="35746"/>
    <cellStyle name="표준 10 5 3 6 2" xfId="35747"/>
    <cellStyle name="표준 10 5 3 6 2 2" xfId="35748"/>
    <cellStyle name="표준 10 5 3 6 2 2 2" xfId="35749"/>
    <cellStyle name="표준 10 5 3 6 2 2 3" xfId="35750"/>
    <cellStyle name="표준 10 5 3 6 2 3" xfId="35751"/>
    <cellStyle name="표준 10 5 3 6 2 4" xfId="35752"/>
    <cellStyle name="표준 10 5 3 6 3" xfId="35753"/>
    <cellStyle name="표준 10 5 3 6 3 2" xfId="35754"/>
    <cellStyle name="표준 10 5 3 6 3 3" xfId="35755"/>
    <cellStyle name="표준 10 5 3 6 4" xfId="35756"/>
    <cellStyle name="표준 10 5 3 6 5" xfId="35757"/>
    <cellStyle name="표준 10 5 3 7" xfId="35758"/>
    <cellStyle name="표준 10 5 3 7 2" xfId="35759"/>
    <cellStyle name="표준 10 5 3 7 2 2" xfId="35760"/>
    <cellStyle name="표준 10 5 3 7 2 3" xfId="35761"/>
    <cellStyle name="표준 10 5 3 7 3" xfId="35762"/>
    <cellStyle name="표준 10 5 3 7 4" xfId="35763"/>
    <cellStyle name="표준 10 5 3 8" xfId="35764"/>
    <cellStyle name="표준 10 5 3 8 2" xfId="35765"/>
    <cellStyle name="표준 10 5 3 8 3" xfId="35766"/>
    <cellStyle name="표준 10 5 3 9" xfId="35767"/>
    <cellStyle name="표준 10 5 4" xfId="35768"/>
    <cellStyle name="표준 10 5 4 10" xfId="35769"/>
    <cellStyle name="표준 10 5 4 2" xfId="35770"/>
    <cellStyle name="표준 10 5 4 2 2" xfId="35771"/>
    <cellStyle name="표준 10 5 4 2 2 2" xfId="35772"/>
    <cellStyle name="표준 10 5 4 2 2 2 2" xfId="35773"/>
    <cellStyle name="표준 10 5 4 2 2 2 2 2" xfId="35774"/>
    <cellStyle name="표준 10 5 4 2 2 2 2 3" xfId="35775"/>
    <cellStyle name="표준 10 5 4 2 2 2 3" xfId="35776"/>
    <cellStyle name="표준 10 5 4 2 2 2 4" xfId="35777"/>
    <cellStyle name="표준 10 5 4 2 2 3" xfId="35778"/>
    <cellStyle name="표준 10 5 4 2 2 3 2" xfId="35779"/>
    <cellStyle name="표준 10 5 4 2 2 3 3" xfId="35780"/>
    <cellStyle name="표준 10 5 4 2 2 4" xfId="35781"/>
    <cellStyle name="표준 10 5 4 2 2 5" xfId="35782"/>
    <cellStyle name="표준 10 5 4 2 3" xfId="35783"/>
    <cellStyle name="표준 10 5 4 2 3 2" xfId="35784"/>
    <cellStyle name="표준 10 5 4 2 3 2 2" xfId="35785"/>
    <cellStyle name="표준 10 5 4 2 3 2 2 2" xfId="35786"/>
    <cellStyle name="표준 10 5 4 2 3 2 2 3" xfId="35787"/>
    <cellStyle name="표준 10 5 4 2 3 2 3" xfId="35788"/>
    <cellStyle name="표준 10 5 4 2 3 2 4" xfId="35789"/>
    <cellStyle name="표준 10 5 4 2 3 3" xfId="35790"/>
    <cellStyle name="표준 10 5 4 2 3 3 2" xfId="35791"/>
    <cellStyle name="표준 10 5 4 2 3 3 3" xfId="35792"/>
    <cellStyle name="표준 10 5 4 2 3 4" xfId="35793"/>
    <cellStyle name="표준 10 5 4 2 3 5" xfId="35794"/>
    <cellStyle name="표준 10 5 4 2 4" xfId="35795"/>
    <cellStyle name="표준 10 5 4 2 4 2" xfId="35796"/>
    <cellStyle name="표준 10 5 4 2 4 2 2" xfId="35797"/>
    <cellStyle name="표준 10 5 4 2 4 2 3" xfId="35798"/>
    <cellStyle name="표준 10 5 4 2 4 3" xfId="35799"/>
    <cellStyle name="표준 10 5 4 2 4 4" xfId="35800"/>
    <cellStyle name="표준 10 5 4 2 5" xfId="35801"/>
    <cellStyle name="표준 10 5 4 2 5 2" xfId="35802"/>
    <cellStyle name="표준 10 5 4 2 5 3" xfId="35803"/>
    <cellStyle name="표준 10 5 4 2 6" xfId="35804"/>
    <cellStyle name="표준 10 5 4 2 7" xfId="35805"/>
    <cellStyle name="표준 10 5 4 3" xfId="35806"/>
    <cellStyle name="표준 10 5 4 3 2" xfId="35807"/>
    <cellStyle name="표준 10 5 4 3 2 2" xfId="35808"/>
    <cellStyle name="표준 10 5 4 3 2 2 2" xfId="35809"/>
    <cellStyle name="표준 10 5 4 3 2 2 2 2" xfId="35810"/>
    <cellStyle name="표준 10 5 4 3 2 2 2 3" xfId="35811"/>
    <cellStyle name="표준 10 5 4 3 2 2 3" xfId="35812"/>
    <cellStyle name="표준 10 5 4 3 2 2 4" xfId="35813"/>
    <cellStyle name="표준 10 5 4 3 2 3" xfId="35814"/>
    <cellStyle name="표준 10 5 4 3 2 3 2" xfId="35815"/>
    <cellStyle name="표준 10 5 4 3 2 3 3" xfId="35816"/>
    <cellStyle name="표준 10 5 4 3 2 4" xfId="35817"/>
    <cellStyle name="표준 10 5 4 3 2 5" xfId="35818"/>
    <cellStyle name="표준 10 5 4 3 3" xfId="35819"/>
    <cellStyle name="표준 10 5 4 3 3 2" xfId="35820"/>
    <cellStyle name="표준 10 5 4 3 3 2 2" xfId="35821"/>
    <cellStyle name="표준 10 5 4 3 3 2 2 2" xfId="35822"/>
    <cellStyle name="표준 10 5 4 3 3 2 2 3" xfId="35823"/>
    <cellStyle name="표준 10 5 4 3 3 2 3" xfId="35824"/>
    <cellStyle name="표준 10 5 4 3 3 2 4" xfId="35825"/>
    <cellStyle name="표준 10 5 4 3 3 3" xfId="35826"/>
    <cellStyle name="표준 10 5 4 3 3 3 2" xfId="35827"/>
    <cellStyle name="표준 10 5 4 3 3 3 3" xfId="35828"/>
    <cellStyle name="표준 10 5 4 3 3 4" xfId="35829"/>
    <cellStyle name="표준 10 5 4 3 3 5" xfId="35830"/>
    <cellStyle name="표준 10 5 4 3 4" xfId="35831"/>
    <cellStyle name="표준 10 5 4 3 4 2" xfId="35832"/>
    <cellStyle name="표준 10 5 4 3 4 2 2" xfId="35833"/>
    <cellStyle name="표준 10 5 4 3 4 2 3" xfId="35834"/>
    <cellStyle name="표준 10 5 4 3 4 3" xfId="35835"/>
    <cellStyle name="표준 10 5 4 3 4 4" xfId="35836"/>
    <cellStyle name="표준 10 5 4 3 5" xfId="35837"/>
    <cellStyle name="표준 10 5 4 3 5 2" xfId="35838"/>
    <cellStyle name="표준 10 5 4 3 5 3" xfId="35839"/>
    <cellStyle name="표준 10 5 4 3 6" xfId="35840"/>
    <cellStyle name="표준 10 5 4 3 7" xfId="35841"/>
    <cellStyle name="표준 10 5 4 4" xfId="35842"/>
    <cellStyle name="표준 10 5 4 4 2" xfId="35843"/>
    <cellStyle name="표준 10 5 4 4 2 2" xfId="35844"/>
    <cellStyle name="표준 10 5 4 4 2 2 2" xfId="35845"/>
    <cellStyle name="표준 10 5 4 4 2 2 3" xfId="35846"/>
    <cellStyle name="표준 10 5 4 4 2 3" xfId="35847"/>
    <cellStyle name="표준 10 5 4 4 2 4" xfId="35848"/>
    <cellStyle name="표준 10 5 4 4 3" xfId="35849"/>
    <cellStyle name="표준 10 5 4 4 3 2" xfId="35850"/>
    <cellStyle name="표준 10 5 4 4 3 3" xfId="35851"/>
    <cellStyle name="표준 10 5 4 4 4" xfId="35852"/>
    <cellStyle name="표준 10 5 4 4 5" xfId="35853"/>
    <cellStyle name="표준 10 5 4 5" xfId="35854"/>
    <cellStyle name="표준 10 5 4 5 2" xfId="35855"/>
    <cellStyle name="표준 10 5 4 5 2 2" xfId="35856"/>
    <cellStyle name="표준 10 5 4 5 2 2 2" xfId="35857"/>
    <cellStyle name="표준 10 5 4 5 2 2 3" xfId="35858"/>
    <cellStyle name="표준 10 5 4 5 2 3" xfId="35859"/>
    <cellStyle name="표준 10 5 4 5 2 4" xfId="35860"/>
    <cellStyle name="표준 10 5 4 5 3" xfId="35861"/>
    <cellStyle name="표준 10 5 4 5 3 2" xfId="35862"/>
    <cellStyle name="표준 10 5 4 5 3 3" xfId="35863"/>
    <cellStyle name="표준 10 5 4 5 4" xfId="35864"/>
    <cellStyle name="표준 10 5 4 5 5" xfId="35865"/>
    <cellStyle name="표준 10 5 4 6" xfId="35866"/>
    <cellStyle name="표준 10 5 4 6 2" xfId="35867"/>
    <cellStyle name="표준 10 5 4 6 2 2" xfId="35868"/>
    <cellStyle name="표준 10 5 4 6 2 2 2" xfId="35869"/>
    <cellStyle name="표준 10 5 4 6 2 2 3" xfId="35870"/>
    <cellStyle name="표준 10 5 4 6 2 3" xfId="35871"/>
    <cellStyle name="표준 10 5 4 6 2 4" xfId="35872"/>
    <cellStyle name="표준 10 5 4 6 3" xfId="35873"/>
    <cellStyle name="표준 10 5 4 6 3 2" xfId="35874"/>
    <cellStyle name="표준 10 5 4 6 3 3" xfId="35875"/>
    <cellStyle name="표준 10 5 4 6 4" xfId="35876"/>
    <cellStyle name="표준 10 5 4 6 5" xfId="35877"/>
    <cellStyle name="표준 10 5 4 7" xfId="35878"/>
    <cellStyle name="표준 10 5 4 7 2" xfId="35879"/>
    <cellStyle name="표준 10 5 4 7 2 2" xfId="35880"/>
    <cellStyle name="표준 10 5 4 7 2 3" xfId="35881"/>
    <cellStyle name="표준 10 5 4 7 3" xfId="35882"/>
    <cellStyle name="표준 10 5 4 7 4" xfId="35883"/>
    <cellStyle name="표준 10 5 4 8" xfId="35884"/>
    <cellStyle name="표준 10 5 4 8 2" xfId="35885"/>
    <cellStyle name="표준 10 5 4 8 3" xfId="35886"/>
    <cellStyle name="표준 10 5 4 9" xfId="35887"/>
    <cellStyle name="표준 10 5 5" xfId="35888"/>
    <cellStyle name="표준 10 5 5 2" xfId="35889"/>
    <cellStyle name="표준 10 5 5 2 2" xfId="35890"/>
    <cellStyle name="표준 10 5 5 2 2 2" xfId="35891"/>
    <cellStyle name="표준 10 5 5 2 2 2 2" xfId="35892"/>
    <cellStyle name="표준 10 5 5 2 2 2 3" xfId="35893"/>
    <cellStyle name="표준 10 5 5 2 2 3" xfId="35894"/>
    <cellStyle name="표준 10 5 5 2 2 4" xfId="35895"/>
    <cellStyle name="표준 10 5 5 2 3" xfId="35896"/>
    <cellStyle name="표준 10 5 5 2 3 2" xfId="35897"/>
    <cellStyle name="표준 10 5 5 2 3 3" xfId="35898"/>
    <cellStyle name="표준 10 5 5 2 4" xfId="35899"/>
    <cellStyle name="표준 10 5 5 2 5" xfId="35900"/>
    <cellStyle name="표준 10 5 5 3" xfId="35901"/>
    <cellStyle name="표준 10 5 5 3 2" xfId="35902"/>
    <cellStyle name="표준 10 5 5 3 2 2" xfId="35903"/>
    <cellStyle name="표준 10 5 5 3 2 2 2" xfId="35904"/>
    <cellStyle name="표준 10 5 5 3 2 2 3" xfId="35905"/>
    <cellStyle name="표준 10 5 5 3 2 3" xfId="35906"/>
    <cellStyle name="표준 10 5 5 3 2 4" xfId="35907"/>
    <cellStyle name="표준 10 5 5 3 3" xfId="35908"/>
    <cellStyle name="표준 10 5 5 3 3 2" xfId="35909"/>
    <cellStyle name="표준 10 5 5 3 3 3" xfId="35910"/>
    <cellStyle name="표준 10 5 5 3 4" xfId="35911"/>
    <cellStyle name="표준 10 5 5 3 5" xfId="35912"/>
    <cellStyle name="표준 10 5 5 4" xfId="35913"/>
    <cellStyle name="표준 10 5 5 4 2" xfId="35914"/>
    <cellStyle name="표준 10 5 5 4 2 2" xfId="35915"/>
    <cellStyle name="표준 10 5 5 4 2 3" xfId="35916"/>
    <cellStyle name="표준 10 5 5 4 3" xfId="35917"/>
    <cellStyle name="표준 10 5 5 4 4" xfId="35918"/>
    <cellStyle name="표준 10 5 5 5" xfId="35919"/>
    <cellStyle name="표준 10 5 5 5 2" xfId="35920"/>
    <cellStyle name="표준 10 5 5 5 3" xfId="35921"/>
    <cellStyle name="표준 10 5 5 6" xfId="35922"/>
    <cellStyle name="표준 10 5 5 7" xfId="35923"/>
    <cellStyle name="표준 10 5 6" xfId="35924"/>
    <cellStyle name="표준 10 5 6 2" xfId="35925"/>
    <cellStyle name="표준 10 5 6 2 2" xfId="35926"/>
    <cellStyle name="표준 10 5 6 2 2 2" xfId="35927"/>
    <cellStyle name="표준 10 5 6 2 2 2 2" xfId="35928"/>
    <cellStyle name="표준 10 5 6 2 2 2 3" xfId="35929"/>
    <cellStyle name="표준 10 5 6 2 2 3" xfId="35930"/>
    <cellStyle name="표준 10 5 6 2 2 4" xfId="35931"/>
    <cellStyle name="표준 10 5 6 2 3" xfId="35932"/>
    <cellStyle name="표준 10 5 6 2 3 2" xfId="35933"/>
    <cellStyle name="표준 10 5 6 2 3 3" xfId="35934"/>
    <cellStyle name="표준 10 5 6 2 4" xfId="35935"/>
    <cellStyle name="표준 10 5 6 2 5" xfId="35936"/>
    <cellStyle name="표준 10 5 6 3" xfId="35937"/>
    <cellStyle name="표준 10 5 6 3 2" xfId="35938"/>
    <cellStyle name="표준 10 5 6 3 2 2" xfId="35939"/>
    <cellStyle name="표준 10 5 6 3 2 2 2" xfId="35940"/>
    <cellStyle name="표준 10 5 6 3 2 2 3" xfId="35941"/>
    <cellStyle name="표준 10 5 6 3 2 3" xfId="35942"/>
    <cellStyle name="표준 10 5 6 3 2 4" xfId="35943"/>
    <cellStyle name="표준 10 5 6 3 3" xfId="35944"/>
    <cellStyle name="표준 10 5 6 3 3 2" xfId="35945"/>
    <cellStyle name="표준 10 5 6 3 3 3" xfId="35946"/>
    <cellStyle name="표준 10 5 6 3 4" xfId="35947"/>
    <cellStyle name="표준 10 5 6 3 5" xfId="35948"/>
    <cellStyle name="표준 10 5 6 4" xfId="35949"/>
    <cellStyle name="표준 10 5 6 4 2" xfId="35950"/>
    <cellStyle name="표준 10 5 6 4 2 2" xfId="35951"/>
    <cellStyle name="표준 10 5 6 4 2 3" xfId="35952"/>
    <cellStyle name="표준 10 5 6 4 3" xfId="35953"/>
    <cellStyle name="표준 10 5 6 4 4" xfId="35954"/>
    <cellStyle name="표준 10 5 6 5" xfId="35955"/>
    <cellStyle name="표준 10 5 6 5 2" xfId="35956"/>
    <cellStyle name="표준 10 5 6 5 3" xfId="35957"/>
    <cellStyle name="표준 10 5 6 6" xfId="35958"/>
    <cellStyle name="표준 10 5 6 7" xfId="35959"/>
    <cellStyle name="표준 10 5 7" xfId="35960"/>
    <cellStyle name="표준 10 5 7 2" xfId="35961"/>
    <cellStyle name="표준 10 5 7 2 2" xfId="35962"/>
    <cellStyle name="표준 10 5 7 2 2 2" xfId="35963"/>
    <cellStyle name="표준 10 5 7 2 2 3" xfId="35964"/>
    <cellStyle name="표준 10 5 7 2 3" xfId="35965"/>
    <cellStyle name="표준 10 5 7 2 4" xfId="35966"/>
    <cellStyle name="표준 10 5 7 3" xfId="35967"/>
    <cellStyle name="표준 10 5 7 3 2" xfId="35968"/>
    <cellStyle name="표준 10 5 7 3 3" xfId="35969"/>
    <cellStyle name="표준 10 5 7 4" xfId="35970"/>
    <cellStyle name="표준 10 5 7 5" xfId="35971"/>
    <cellStyle name="표준 10 5 8" xfId="35972"/>
    <cellStyle name="표준 10 5 8 2" xfId="35973"/>
    <cellStyle name="표준 10 5 8 2 2" xfId="35974"/>
    <cellStyle name="표준 10 5 8 2 2 2" xfId="35975"/>
    <cellStyle name="표준 10 5 8 2 2 3" xfId="35976"/>
    <cellStyle name="표준 10 5 8 2 3" xfId="35977"/>
    <cellStyle name="표준 10 5 8 2 4" xfId="35978"/>
    <cellStyle name="표준 10 5 8 3" xfId="35979"/>
    <cellStyle name="표준 10 5 8 3 2" xfId="35980"/>
    <cellStyle name="표준 10 5 8 3 3" xfId="35981"/>
    <cellStyle name="표준 10 5 8 4" xfId="35982"/>
    <cellStyle name="표준 10 5 8 5" xfId="35983"/>
    <cellStyle name="표준 10 5 9" xfId="35984"/>
    <cellStyle name="표준 10 5 9 2" xfId="35985"/>
    <cellStyle name="표준 10 5 9 2 2" xfId="35986"/>
    <cellStyle name="표준 10 5 9 2 2 2" xfId="35987"/>
    <cellStyle name="표준 10 5 9 2 2 3" xfId="35988"/>
    <cellStyle name="표준 10 5 9 2 3" xfId="35989"/>
    <cellStyle name="표준 10 5 9 2 4" xfId="35990"/>
    <cellStyle name="표준 10 5 9 3" xfId="35991"/>
    <cellStyle name="표준 10 5 9 3 2" xfId="35992"/>
    <cellStyle name="표준 10 5 9 3 3" xfId="35993"/>
    <cellStyle name="표준 10 5 9 4" xfId="35994"/>
    <cellStyle name="표준 10 5 9 5" xfId="35995"/>
    <cellStyle name="표준 10 6" xfId="35996"/>
    <cellStyle name="표준 10 6 10" xfId="35997"/>
    <cellStyle name="표준 10 6 2" xfId="35998"/>
    <cellStyle name="표준 10 6 2 2" xfId="35999"/>
    <cellStyle name="표준 10 6 2 2 2" xfId="36000"/>
    <cellStyle name="표준 10 6 2 2 2 2" xfId="36001"/>
    <cellStyle name="표준 10 6 2 2 2 2 2" xfId="36002"/>
    <cellStyle name="표준 10 6 2 2 2 2 3" xfId="36003"/>
    <cellStyle name="표준 10 6 2 2 2 3" xfId="36004"/>
    <cellStyle name="표준 10 6 2 2 2 4" xfId="36005"/>
    <cellStyle name="표준 10 6 2 2 3" xfId="36006"/>
    <cellStyle name="표준 10 6 2 2 3 2" xfId="36007"/>
    <cellStyle name="표준 10 6 2 2 3 3" xfId="36008"/>
    <cellStyle name="표준 10 6 2 2 4" xfId="36009"/>
    <cellStyle name="표준 10 6 2 2 5" xfId="36010"/>
    <cellStyle name="표준 10 6 2 3" xfId="36011"/>
    <cellStyle name="표준 10 6 2 3 2" xfId="36012"/>
    <cellStyle name="표준 10 6 2 3 2 2" xfId="36013"/>
    <cellStyle name="표준 10 6 2 3 2 2 2" xfId="36014"/>
    <cellStyle name="표준 10 6 2 3 2 2 3" xfId="36015"/>
    <cellStyle name="표준 10 6 2 3 2 3" xfId="36016"/>
    <cellStyle name="표준 10 6 2 3 2 4" xfId="36017"/>
    <cellStyle name="표준 10 6 2 3 3" xfId="36018"/>
    <cellStyle name="표준 10 6 2 3 3 2" xfId="36019"/>
    <cellStyle name="표준 10 6 2 3 3 3" xfId="36020"/>
    <cellStyle name="표준 10 6 2 3 4" xfId="36021"/>
    <cellStyle name="표준 10 6 2 3 5" xfId="36022"/>
    <cellStyle name="표준 10 6 2 4" xfId="36023"/>
    <cellStyle name="표준 10 6 2 4 2" xfId="36024"/>
    <cellStyle name="표준 10 6 2 4 2 2" xfId="36025"/>
    <cellStyle name="표준 10 6 2 4 2 3" xfId="36026"/>
    <cellStyle name="표준 10 6 2 4 3" xfId="36027"/>
    <cellStyle name="표준 10 6 2 4 4" xfId="36028"/>
    <cellStyle name="표준 10 6 2 5" xfId="36029"/>
    <cellStyle name="표준 10 6 2 5 2" xfId="36030"/>
    <cellStyle name="표준 10 6 2 5 3" xfId="36031"/>
    <cellStyle name="표준 10 6 2 6" xfId="36032"/>
    <cellStyle name="표준 10 6 2 7" xfId="36033"/>
    <cellStyle name="표준 10 6 3" xfId="36034"/>
    <cellStyle name="표준 10 6 3 2" xfId="36035"/>
    <cellStyle name="표준 10 6 3 2 2" xfId="36036"/>
    <cellStyle name="표준 10 6 3 2 2 2" xfId="36037"/>
    <cellStyle name="표준 10 6 3 2 2 2 2" xfId="36038"/>
    <cellStyle name="표준 10 6 3 2 2 2 3" xfId="36039"/>
    <cellStyle name="표준 10 6 3 2 2 3" xfId="36040"/>
    <cellStyle name="표준 10 6 3 2 2 4" xfId="36041"/>
    <cellStyle name="표준 10 6 3 2 3" xfId="36042"/>
    <cellStyle name="표준 10 6 3 2 3 2" xfId="36043"/>
    <cellStyle name="표준 10 6 3 2 3 3" xfId="36044"/>
    <cellStyle name="표준 10 6 3 2 4" xfId="36045"/>
    <cellStyle name="표준 10 6 3 2 5" xfId="36046"/>
    <cellStyle name="표준 10 6 3 3" xfId="36047"/>
    <cellStyle name="표준 10 6 3 3 2" xfId="36048"/>
    <cellStyle name="표준 10 6 3 3 2 2" xfId="36049"/>
    <cellStyle name="표준 10 6 3 3 2 2 2" xfId="36050"/>
    <cellStyle name="표준 10 6 3 3 2 2 3" xfId="36051"/>
    <cellStyle name="표준 10 6 3 3 2 3" xfId="36052"/>
    <cellStyle name="표준 10 6 3 3 2 4" xfId="36053"/>
    <cellStyle name="표준 10 6 3 3 3" xfId="36054"/>
    <cellStyle name="표준 10 6 3 3 3 2" xfId="36055"/>
    <cellStyle name="표준 10 6 3 3 3 3" xfId="36056"/>
    <cellStyle name="표준 10 6 3 3 4" xfId="36057"/>
    <cellStyle name="표준 10 6 3 3 5" xfId="36058"/>
    <cellStyle name="표준 10 6 3 4" xfId="36059"/>
    <cellStyle name="표준 10 6 3 4 2" xfId="36060"/>
    <cellStyle name="표준 10 6 3 4 2 2" xfId="36061"/>
    <cellStyle name="표준 10 6 3 4 2 3" xfId="36062"/>
    <cellStyle name="표준 10 6 3 4 3" xfId="36063"/>
    <cellStyle name="표준 10 6 3 4 4" xfId="36064"/>
    <cellStyle name="표준 10 6 3 5" xfId="36065"/>
    <cellStyle name="표준 10 6 3 5 2" xfId="36066"/>
    <cellStyle name="표준 10 6 3 5 3" xfId="36067"/>
    <cellStyle name="표준 10 6 3 6" xfId="36068"/>
    <cellStyle name="표준 10 6 3 7" xfId="36069"/>
    <cellStyle name="표준 10 6 4" xfId="36070"/>
    <cellStyle name="표준 10 6 4 2" xfId="36071"/>
    <cellStyle name="표준 10 6 4 2 2" xfId="36072"/>
    <cellStyle name="표준 10 6 4 2 2 2" xfId="36073"/>
    <cellStyle name="표준 10 6 4 2 2 3" xfId="36074"/>
    <cellStyle name="표준 10 6 4 2 3" xfId="36075"/>
    <cellStyle name="표준 10 6 4 2 4" xfId="36076"/>
    <cellStyle name="표준 10 6 4 3" xfId="36077"/>
    <cellStyle name="표준 10 6 4 3 2" xfId="36078"/>
    <cellStyle name="표준 10 6 4 3 3" xfId="36079"/>
    <cellStyle name="표준 10 6 4 4" xfId="36080"/>
    <cellStyle name="표준 10 6 4 5" xfId="36081"/>
    <cellStyle name="표준 10 6 5" xfId="36082"/>
    <cellStyle name="표준 10 6 5 2" xfId="36083"/>
    <cellStyle name="표준 10 6 5 2 2" xfId="36084"/>
    <cellStyle name="표준 10 6 5 2 2 2" xfId="36085"/>
    <cellStyle name="표준 10 6 5 2 2 3" xfId="36086"/>
    <cellStyle name="표준 10 6 5 2 3" xfId="36087"/>
    <cellStyle name="표준 10 6 5 2 4" xfId="36088"/>
    <cellStyle name="표준 10 6 5 3" xfId="36089"/>
    <cellStyle name="표준 10 6 5 3 2" xfId="36090"/>
    <cellStyle name="표준 10 6 5 3 3" xfId="36091"/>
    <cellStyle name="표준 10 6 5 4" xfId="36092"/>
    <cellStyle name="표준 10 6 5 5" xfId="36093"/>
    <cellStyle name="표준 10 6 6" xfId="36094"/>
    <cellStyle name="표준 10 6 6 2" xfId="36095"/>
    <cellStyle name="표준 10 6 6 2 2" xfId="36096"/>
    <cellStyle name="표준 10 6 6 2 2 2" xfId="36097"/>
    <cellStyle name="표준 10 6 6 2 2 3" xfId="36098"/>
    <cellStyle name="표준 10 6 6 2 3" xfId="36099"/>
    <cellStyle name="표준 10 6 6 2 4" xfId="36100"/>
    <cellStyle name="표준 10 6 6 3" xfId="36101"/>
    <cellStyle name="표준 10 6 6 3 2" xfId="36102"/>
    <cellStyle name="표준 10 6 6 3 3" xfId="36103"/>
    <cellStyle name="표준 10 6 6 4" xfId="36104"/>
    <cellStyle name="표준 10 6 6 5" xfId="36105"/>
    <cellStyle name="표준 10 6 7" xfId="36106"/>
    <cellStyle name="표준 10 6 7 2" xfId="36107"/>
    <cellStyle name="표준 10 6 7 2 2" xfId="36108"/>
    <cellStyle name="표준 10 6 7 2 3" xfId="36109"/>
    <cellStyle name="표준 10 6 7 3" xfId="36110"/>
    <cellStyle name="표준 10 6 7 4" xfId="36111"/>
    <cellStyle name="표준 10 6 8" xfId="36112"/>
    <cellStyle name="표준 10 6 8 2" xfId="36113"/>
    <cellStyle name="표준 10 6 8 3" xfId="36114"/>
    <cellStyle name="표준 10 6 9" xfId="36115"/>
    <cellStyle name="표준 10 7" xfId="36116"/>
    <cellStyle name="표준 10 7 10" xfId="36117"/>
    <cellStyle name="표준 10 7 2" xfId="36118"/>
    <cellStyle name="표준 10 7 2 2" xfId="36119"/>
    <cellStyle name="표준 10 7 2 2 2" xfId="36120"/>
    <cellStyle name="표준 10 7 2 2 2 2" xfId="36121"/>
    <cellStyle name="표준 10 7 2 2 2 2 2" xfId="36122"/>
    <cellStyle name="표준 10 7 2 2 2 2 3" xfId="36123"/>
    <cellStyle name="표준 10 7 2 2 2 3" xfId="36124"/>
    <cellStyle name="표준 10 7 2 2 2 4" xfId="36125"/>
    <cellStyle name="표준 10 7 2 2 3" xfId="36126"/>
    <cellStyle name="표준 10 7 2 2 3 2" xfId="36127"/>
    <cellStyle name="표준 10 7 2 2 3 3" xfId="36128"/>
    <cellStyle name="표준 10 7 2 2 4" xfId="36129"/>
    <cellStyle name="표준 10 7 2 2 5" xfId="36130"/>
    <cellStyle name="표준 10 7 2 3" xfId="36131"/>
    <cellStyle name="표준 10 7 2 3 2" xfId="36132"/>
    <cellStyle name="표준 10 7 2 3 2 2" xfId="36133"/>
    <cellStyle name="표준 10 7 2 3 2 2 2" xfId="36134"/>
    <cellStyle name="표준 10 7 2 3 2 2 3" xfId="36135"/>
    <cellStyle name="표준 10 7 2 3 2 3" xfId="36136"/>
    <cellStyle name="표준 10 7 2 3 2 4" xfId="36137"/>
    <cellStyle name="표준 10 7 2 3 3" xfId="36138"/>
    <cellStyle name="표준 10 7 2 3 3 2" xfId="36139"/>
    <cellStyle name="표준 10 7 2 3 3 3" xfId="36140"/>
    <cellStyle name="표준 10 7 2 3 4" xfId="36141"/>
    <cellStyle name="표준 10 7 2 3 5" xfId="36142"/>
    <cellStyle name="표준 10 7 2 4" xfId="36143"/>
    <cellStyle name="표준 10 7 2 4 2" xfId="36144"/>
    <cellStyle name="표준 10 7 2 4 2 2" xfId="36145"/>
    <cellStyle name="표준 10 7 2 4 2 3" xfId="36146"/>
    <cellStyle name="표준 10 7 2 4 3" xfId="36147"/>
    <cellStyle name="표준 10 7 2 4 4" xfId="36148"/>
    <cellStyle name="표준 10 7 2 5" xfId="36149"/>
    <cellStyle name="표준 10 7 2 5 2" xfId="36150"/>
    <cellStyle name="표준 10 7 2 5 3" xfId="36151"/>
    <cellStyle name="표준 10 7 2 6" xfId="36152"/>
    <cellStyle name="표준 10 7 2 7" xfId="36153"/>
    <cellStyle name="표준 10 7 3" xfId="36154"/>
    <cellStyle name="표준 10 7 3 2" xfId="36155"/>
    <cellStyle name="표준 10 7 3 2 2" xfId="36156"/>
    <cellStyle name="표준 10 7 3 2 2 2" xfId="36157"/>
    <cellStyle name="표준 10 7 3 2 2 2 2" xfId="36158"/>
    <cellStyle name="표준 10 7 3 2 2 2 3" xfId="36159"/>
    <cellStyle name="표준 10 7 3 2 2 3" xfId="36160"/>
    <cellStyle name="표준 10 7 3 2 2 4" xfId="36161"/>
    <cellStyle name="표준 10 7 3 2 3" xfId="36162"/>
    <cellStyle name="표준 10 7 3 2 3 2" xfId="36163"/>
    <cellStyle name="표준 10 7 3 2 3 3" xfId="36164"/>
    <cellStyle name="표준 10 7 3 2 4" xfId="36165"/>
    <cellStyle name="표준 10 7 3 2 5" xfId="36166"/>
    <cellStyle name="표준 10 7 3 3" xfId="36167"/>
    <cellStyle name="표준 10 7 3 3 2" xfId="36168"/>
    <cellStyle name="표준 10 7 3 3 2 2" xfId="36169"/>
    <cellStyle name="표준 10 7 3 3 2 2 2" xfId="36170"/>
    <cellStyle name="표준 10 7 3 3 2 2 3" xfId="36171"/>
    <cellStyle name="표준 10 7 3 3 2 3" xfId="36172"/>
    <cellStyle name="표준 10 7 3 3 2 4" xfId="36173"/>
    <cellStyle name="표준 10 7 3 3 3" xfId="36174"/>
    <cellStyle name="표준 10 7 3 3 3 2" xfId="36175"/>
    <cellStyle name="표준 10 7 3 3 3 3" xfId="36176"/>
    <cellStyle name="표준 10 7 3 3 4" xfId="36177"/>
    <cellStyle name="표준 10 7 3 3 5" xfId="36178"/>
    <cellStyle name="표준 10 7 3 4" xfId="36179"/>
    <cellStyle name="표준 10 7 3 4 2" xfId="36180"/>
    <cellStyle name="표준 10 7 3 4 2 2" xfId="36181"/>
    <cellStyle name="표준 10 7 3 4 2 3" xfId="36182"/>
    <cellStyle name="표준 10 7 3 4 3" xfId="36183"/>
    <cellStyle name="표준 10 7 3 4 4" xfId="36184"/>
    <cellStyle name="표준 10 7 3 5" xfId="36185"/>
    <cellStyle name="표준 10 7 3 5 2" xfId="36186"/>
    <cellStyle name="표준 10 7 3 5 3" xfId="36187"/>
    <cellStyle name="표준 10 7 3 6" xfId="36188"/>
    <cellStyle name="표준 10 7 3 7" xfId="36189"/>
    <cellStyle name="표준 10 7 4" xfId="36190"/>
    <cellStyle name="표준 10 7 4 2" xfId="36191"/>
    <cellStyle name="표준 10 7 4 2 2" xfId="36192"/>
    <cellStyle name="표준 10 7 4 2 2 2" xfId="36193"/>
    <cellStyle name="표준 10 7 4 2 2 3" xfId="36194"/>
    <cellStyle name="표준 10 7 4 2 3" xfId="36195"/>
    <cellStyle name="표준 10 7 4 2 4" xfId="36196"/>
    <cellStyle name="표준 10 7 4 3" xfId="36197"/>
    <cellStyle name="표준 10 7 4 3 2" xfId="36198"/>
    <cellStyle name="표준 10 7 4 3 3" xfId="36199"/>
    <cellStyle name="표준 10 7 4 4" xfId="36200"/>
    <cellStyle name="표준 10 7 4 5" xfId="36201"/>
    <cellStyle name="표준 10 7 5" xfId="36202"/>
    <cellStyle name="표준 10 7 5 2" xfId="36203"/>
    <cellStyle name="표준 10 7 5 2 2" xfId="36204"/>
    <cellStyle name="표준 10 7 5 2 2 2" xfId="36205"/>
    <cellStyle name="표준 10 7 5 2 2 3" xfId="36206"/>
    <cellStyle name="표준 10 7 5 2 3" xfId="36207"/>
    <cellStyle name="표준 10 7 5 2 4" xfId="36208"/>
    <cellStyle name="표준 10 7 5 3" xfId="36209"/>
    <cellStyle name="표준 10 7 5 3 2" xfId="36210"/>
    <cellStyle name="표준 10 7 5 3 3" xfId="36211"/>
    <cellStyle name="표준 10 7 5 4" xfId="36212"/>
    <cellStyle name="표준 10 7 5 5" xfId="36213"/>
    <cellStyle name="표준 10 7 6" xfId="36214"/>
    <cellStyle name="표준 10 7 6 2" xfId="36215"/>
    <cellStyle name="표준 10 7 6 2 2" xfId="36216"/>
    <cellStyle name="표준 10 7 6 2 2 2" xfId="36217"/>
    <cellStyle name="표준 10 7 6 2 2 3" xfId="36218"/>
    <cellStyle name="표준 10 7 6 2 3" xfId="36219"/>
    <cellStyle name="표준 10 7 6 2 4" xfId="36220"/>
    <cellStyle name="표준 10 7 6 3" xfId="36221"/>
    <cellStyle name="표준 10 7 6 3 2" xfId="36222"/>
    <cellStyle name="표준 10 7 6 3 3" xfId="36223"/>
    <cellStyle name="표준 10 7 6 4" xfId="36224"/>
    <cellStyle name="표준 10 7 6 5" xfId="36225"/>
    <cellStyle name="표준 10 7 7" xfId="36226"/>
    <cellStyle name="표준 10 7 7 2" xfId="36227"/>
    <cellStyle name="표준 10 7 7 2 2" xfId="36228"/>
    <cellStyle name="표준 10 7 7 2 3" xfId="36229"/>
    <cellStyle name="표준 10 7 7 3" xfId="36230"/>
    <cellStyle name="표준 10 7 7 4" xfId="36231"/>
    <cellStyle name="표준 10 7 8" xfId="36232"/>
    <cellStyle name="표준 10 7 8 2" xfId="36233"/>
    <cellStyle name="표준 10 7 8 3" xfId="36234"/>
    <cellStyle name="표준 10 7 9" xfId="36235"/>
    <cellStyle name="표준 10 8" xfId="36236"/>
    <cellStyle name="표준 10 8 10" xfId="36237"/>
    <cellStyle name="표준 10 8 2" xfId="36238"/>
    <cellStyle name="표준 10 8 2 2" xfId="36239"/>
    <cellStyle name="표준 10 8 2 2 2" xfId="36240"/>
    <cellStyle name="표준 10 8 2 2 2 2" xfId="36241"/>
    <cellStyle name="표준 10 8 2 2 2 2 2" xfId="36242"/>
    <cellStyle name="표준 10 8 2 2 2 2 3" xfId="36243"/>
    <cellStyle name="표준 10 8 2 2 2 3" xfId="36244"/>
    <cellStyle name="표준 10 8 2 2 2 4" xfId="36245"/>
    <cellStyle name="표준 10 8 2 2 3" xfId="36246"/>
    <cellStyle name="표준 10 8 2 2 3 2" xfId="36247"/>
    <cellStyle name="표준 10 8 2 2 3 3" xfId="36248"/>
    <cellStyle name="표준 10 8 2 2 4" xfId="36249"/>
    <cellStyle name="표준 10 8 2 2 5" xfId="36250"/>
    <cellStyle name="표준 10 8 2 3" xfId="36251"/>
    <cellStyle name="표준 10 8 2 3 2" xfId="36252"/>
    <cellStyle name="표준 10 8 2 3 2 2" xfId="36253"/>
    <cellStyle name="표준 10 8 2 3 2 2 2" xfId="36254"/>
    <cellStyle name="표준 10 8 2 3 2 2 3" xfId="36255"/>
    <cellStyle name="표준 10 8 2 3 2 3" xfId="36256"/>
    <cellStyle name="표준 10 8 2 3 2 4" xfId="36257"/>
    <cellStyle name="표준 10 8 2 3 3" xfId="36258"/>
    <cellStyle name="표준 10 8 2 3 3 2" xfId="36259"/>
    <cellStyle name="표준 10 8 2 3 3 3" xfId="36260"/>
    <cellStyle name="표준 10 8 2 3 4" xfId="36261"/>
    <cellStyle name="표준 10 8 2 3 5" xfId="36262"/>
    <cellStyle name="표준 10 8 2 4" xfId="36263"/>
    <cellStyle name="표준 10 8 2 4 2" xfId="36264"/>
    <cellStyle name="표준 10 8 2 4 2 2" xfId="36265"/>
    <cellStyle name="표준 10 8 2 4 2 3" xfId="36266"/>
    <cellStyle name="표준 10 8 2 4 3" xfId="36267"/>
    <cellStyle name="표준 10 8 2 4 4" xfId="36268"/>
    <cellStyle name="표준 10 8 2 5" xfId="36269"/>
    <cellStyle name="표준 10 8 2 5 2" xfId="36270"/>
    <cellStyle name="표준 10 8 2 5 3" xfId="36271"/>
    <cellStyle name="표준 10 8 2 6" xfId="36272"/>
    <cellStyle name="표준 10 8 2 7" xfId="36273"/>
    <cellStyle name="표준 10 8 3" xfId="36274"/>
    <cellStyle name="표준 10 8 3 2" xfId="36275"/>
    <cellStyle name="표준 10 8 3 2 2" xfId="36276"/>
    <cellStyle name="표준 10 8 3 2 2 2" xfId="36277"/>
    <cellStyle name="표준 10 8 3 2 2 2 2" xfId="36278"/>
    <cellStyle name="표준 10 8 3 2 2 2 3" xfId="36279"/>
    <cellStyle name="표준 10 8 3 2 2 3" xfId="36280"/>
    <cellStyle name="표준 10 8 3 2 2 4" xfId="36281"/>
    <cellStyle name="표준 10 8 3 2 3" xfId="36282"/>
    <cellStyle name="표준 10 8 3 2 3 2" xfId="36283"/>
    <cellStyle name="표준 10 8 3 2 3 3" xfId="36284"/>
    <cellStyle name="표준 10 8 3 2 4" xfId="36285"/>
    <cellStyle name="표준 10 8 3 2 5" xfId="36286"/>
    <cellStyle name="표준 10 8 3 3" xfId="36287"/>
    <cellStyle name="표준 10 8 3 3 2" xfId="36288"/>
    <cellStyle name="표준 10 8 3 3 2 2" xfId="36289"/>
    <cellStyle name="표준 10 8 3 3 2 2 2" xfId="36290"/>
    <cellStyle name="표준 10 8 3 3 2 2 3" xfId="36291"/>
    <cellStyle name="표준 10 8 3 3 2 3" xfId="36292"/>
    <cellStyle name="표준 10 8 3 3 2 4" xfId="36293"/>
    <cellStyle name="표준 10 8 3 3 3" xfId="36294"/>
    <cellStyle name="표준 10 8 3 3 3 2" xfId="36295"/>
    <cellStyle name="표준 10 8 3 3 3 3" xfId="36296"/>
    <cellStyle name="표준 10 8 3 3 4" xfId="36297"/>
    <cellStyle name="표준 10 8 3 3 5" xfId="36298"/>
    <cellStyle name="표준 10 8 3 4" xfId="36299"/>
    <cellStyle name="표준 10 8 3 4 2" xfId="36300"/>
    <cellStyle name="표준 10 8 3 4 2 2" xfId="36301"/>
    <cellStyle name="표준 10 8 3 4 2 3" xfId="36302"/>
    <cellStyle name="표준 10 8 3 4 3" xfId="36303"/>
    <cellStyle name="표준 10 8 3 4 4" xfId="36304"/>
    <cellStyle name="표준 10 8 3 5" xfId="36305"/>
    <cellStyle name="표준 10 8 3 5 2" xfId="36306"/>
    <cellStyle name="표준 10 8 3 5 3" xfId="36307"/>
    <cellStyle name="표준 10 8 3 6" xfId="36308"/>
    <cellStyle name="표준 10 8 3 7" xfId="36309"/>
    <cellStyle name="표준 10 8 4" xfId="36310"/>
    <cellStyle name="표준 10 8 4 2" xfId="36311"/>
    <cellStyle name="표준 10 8 4 2 2" xfId="36312"/>
    <cellStyle name="표준 10 8 4 2 2 2" xfId="36313"/>
    <cellStyle name="표준 10 8 4 2 2 3" xfId="36314"/>
    <cellStyle name="표준 10 8 4 2 3" xfId="36315"/>
    <cellStyle name="표준 10 8 4 2 4" xfId="36316"/>
    <cellStyle name="표준 10 8 4 3" xfId="36317"/>
    <cellStyle name="표준 10 8 4 3 2" xfId="36318"/>
    <cellStyle name="표준 10 8 4 3 3" xfId="36319"/>
    <cellStyle name="표준 10 8 4 4" xfId="36320"/>
    <cellStyle name="표준 10 8 4 5" xfId="36321"/>
    <cellStyle name="표준 10 8 5" xfId="36322"/>
    <cellStyle name="표준 10 8 5 2" xfId="36323"/>
    <cellStyle name="표준 10 8 5 2 2" xfId="36324"/>
    <cellStyle name="표준 10 8 5 2 2 2" xfId="36325"/>
    <cellStyle name="표준 10 8 5 2 2 3" xfId="36326"/>
    <cellStyle name="표준 10 8 5 2 3" xfId="36327"/>
    <cellStyle name="표준 10 8 5 2 4" xfId="36328"/>
    <cellStyle name="표준 10 8 5 3" xfId="36329"/>
    <cellStyle name="표준 10 8 5 3 2" xfId="36330"/>
    <cellStyle name="표준 10 8 5 3 3" xfId="36331"/>
    <cellStyle name="표준 10 8 5 4" xfId="36332"/>
    <cellStyle name="표준 10 8 5 5" xfId="36333"/>
    <cellStyle name="표준 10 8 6" xfId="36334"/>
    <cellStyle name="표준 10 8 6 2" xfId="36335"/>
    <cellStyle name="표준 10 8 6 2 2" xfId="36336"/>
    <cellStyle name="표준 10 8 6 2 2 2" xfId="36337"/>
    <cellStyle name="표준 10 8 6 2 2 3" xfId="36338"/>
    <cellStyle name="표준 10 8 6 2 3" xfId="36339"/>
    <cellStyle name="표준 10 8 6 2 4" xfId="36340"/>
    <cellStyle name="표준 10 8 6 3" xfId="36341"/>
    <cellStyle name="표준 10 8 6 3 2" xfId="36342"/>
    <cellStyle name="표준 10 8 6 3 3" xfId="36343"/>
    <cellStyle name="표준 10 8 6 4" xfId="36344"/>
    <cellStyle name="표준 10 8 6 5" xfId="36345"/>
    <cellStyle name="표준 10 8 7" xfId="36346"/>
    <cellStyle name="표준 10 8 7 2" xfId="36347"/>
    <cellStyle name="표준 10 8 7 2 2" xfId="36348"/>
    <cellStyle name="표준 10 8 7 2 3" xfId="36349"/>
    <cellStyle name="표준 10 8 7 3" xfId="36350"/>
    <cellStyle name="표준 10 8 7 4" xfId="36351"/>
    <cellStyle name="표준 10 8 8" xfId="36352"/>
    <cellStyle name="표준 10 8 8 2" xfId="36353"/>
    <cellStyle name="표준 10 8 8 3" xfId="36354"/>
    <cellStyle name="표준 10 8 9" xfId="36355"/>
    <cellStyle name="표준 10 9" xfId="36356"/>
    <cellStyle name="표준 10 9 2" xfId="36357"/>
    <cellStyle name="표준 10 9 2 2" xfId="36358"/>
    <cellStyle name="표준 10 9 2 2 2" xfId="36359"/>
    <cellStyle name="표준 10 9 2 2 2 2" xfId="36360"/>
    <cellStyle name="표준 10 9 2 2 2 3" xfId="36361"/>
    <cellStyle name="표준 10 9 2 2 3" xfId="36362"/>
    <cellStyle name="표준 10 9 2 2 4" xfId="36363"/>
    <cellStyle name="표준 10 9 2 3" xfId="36364"/>
    <cellStyle name="표준 10 9 2 3 2" xfId="36365"/>
    <cellStyle name="표준 10 9 2 3 3" xfId="36366"/>
    <cellStyle name="표준 10 9 2 4" xfId="36367"/>
    <cellStyle name="표준 10 9 2 5" xfId="36368"/>
    <cellStyle name="표준 10 9 3" xfId="36369"/>
    <cellStyle name="표준 10 9 3 2" xfId="36370"/>
    <cellStyle name="표준 10 9 3 2 2" xfId="36371"/>
    <cellStyle name="표준 10 9 3 2 2 2" xfId="36372"/>
    <cellStyle name="표준 10 9 3 2 2 3" xfId="36373"/>
    <cellStyle name="표준 10 9 3 2 3" xfId="36374"/>
    <cellStyle name="표준 10 9 3 2 4" xfId="36375"/>
    <cellStyle name="표준 10 9 3 3" xfId="36376"/>
    <cellStyle name="표준 10 9 3 3 2" xfId="36377"/>
    <cellStyle name="표준 10 9 3 3 3" xfId="36378"/>
    <cellStyle name="표준 10 9 3 4" xfId="36379"/>
    <cellStyle name="표준 10 9 3 5" xfId="36380"/>
    <cellStyle name="표준 10 9 4" xfId="36381"/>
    <cellStyle name="표준 10 9 4 2" xfId="36382"/>
    <cellStyle name="표준 10 9 4 2 2" xfId="36383"/>
    <cellStyle name="표준 10 9 4 2 3" xfId="36384"/>
    <cellStyle name="표준 10 9 4 3" xfId="36385"/>
    <cellStyle name="표준 10 9 4 4" xfId="36386"/>
    <cellStyle name="표준 10 9 5" xfId="36387"/>
    <cellStyle name="표준 10 9 5 2" xfId="36388"/>
    <cellStyle name="표준 10 9 5 3" xfId="36389"/>
    <cellStyle name="표준 10 9 6" xfId="36390"/>
    <cellStyle name="표준 10 9 7" xfId="36391"/>
    <cellStyle name="표준 10_Sheet3" xfId="36392"/>
    <cellStyle name="표준 100" xfId="36393"/>
    <cellStyle name="표준 101" xfId="36394"/>
    <cellStyle name="표준 102" xfId="36395"/>
    <cellStyle name="표준 103" xfId="36396"/>
    <cellStyle name="표준 104" xfId="36397"/>
    <cellStyle name="표준 105" xfId="36398"/>
    <cellStyle name="표준 106" xfId="36399"/>
    <cellStyle name="표준 107" xfId="36400"/>
    <cellStyle name="표준 108" xfId="36401"/>
    <cellStyle name="표준 109" xfId="36402"/>
    <cellStyle name="표준 11" xfId="36403"/>
    <cellStyle name="표준 11 10" xfId="36404"/>
    <cellStyle name="표준 11 10 2" xfId="36405"/>
    <cellStyle name="표준 11 10 2 2" xfId="36406"/>
    <cellStyle name="표준 11 10 2 2 2" xfId="36407"/>
    <cellStyle name="표준 11 10 2 2 3" xfId="36408"/>
    <cellStyle name="표준 11 10 2 3" xfId="36409"/>
    <cellStyle name="표준 11 10 2 4" xfId="36410"/>
    <cellStyle name="표준 11 10 3" xfId="36411"/>
    <cellStyle name="표준 11 10 3 2" xfId="36412"/>
    <cellStyle name="표준 11 10 3 3" xfId="36413"/>
    <cellStyle name="표준 11 10 4" xfId="36414"/>
    <cellStyle name="표준 11 10 5" xfId="36415"/>
    <cellStyle name="표준 11 11" xfId="36416"/>
    <cellStyle name="표준 11 11 2" xfId="36417"/>
    <cellStyle name="표준 11 11 2 2" xfId="36418"/>
    <cellStyle name="표준 11 11 2 3" xfId="36419"/>
    <cellStyle name="표준 11 11 3" xfId="36420"/>
    <cellStyle name="표준 11 11 4" xfId="36421"/>
    <cellStyle name="표준 11 12" xfId="36422"/>
    <cellStyle name="표준 11 12 2" xfId="36423"/>
    <cellStyle name="표준 11 12 3" xfId="36424"/>
    <cellStyle name="표준 11 13" xfId="36425"/>
    <cellStyle name="표준 11 14" xfId="36426"/>
    <cellStyle name="표준 11 2" xfId="36427"/>
    <cellStyle name="표준 11 2 10" xfId="36428"/>
    <cellStyle name="표준 11 2 10 2" xfId="36429"/>
    <cellStyle name="표준 11 2 10 2 2" xfId="36430"/>
    <cellStyle name="표준 11 2 10 2 3" xfId="36431"/>
    <cellStyle name="표준 11 2 10 3" xfId="36432"/>
    <cellStyle name="표준 11 2 10 4" xfId="36433"/>
    <cellStyle name="표준 11 2 11" xfId="36434"/>
    <cellStyle name="표준 11 2 11 2" xfId="36435"/>
    <cellStyle name="표준 11 2 11 3" xfId="36436"/>
    <cellStyle name="표준 11 2 12" xfId="36437"/>
    <cellStyle name="표준 11 2 13" xfId="36438"/>
    <cellStyle name="표준 11 2 2" xfId="36439"/>
    <cellStyle name="표준 11 2 2 10" xfId="36440"/>
    <cellStyle name="표준 11 2 2 2" xfId="36441"/>
    <cellStyle name="표준 11 2 2 2 2" xfId="36442"/>
    <cellStyle name="표준 11 2 2 2 2 2" xfId="36443"/>
    <cellStyle name="표준 11 2 2 2 2 2 2" xfId="36444"/>
    <cellStyle name="표준 11 2 2 2 2 2 2 2" xfId="36445"/>
    <cellStyle name="표준 11 2 2 2 2 2 2 3" xfId="36446"/>
    <cellStyle name="표준 11 2 2 2 2 2 3" xfId="36447"/>
    <cellStyle name="표준 11 2 2 2 2 2 4" xfId="36448"/>
    <cellStyle name="표준 11 2 2 2 2 3" xfId="36449"/>
    <cellStyle name="표준 11 2 2 2 2 3 2" xfId="36450"/>
    <cellStyle name="표준 11 2 2 2 2 3 3" xfId="36451"/>
    <cellStyle name="표준 11 2 2 2 2 4" xfId="36452"/>
    <cellStyle name="표준 11 2 2 2 2 5" xfId="36453"/>
    <cellStyle name="표준 11 2 2 2 3" xfId="36454"/>
    <cellStyle name="표준 11 2 2 2 3 2" xfId="36455"/>
    <cellStyle name="표준 11 2 2 2 3 2 2" xfId="36456"/>
    <cellStyle name="표준 11 2 2 2 3 2 2 2" xfId="36457"/>
    <cellStyle name="표준 11 2 2 2 3 2 2 3" xfId="36458"/>
    <cellStyle name="표준 11 2 2 2 3 2 3" xfId="36459"/>
    <cellStyle name="표준 11 2 2 2 3 2 4" xfId="36460"/>
    <cellStyle name="표준 11 2 2 2 3 3" xfId="36461"/>
    <cellStyle name="표준 11 2 2 2 3 3 2" xfId="36462"/>
    <cellStyle name="표준 11 2 2 2 3 3 3" xfId="36463"/>
    <cellStyle name="표준 11 2 2 2 3 4" xfId="36464"/>
    <cellStyle name="표준 11 2 2 2 3 5" xfId="36465"/>
    <cellStyle name="표준 11 2 2 2 4" xfId="36466"/>
    <cellStyle name="표준 11 2 2 2 4 2" xfId="36467"/>
    <cellStyle name="표준 11 2 2 2 4 2 2" xfId="36468"/>
    <cellStyle name="표준 11 2 2 2 4 2 3" xfId="36469"/>
    <cellStyle name="표준 11 2 2 2 4 3" xfId="36470"/>
    <cellStyle name="표준 11 2 2 2 4 4" xfId="36471"/>
    <cellStyle name="표준 11 2 2 2 5" xfId="36472"/>
    <cellStyle name="표준 11 2 2 2 5 2" xfId="36473"/>
    <cellStyle name="표준 11 2 2 2 5 3" xfId="36474"/>
    <cellStyle name="표준 11 2 2 2 6" xfId="36475"/>
    <cellStyle name="표준 11 2 2 2 7" xfId="36476"/>
    <cellStyle name="표준 11 2 2 3" xfId="36477"/>
    <cellStyle name="표준 11 2 2 3 2" xfId="36478"/>
    <cellStyle name="표준 11 2 2 3 2 2" xfId="36479"/>
    <cellStyle name="표준 11 2 2 3 2 2 2" xfId="36480"/>
    <cellStyle name="표준 11 2 2 3 2 2 2 2" xfId="36481"/>
    <cellStyle name="표준 11 2 2 3 2 2 2 3" xfId="36482"/>
    <cellStyle name="표준 11 2 2 3 2 2 3" xfId="36483"/>
    <cellStyle name="표준 11 2 2 3 2 2 4" xfId="36484"/>
    <cellStyle name="표준 11 2 2 3 2 3" xfId="36485"/>
    <cellStyle name="표준 11 2 2 3 2 3 2" xfId="36486"/>
    <cellStyle name="표준 11 2 2 3 2 3 3" xfId="36487"/>
    <cellStyle name="표준 11 2 2 3 2 4" xfId="36488"/>
    <cellStyle name="표준 11 2 2 3 2 5" xfId="36489"/>
    <cellStyle name="표준 11 2 2 3 3" xfId="36490"/>
    <cellStyle name="표준 11 2 2 3 3 2" xfId="36491"/>
    <cellStyle name="표준 11 2 2 3 3 2 2" xfId="36492"/>
    <cellStyle name="표준 11 2 2 3 3 2 2 2" xfId="36493"/>
    <cellStyle name="표준 11 2 2 3 3 2 2 3" xfId="36494"/>
    <cellStyle name="표준 11 2 2 3 3 2 3" xfId="36495"/>
    <cellStyle name="표준 11 2 2 3 3 2 4" xfId="36496"/>
    <cellStyle name="표준 11 2 2 3 3 3" xfId="36497"/>
    <cellStyle name="표준 11 2 2 3 3 3 2" xfId="36498"/>
    <cellStyle name="표준 11 2 2 3 3 3 3" xfId="36499"/>
    <cellStyle name="표준 11 2 2 3 3 4" xfId="36500"/>
    <cellStyle name="표준 11 2 2 3 3 5" xfId="36501"/>
    <cellStyle name="표준 11 2 2 3 4" xfId="36502"/>
    <cellStyle name="표준 11 2 2 3 4 2" xfId="36503"/>
    <cellStyle name="표준 11 2 2 3 4 2 2" xfId="36504"/>
    <cellStyle name="표준 11 2 2 3 4 2 3" xfId="36505"/>
    <cellStyle name="표준 11 2 2 3 4 3" xfId="36506"/>
    <cellStyle name="표준 11 2 2 3 4 4" xfId="36507"/>
    <cellStyle name="표준 11 2 2 3 5" xfId="36508"/>
    <cellStyle name="표준 11 2 2 3 5 2" xfId="36509"/>
    <cellStyle name="표준 11 2 2 3 5 3" xfId="36510"/>
    <cellStyle name="표준 11 2 2 3 6" xfId="36511"/>
    <cellStyle name="표준 11 2 2 3 7" xfId="36512"/>
    <cellStyle name="표준 11 2 2 4" xfId="36513"/>
    <cellStyle name="표준 11 2 2 4 2" xfId="36514"/>
    <cellStyle name="표준 11 2 2 4 2 2" xfId="36515"/>
    <cellStyle name="표준 11 2 2 4 2 2 2" xfId="36516"/>
    <cellStyle name="표준 11 2 2 4 2 2 3" xfId="36517"/>
    <cellStyle name="표준 11 2 2 4 2 3" xfId="36518"/>
    <cellStyle name="표준 11 2 2 4 2 4" xfId="36519"/>
    <cellStyle name="표준 11 2 2 4 3" xfId="36520"/>
    <cellStyle name="표준 11 2 2 4 3 2" xfId="36521"/>
    <cellStyle name="표준 11 2 2 4 3 3" xfId="36522"/>
    <cellStyle name="표준 11 2 2 4 4" xfId="36523"/>
    <cellStyle name="표준 11 2 2 4 5" xfId="36524"/>
    <cellStyle name="표준 11 2 2 5" xfId="36525"/>
    <cellStyle name="표준 11 2 2 5 2" xfId="36526"/>
    <cellStyle name="표준 11 2 2 5 2 2" xfId="36527"/>
    <cellStyle name="표준 11 2 2 5 2 2 2" xfId="36528"/>
    <cellStyle name="표준 11 2 2 5 2 2 3" xfId="36529"/>
    <cellStyle name="표준 11 2 2 5 2 3" xfId="36530"/>
    <cellStyle name="표준 11 2 2 5 2 4" xfId="36531"/>
    <cellStyle name="표준 11 2 2 5 3" xfId="36532"/>
    <cellStyle name="표준 11 2 2 5 3 2" xfId="36533"/>
    <cellStyle name="표준 11 2 2 5 3 3" xfId="36534"/>
    <cellStyle name="표준 11 2 2 5 4" xfId="36535"/>
    <cellStyle name="표준 11 2 2 5 5" xfId="36536"/>
    <cellStyle name="표준 11 2 2 6" xfId="36537"/>
    <cellStyle name="표준 11 2 2 6 2" xfId="36538"/>
    <cellStyle name="표준 11 2 2 6 2 2" xfId="36539"/>
    <cellStyle name="표준 11 2 2 6 2 2 2" xfId="36540"/>
    <cellStyle name="표준 11 2 2 6 2 2 3" xfId="36541"/>
    <cellStyle name="표준 11 2 2 6 2 3" xfId="36542"/>
    <cellStyle name="표준 11 2 2 6 2 4" xfId="36543"/>
    <cellStyle name="표준 11 2 2 6 3" xfId="36544"/>
    <cellStyle name="표준 11 2 2 6 3 2" xfId="36545"/>
    <cellStyle name="표준 11 2 2 6 3 3" xfId="36546"/>
    <cellStyle name="표준 11 2 2 6 4" xfId="36547"/>
    <cellStyle name="표준 11 2 2 6 5" xfId="36548"/>
    <cellStyle name="표준 11 2 2 7" xfId="36549"/>
    <cellStyle name="표준 11 2 2 7 2" xfId="36550"/>
    <cellStyle name="표준 11 2 2 7 2 2" xfId="36551"/>
    <cellStyle name="표준 11 2 2 7 2 3" xfId="36552"/>
    <cellStyle name="표준 11 2 2 7 3" xfId="36553"/>
    <cellStyle name="표준 11 2 2 7 4" xfId="36554"/>
    <cellStyle name="표준 11 2 2 8" xfId="36555"/>
    <cellStyle name="표준 11 2 2 8 2" xfId="36556"/>
    <cellStyle name="표준 11 2 2 8 3" xfId="36557"/>
    <cellStyle name="표준 11 2 2 9" xfId="36558"/>
    <cellStyle name="표준 11 2 3" xfId="36559"/>
    <cellStyle name="표준 11 2 3 10" xfId="36560"/>
    <cellStyle name="표준 11 2 3 2" xfId="36561"/>
    <cellStyle name="표준 11 2 3 2 2" xfId="36562"/>
    <cellStyle name="표준 11 2 3 2 2 2" xfId="36563"/>
    <cellStyle name="표준 11 2 3 2 2 2 2" xfId="36564"/>
    <cellStyle name="표준 11 2 3 2 2 2 2 2" xfId="36565"/>
    <cellStyle name="표준 11 2 3 2 2 2 2 3" xfId="36566"/>
    <cellStyle name="표준 11 2 3 2 2 2 3" xfId="36567"/>
    <cellStyle name="표준 11 2 3 2 2 2 4" xfId="36568"/>
    <cellStyle name="표준 11 2 3 2 2 3" xfId="36569"/>
    <cellStyle name="표준 11 2 3 2 2 3 2" xfId="36570"/>
    <cellStyle name="표준 11 2 3 2 2 3 3" xfId="36571"/>
    <cellStyle name="표준 11 2 3 2 2 4" xfId="36572"/>
    <cellStyle name="표준 11 2 3 2 2 5" xfId="36573"/>
    <cellStyle name="표준 11 2 3 2 3" xfId="36574"/>
    <cellStyle name="표준 11 2 3 2 3 2" xfId="36575"/>
    <cellStyle name="표준 11 2 3 2 3 2 2" xfId="36576"/>
    <cellStyle name="표준 11 2 3 2 3 2 2 2" xfId="36577"/>
    <cellStyle name="표준 11 2 3 2 3 2 2 3" xfId="36578"/>
    <cellStyle name="표준 11 2 3 2 3 2 3" xfId="36579"/>
    <cellStyle name="표준 11 2 3 2 3 2 4" xfId="36580"/>
    <cellStyle name="표준 11 2 3 2 3 3" xfId="36581"/>
    <cellStyle name="표준 11 2 3 2 3 3 2" xfId="36582"/>
    <cellStyle name="표준 11 2 3 2 3 3 3" xfId="36583"/>
    <cellStyle name="표준 11 2 3 2 3 4" xfId="36584"/>
    <cellStyle name="표준 11 2 3 2 3 5" xfId="36585"/>
    <cellStyle name="표준 11 2 3 2 4" xfId="36586"/>
    <cellStyle name="표준 11 2 3 2 4 2" xfId="36587"/>
    <cellStyle name="표준 11 2 3 2 4 2 2" xfId="36588"/>
    <cellStyle name="표준 11 2 3 2 4 2 3" xfId="36589"/>
    <cellStyle name="표준 11 2 3 2 4 3" xfId="36590"/>
    <cellStyle name="표준 11 2 3 2 4 4" xfId="36591"/>
    <cellStyle name="표준 11 2 3 2 5" xfId="36592"/>
    <cellStyle name="표준 11 2 3 2 5 2" xfId="36593"/>
    <cellStyle name="표준 11 2 3 2 5 3" xfId="36594"/>
    <cellStyle name="표준 11 2 3 2 6" xfId="36595"/>
    <cellStyle name="표준 11 2 3 2 7" xfId="36596"/>
    <cellStyle name="표준 11 2 3 3" xfId="36597"/>
    <cellStyle name="표준 11 2 3 3 2" xfId="36598"/>
    <cellStyle name="표준 11 2 3 3 2 2" xfId="36599"/>
    <cellStyle name="표준 11 2 3 3 2 2 2" xfId="36600"/>
    <cellStyle name="표준 11 2 3 3 2 2 2 2" xfId="36601"/>
    <cellStyle name="표준 11 2 3 3 2 2 2 3" xfId="36602"/>
    <cellStyle name="표준 11 2 3 3 2 2 3" xfId="36603"/>
    <cellStyle name="표준 11 2 3 3 2 2 4" xfId="36604"/>
    <cellStyle name="표준 11 2 3 3 2 3" xfId="36605"/>
    <cellStyle name="표준 11 2 3 3 2 3 2" xfId="36606"/>
    <cellStyle name="표준 11 2 3 3 2 3 3" xfId="36607"/>
    <cellStyle name="표준 11 2 3 3 2 4" xfId="36608"/>
    <cellStyle name="표준 11 2 3 3 2 5" xfId="36609"/>
    <cellStyle name="표준 11 2 3 3 3" xfId="36610"/>
    <cellStyle name="표준 11 2 3 3 3 2" xfId="36611"/>
    <cellStyle name="표준 11 2 3 3 3 2 2" xfId="36612"/>
    <cellStyle name="표준 11 2 3 3 3 2 2 2" xfId="36613"/>
    <cellStyle name="표준 11 2 3 3 3 2 2 3" xfId="36614"/>
    <cellStyle name="표준 11 2 3 3 3 2 3" xfId="36615"/>
    <cellStyle name="표준 11 2 3 3 3 2 4" xfId="36616"/>
    <cellStyle name="표준 11 2 3 3 3 3" xfId="36617"/>
    <cellStyle name="표준 11 2 3 3 3 3 2" xfId="36618"/>
    <cellStyle name="표준 11 2 3 3 3 3 3" xfId="36619"/>
    <cellStyle name="표준 11 2 3 3 3 4" xfId="36620"/>
    <cellStyle name="표준 11 2 3 3 3 5" xfId="36621"/>
    <cellStyle name="표준 11 2 3 3 4" xfId="36622"/>
    <cellStyle name="표준 11 2 3 3 4 2" xfId="36623"/>
    <cellStyle name="표준 11 2 3 3 4 2 2" xfId="36624"/>
    <cellStyle name="표준 11 2 3 3 4 2 3" xfId="36625"/>
    <cellStyle name="표준 11 2 3 3 4 3" xfId="36626"/>
    <cellStyle name="표준 11 2 3 3 4 4" xfId="36627"/>
    <cellStyle name="표준 11 2 3 3 5" xfId="36628"/>
    <cellStyle name="표준 11 2 3 3 5 2" xfId="36629"/>
    <cellStyle name="표준 11 2 3 3 5 3" xfId="36630"/>
    <cellStyle name="표준 11 2 3 3 6" xfId="36631"/>
    <cellStyle name="표준 11 2 3 3 7" xfId="36632"/>
    <cellStyle name="표준 11 2 3 4" xfId="36633"/>
    <cellStyle name="표준 11 2 3 4 2" xfId="36634"/>
    <cellStyle name="표준 11 2 3 4 2 2" xfId="36635"/>
    <cellStyle name="표준 11 2 3 4 2 2 2" xfId="36636"/>
    <cellStyle name="표준 11 2 3 4 2 2 3" xfId="36637"/>
    <cellStyle name="표준 11 2 3 4 2 3" xfId="36638"/>
    <cellStyle name="표준 11 2 3 4 2 4" xfId="36639"/>
    <cellStyle name="표준 11 2 3 4 3" xfId="36640"/>
    <cellStyle name="표준 11 2 3 4 3 2" xfId="36641"/>
    <cellStyle name="표준 11 2 3 4 3 3" xfId="36642"/>
    <cellStyle name="표준 11 2 3 4 4" xfId="36643"/>
    <cellStyle name="표준 11 2 3 4 5" xfId="36644"/>
    <cellStyle name="표준 11 2 3 5" xfId="36645"/>
    <cellStyle name="표준 11 2 3 5 2" xfId="36646"/>
    <cellStyle name="표준 11 2 3 5 2 2" xfId="36647"/>
    <cellStyle name="표준 11 2 3 5 2 2 2" xfId="36648"/>
    <cellStyle name="표준 11 2 3 5 2 2 3" xfId="36649"/>
    <cellStyle name="표준 11 2 3 5 2 3" xfId="36650"/>
    <cellStyle name="표준 11 2 3 5 2 4" xfId="36651"/>
    <cellStyle name="표준 11 2 3 5 3" xfId="36652"/>
    <cellStyle name="표준 11 2 3 5 3 2" xfId="36653"/>
    <cellStyle name="표준 11 2 3 5 3 3" xfId="36654"/>
    <cellStyle name="표준 11 2 3 5 4" xfId="36655"/>
    <cellStyle name="표준 11 2 3 5 5" xfId="36656"/>
    <cellStyle name="표준 11 2 3 6" xfId="36657"/>
    <cellStyle name="표준 11 2 3 6 2" xfId="36658"/>
    <cellStyle name="표준 11 2 3 6 2 2" xfId="36659"/>
    <cellStyle name="표준 11 2 3 6 2 2 2" xfId="36660"/>
    <cellStyle name="표준 11 2 3 6 2 2 3" xfId="36661"/>
    <cellStyle name="표준 11 2 3 6 2 3" xfId="36662"/>
    <cellStyle name="표준 11 2 3 6 2 4" xfId="36663"/>
    <cellStyle name="표준 11 2 3 6 3" xfId="36664"/>
    <cellStyle name="표준 11 2 3 6 3 2" xfId="36665"/>
    <cellStyle name="표준 11 2 3 6 3 3" xfId="36666"/>
    <cellStyle name="표준 11 2 3 6 4" xfId="36667"/>
    <cellStyle name="표준 11 2 3 6 5" xfId="36668"/>
    <cellStyle name="표준 11 2 3 7" xfId="36669"/>
    <cellStyle name="표준 11 2 3 7 2" xfId="36670"/>
    <cellStyle name="표준 11 2 3 7 2 2" xfId="36671"/>
    <cellStyle name="표준 11 2 3 7 2 3" xfId="36672"/>
    <cellStyle name="표준 11 2 3 7 3" xfId="36673"/>
    <cellStyle name="표준 11 2 3 7 4" xfId="36674"/>
    <cellStyle name="표준 11 2 3 8" xfId="36675"/>
    <cellStyle name="표준 11 2 3 8 2" xfId="36676"/>
    <cellStyle name="표준 11 2 3 8 3" xfId="36677"/>
    <cellStyle name="표준 11 2 3 9" xfId="36678"/>
    <cellStyle name="표준 11 2 4" xfId="36679"/>
    <cellStyle name="표준 11 2 4 10" xfId="36680"/>
    <cellStyle name="표준 11 2 4 2" xfId="36681"/>
    <cellStyle name="표준 11 2 4 2 2" xfId="36682"/>
    <cellStyle name="표준 11 2 4 2 2 2" xfId="36683"/>
    <cellStyle name="표준 11 2 4 2 2 2 2" xfId="36684"/>
    <cellStyle name="표준 11 2 4 2 2 2 2 2" xfId="36685"/>
    <cellStyle name="표준 11 2 4 2 2 2 2 3" xfId="36686"/>
    <cellStyle name="표준 11 2 4 2 2 2 3" xfId="36687"/>
    <cellStyle name="표준 11 2 4 2 2 2 4" xfId="36688"/>
    <cellStyle name="표준 11 2 4 2 2 3" xfId="36689"/>
    <cellStyle name="표준 11 2 4 2 2 3 2" xfId="36690"/>
    <cellStyle name="표준 11 2 4 2 2 3 3" xfId="36691"/>
    <cellStyle name="표준 11 2 4 2 2 4" xfId="36692"/>
    <cellStyle name="표준 11 2 4 2 2 5" xfId="36693"/>
    <cellStyle name="표준 11 2 4 2 3" xfId="36694"/>
    <cellStyle name="표준 11 2 4 2 3 2" xfId="36695"/>
    <cellStyle name="표준 11 2 4 2 3 2 2" xfId="36696"/>
    <cellStyle name="표준 11 2 4 2 3 2 2 2" xfId="36697"/>
    <cellStyle name="표준 11 2 4 2 3 2 2 3" xfId="36698"/>
    <cellStyle name="표준 11 2 4 2 3 2 3" xfId="36699"/>
    <cellStyle name="표준 11 2 4 2 3 2 4" xfId="36700"/>
    <cellStyle name="표준 11 2 4 2 3 3" xfId="36701"/>
    <cellStyle name="표준 11 2 4 2 3 3 2" xfId="36702"/>
    <cellStyle name="표준 11 2 4 2 3 3 3" xfId="36703"/>
    <cellStyle name="표준 11 2 4 2 3 4" xfId="36704"/>
    <cellStyle name="표준 11 2 4 2 3 5" xfId="36705"/>
    <cellStyle name="표준 11 2 4 2 4" xfId="36706"/>
    <cellStyle name="표준 11 2 4 2 4 2" xfId="36707"/>
    <cellStyle name="표준 11 2 4 2 4 2 2" xfId="36708"/>
    <cellStyle name="표준 11 2 4 2 4 2 3" xfId="36709"/>
    <cellStyle name="표준 11 2 4 2 4 3" xfId="36710"/>
    <cellStyle name="표준 11 2 4 2 4 4" xfId="36711"/>
    <cellStyle name="표준 11 2 4 2 5" xfId="36712"/>
    <cellStyle name="표준 11 2 4 2 5 2" xfId="36713"/>
    <cellStyle name="표준 11 2 4 2 5 3" xfId="36714"/>
    <cellStyle name="표준 11 2 4 2 6" xfId="36715"/>
    <cellStyle name="표준 11 2 4 2 7" xfId="36716"/>
    <cellStyle name="표준 11 2 4 3" xfId="36717"/>
    <cellStyle name="표준 11 2 4 3 2" xfId="36718"/>
    <cellStyle name="표준 11 2 4 3 2 2" xfId="36719"/>
    <cellStyle name="표준 11 2 4 3 2 2 2" xfId="36720"/>
    <cellStyle name="표준 11 2 4 3 2 2 2 2" xfId="36721"/>
    <cellStyle name="표준 11 2 4 3 2 2 2 3" xfId="36722"/>
    <cellStyle name="표준 11 2 4 3 2 2 3" xfId="36723"/>
    <cellStyle name="표준 11 2 4 3 2 2 4" xfId="36724"/>
    <cellStyle name="표준 11 2 4 3 2 3" xfId="36725"/>
    <cellStyle name="표준 11 2 4 3 2 3 2" xfId="36726"/>
    <cellStyle name="표준 11 2 4 3 2 3 3" xfId="36727"/>
    <cellStyle name="표준 11 2 4 3 2 4" xfId="36728"/>
    <cellStyle name="표준 11 2 4 3 2 5" xfId="36729"/>
    <cellStyle name="표준 11 2 4 3 3" xfId="36730"/>
    <cellStyle name="표준 11 2 4 3 3 2" xfId="36731"/>
    <cellStyle name="표준 11 2 4 3 3 2 2" xfId="36732"/>
    <cellStyle name="표준 11 2 4 3 3 2 2 2" xfId="36733"/>
    <cellStyle name="표준 11 2 4 3 3 2 2 3" xfId="36734"/>
    <cellStyle name="표준 11 2 4 3 3 2 3" xfId="36735"/>
    <cellStyle name="표준 11 2 4 3 3 2 4" xfId="36736"/>
    <cellStyle name="표준 11 2 4 3 3 3" xfId="36737"/>
    <cellStyle name="표준 11 2 4 3 3 3 2" xfId="36738"/>
    <cellStyle name="표준 11 2 4 3 3 3 3" xfId="36739"/>
    <cellStyle name="표준 11 2 4 3 3 4" xfId="36740"/>
    <cellStyle name="표준 11 2 4 3 3 5" xfId="36741"/>
    <cellStyle name="표준 11 2 4 3 4" xfId="36742"/>
    <cellStyle name="표준 11 2 4 3 4 2" xfId="36743"/>
    <cellStyle name="표준 11 2 4 3 4 2 2" xfId="36744"/>
    <cellStyle name="표준 11 2 4 3 4 2 3" xfId="36745"/>
    <cellStyle name="표준 11 2 4 3 4 3" xfId="36746"/>
    <cellStyle name="표준 11 2 4 3 4 4" xfId="36747"/>
    <cellStyle name="표준 11 2 4 3 5" xfId="36748"/>
    <cellStyle name="표준 11 2 4 3 5 2" xfId="36749"/>
    <cellStyle name="표준 11 2 4 3 5 3" xfId="36750"/>
    <cellStyle name="표준 11 2 4 3 6" xfId="36751"/>
    <cellStyle name="표준 11 2 4 3 7" xfId="36752"/>
    <cellStyle name="표준 11 2 4 4" xfId="36753"/>
    <cellStyle name="표준 11 2 4 4 2" xfId="36754"/>
    <cellStyle name="표준 11 2 4 4 2 2" xfId="36755"/>
    <cellStyle name="표준 11 2 4 4 2 2 2" xfId="36756"/>
    <cellStyle name="표준 11 2 4 4 2 2 3" xfId="36757"/>
    <cellStyle name="표준 11 2 4 4 2 3" xfId="36758"/>
    <cellStyle name="표준 11 2 4 4 2 4" xfId="36759"/>
    <cellStyle name="표준 11 2 4 4 3" xfId="36760"/>
    <cellStyle name="표준 11 2 4 4 3 2" xfId="36761"/>
    <cellStyle name="표준 11 2 4 4 3 3" xfId="36762"/>
    <cellStyle name="표준 11 2 4 4 4" xfId="36763"/>
    <cellStyle name="표준 11 2 4 4 5" xfId="36764"/>
    <cellStyle name="표준 11 2 4 5" xfId="36765"/>
    <cellStyle name="표준 11 2 4 5 2" xfId="36766"/>
    <cellStyle name="표준 11 2 4 5 2 2" xfId="36767"/>
    <cellStyle name="표준 11 2 4 5 2 2 2" xfId="36768"/>
    <cellStyle name="표준 11 2 4 5 2 2 3" xfId="36769"/>
    <cellStyle name="표준 11 2 4 5 2 3" xfId="36770"/>
    <cellStyle name="표준 11 2 4 5 2 4" xfId="36771"/>
    <cellStyle name="표준 11 2 4 5 3" xfId="36772"/>
    <cellStyle name="표준 11 2 4 5 3 2" xfId="36773"/>
    <cellStyle name="표준 11 2 4 5 3 3" xfId="36774"/>
    <cellStyle name="표준 11 2 4 5 4" xfId="36775"/>
    <cellStyle name="표준 11 2 4 5 5" xfId="36776"/>
    <cellStyle name="표준 11 2 4 6" xfId="36777"/>
    <cellStyle name="표준 11 2 4 6 2" xfId="36778"/>
    <cellStyle name="표준 11 2 4 6 2 2" xfId="36779"/>
    <cellStyle name="표준 11 2 4 6 2 2 2" xfId="36780"/>
    <cellStyle name="표준 11 2 4 6 2 2 3" xfId="36781"/>
    <cellStyle name="표준 11 2 4 6 2 3" xfId="36782"/>
    <cellStyle name="표준 11 2 4 6 2 4" xfId="36783"/>
    <cellStyle name="표준 11 2 4 6 3" xfId="36784"/>
    <cellStyle name="표준 11 2 4 6 3 2" xfId="36785"/>
    <cellStyle name="표준 11 2 4 6 3 3" xfId="36786"/>
    <cellStyle name="표준 11 2 4 6 4" xfId="36787"/>
    <cellStyle name="표준 11 2 4 6 5" xfId="36788"/>
    <cellStyle name="표준 11 2 4 7" xfId="36789"/>
    <cellStyle name="표준 11 2 4 7 2" xfId="36790"/>
    <cellStyle name="표준 11 2 4 7 2 2" xfId="36791"/>
    <cellStyle name="표준 11 2 4 7 2 3" xfId="36792"/>
    <cellStyle name="표준 11 2 4 7 3" xfId="36793"/>
    <cellStyle name="표준 11 2 4 7 4" xfId="36794"/>
    <cellStyle name="표준 11 2 4 8" xfId="36795"/>
    <cellStyle name="표준 11 2 4 8 2" xfId="36796"/>
    <cellStyle name="표준 11 2 4 8 3" xfId="36797"/>
    <cellStyle name="표준 11 2 4 9" xfId="36798"/>
    <cellStyle name="표준 11 2 5" xfId="36799"/>
    <cellStyle name="표준 11 2 5 2" xfId="36800"/>
    <cellStyle name="표준 11 2 5 2 2" xfId="36801"/>
    <cellStyle name="표준 11 2 5 2 2 2" xfId="36802"/>
    <cellStyle name="표준 11 2 5 2 2 2 2" xfId="36803"/>
    <cellStyle name="표준 11 2 5 2 2 2 3" xfId="36804"/>
    <cellStyle name="표준 11 2 5 2 2 3" xfId="36805"/>
    <cellStyle name="표준 11 2 5 2 2 4" xfId="36806"/>
    <cellStyle name="표준 11 2 5 2 3" xfId="36807"/>
    <cellStyle name="표준 11 2 5 2 3 2" xfId="36808"/>
    <cellStyle name="표준 11 2 5 2 3 3" xfId="36809"/>
    <cellStyle name="표준 11 2 5 2 4" xfId="36810"/>
    <cellStyle name="표준 11 2 5 2 5" xfId="36811"/>
    <cellStyle name="표준 11 2 5 3" xfId="36812"/>
    <cellStyle name="표준 11 2 5 3 2" xfId="36813"/>
    <cellStyle name="표준 11 2 5 3 2 2" xfId="36814"/>
    <cellStyle name="표준 11 2 5 3 2 2 2" xfId="36815"/>
    <cellStyle name="표준 11 2 5 3 2 2 3" xfId="36816"/>
    <cellStyle name="표준 11 2 5 3 2 3" xfId="36817"/>
    <cellStyle name="표준 11 2 5 3 2 4" xfId="36818"/>
    <cellStyle name="표준 11 2 5 3 3" xfId="36819"/>
    <cellStyle name="표준 11 2 5 3 3 2" xfId="36820"/>
    <cellStyle name="표준 11 2 5 3 3 3" xfId="36821"/>
    <cellStyle name="표준 11 2 5 3 4" xfId="36822"/>
    <cellStyle name="표준 11 2 5 3 5" xfId="36823"/>
    <cellStyle name="표준 11 2 5 4" xfId="36824"/>
    <cellStyle name="표준 11 2 5 4 2" xfId="36825"/>
    <cellStyle name="표준 11 2 5 4 2 2" xfId="36826"/>
    <cellStyle name="표준 11 2 5 4 2 3" xfId="36827"/>
    <cellStyle name="표준 11 2 5 4 3" xfId="36828"/>
    <cellStyle name="표준 11 2 5 4 4" xfId="36829"/>
    <cellStyle name="표준 11 2 5 5" xfId="36830"/>
    <cellStyle name="표준 11 2 5 5 2" xfId="36831"/>
    <cellStyle name="표준 11 2 5 5 3" xfId="36832"/>
    <cellStyle name="표준 11 2 5 6" xfId="36833"/>
    <cellStyle name="표준 11 2 5 7" xfId="36834"/>
    <cellStyle name="표준 11 2 6" xfId="36835"/>
    <cellStyle name="표준 11 2 6 2" xfId="36836"/>
    <cellStyle name="표준 11 2 6 2 2" xfId="36837"/>
    <cellStyle name="표준 11 2 6 2 2 2" xfId="36838"/>
    <cellStyle name="표준 11 2 6 2 2 2 2" xfId="36839"/>
    <cellStyle name="표준 11 2 6 2 2 2 3" xfId="36840"/>
    <cellStyle name="표준 11 2 6 2 2 3" xfId="36841"/>
    <cellStyle name="표준 11 2 6 2 2 4" xfId="36842"/>
    <cellStyle name="표준 11 2 6 2 3" xfId="36843"/>
    <cellStyle name="표준 11 2 6 2 3 2" xfId="36844"/>
    <cellStyle name="표준 11 2 6 2 3 3" xfId="36845"/>
    <cellStyle name="표준 11 2 6 2 4" xfId="36846"/>
    <cellStyle name="표준 11 2 6 2 5" xfId="36847"/>
    <cellStyle name="표준 11 2 6 3" xfId="36848"/>
    <cellStyle name="표준 11 2 6 3 2" xfId="36849"/>
    <cellStyle name="표준 11 2 6 3 2 2" xfId="36850"/>
    <cellStyle name="표준 11 2 6 3 2 2 2" xfId="36851"/>
    <cellStyle name="표준 11 2 6 3 2 2 3" xfId="36852"/>
    <cellStyle name="표준 11 2 6 3 2 3" xfId="36853"/>
    <cellStyle name="표준 11 2 6 3 2 4" xfId="36854"/>
    <cellStyle name="표준 11 2 6 3 3" xfId="36855"/>
    <cellStyle name="표준 11 2 6 3 3 2" xfId="36856"/>
    <cellStyle name="표준 11 2 6 3 3 3" xfId="36857"/>
    <cellStyle name="표준 11 2 6 3 4" xfId="36858"/>
    <cellStyle name="표준 11 2 6 3 5" xfId="36859"/>
    <cellStyle name="표준 11 2 6 4" xfId="36860"/>
    <cellStyle name="표준 11 2 6 4 2" xfId="36861"/>
    <cellStyle name="표준 11 2 6 4 2 2" xfId="36862"/>
    <cellStyle name="표준 11 2 6 4 2 3" xfId="36863"/>
    <cellStyle name="표준 11 2 6 4 3" xfId="36864"/>
    <cellStyle name="표준 11 2 6 4 4" xfId="36865"/>
    <cellStyle name="표준 11 2 6 5" xfId="36866"/>
    <cellStyle name="표준 11 2 6 5 2" xfId="36867"/>
    <cellStyle name="표준 11 2 6 5 3" xfId="36868"/>
    <cellStyle name="표준 11 2 6 6" xfId="36869"/>
    <cellStyle name="표준 11 2 6 7" xfId="36870"/>
    <cellStyle name="표준 11 2 7" xfId="36871"/>
    <cellStyle name="표준 11 2 7 2" xfId="36872"/>
    <cellStyle name="표준 11 2 7 2 2" xfId="36873"/>
    <cellStyle name="표준 11 2 7 2 2 2" xfId="36874"/>
    <cellStyle name="표준 11 2 7 2 2 3" xfId="36875"/>
    <cellStyle name="표준 11 2 7 2 3" xfId="36876"/>
    <cellStyle name="표준 11 2 7 2 4" xfId="36877"/>
    <cellStyle name="표준 11 2 7 3" xfId="36878"/>
    <cellStyle name="표준 11 2 7 3 2" xfId="36879"/>
    <cellStyle name="표준 11 2 7 3 3" xfId="36880"/>
    <cellStyle name="표준 11 2 7 4" xfId="36881"/>
    <cellStyle name="표준 11 2 7 5" xfId="36882"/>
    <cellStyle name="표준 11 2 8" xfId="36883"/>
    <cellStyle name="표준 11 2 8 2" xfId="36884"/>
    <cellStyle name="표준 11 2 8 2 2" xfId="36885"/>
    <cellStyle name="표준 11 2 8 2 2 2" xfId="36886"/>
    <cellStyle name="표준 11 2 8 2 2 3" xfId="36887"/>
    <cellStyle name="표준 11 2 8 2 3" xfId="36888"/>
    <cellStyle name="표준 11 2 8 2 4" xfId="36889"/>
    <cellStyle name="표준 11 2 8 3" xfId="36890"/>
    <cellStyle name="표준 11 2 8 3 2" xfId="36891"/>
    <cellStyle name="표준 11 2 8 3 3" xfId="36892"/>
    <cellStyle name="표준 11 2 8 4" xfId="36893"/>
    <cellStyle name="표준 11 2 8 5" xfId="36894"/>
    <cellStyle name="표준 11 2 9" xfId="36895"/>
    <cellStyle name="표준 11 2 9 2" xfId="36896"/>
    <cellStyle name="표준 11 2 9 2 2" xfId="36897"/>
    <cellStyle name="표준 11 2 9 2 2 2" xfId="36898"/>
    <cellStyle name="표준 11 2 9 2 2 3" xfId="36899"/>
    <cellStyle name="표준 11 2 9 2 3" xfId="36900"/>
    <cellStyle name="표준 11 2 9 2 4" xfId="36901"/>
    <cellStyle name="표준 11 2 9 3" xfId="36902"/>
    <cellStyle name="표준 11 2 9 3 2" xfId="36903"/>
    <cellStyle name="표준 11 2 9 3 3" xfId="36904"/>
    <cellStyle name="표준 11 2 9 4" xfId="36905"/>
    <cellStyle name="표준 11 2 9 5" xfId="36906"/>
    <cellStyle name="표준 11 3" xfId="36907"/>
    <cellStyle name="표준 11 3 10" xfId="36908"/>
    <cellStyle name="표준 11 3 2" xfId="36909"/>
    <cellStyle name="표준 11 3 2 2" xfId="36910"/>
    <cellStyle name="표준 11 3 2 2 2" xfId="36911"/>
    <cellStyle name="표준 11 3 2 2 2 2" xfId="36912"/>
    <cellStyle name="표준 11 3 2 2 2 2 2" xfId="36913"/>
    <cellStyle name="표준 11 3 2 2 2 2 3" xfId="36914"/>
    <cellStyle name="표준 11 3 2 2 2 3" xfId="36915"/>
    <cellStyle name="표준 11 3 2 2 2 4" xfId="36916"/>
    <cellStyle name="표준 11 3 2 2 3" xfId="36917"/>
    <cellStyle name="표준 11 3 2 2 3 2" xfId="36918"/>
    <cellStyle name="표준 11 3 2 2 3 3" xfId="36919"/>
    <cellStyle name="표준 11 3 2 2 4" xfId="36920"/>
    <cellStyle name="표준 11 3 2 2 5" xfId="36921"/>
    <cellStyle name="표준 11 3 2 3" xfId="36922"/>
    <cellStyle name="표준 11 3 2 3 2" xfId="36923"/>
    <cellStyle name="표준 11 3 2 3 2 2" xfId="36924"/>
    <cellStyle name="표준 11 3 2 3 2 2 2" xfId="36925"/>
    <cellStyle name="표준 11 3 2 3 2 2 3" xfId="36926"/>
    <cellStyle name="표준 11 3 2 3 2 3" xfId="36927"/>
    <cellStyle name="표준 11 3 2 3 2 4" xfId="36928"/>
    <cellStyle name="표준 11 3 2 3 3" xfId="36929"/>
    <cellStyle name="표준 11 3 2 3 3 2" xfId="36930"/>
    <cellStyle name="표준 11 3 2 3 3 3" xfId="36931"/>
    <cellStyle name="표준 11 3 2 3 4" xfId="36932"/>
    <cellStyle name="표준 11 3 2 3 5" xfId="36933"/>
    <cellStyle name="표준 11 3 2 4" xfId="36934"/>
    <cellStyle name="표준 11 3 2 4 2" xfId="36935"/>
    <cellStyle name="표준 11 3 2 4 2 2" xfId="36936"/>
    <cellStyle name="표준 11 3 2 4 2 3" xfId="36937"/>
    <cellStyle name="표준 11 3 2 4 3" xfId="36938"/>
    <cellStyle name="표준 11 3 2 4 4" xfId="36939"/>
    <cellStyle name="표준 11 3 2 5" xfId="36940"/>
    <cellStyle name="표준 11 3 2 5 2" xfId="36941"/>
    <cellStyle name="표준 11 3 2 5 3" xfId="36942"/>
    <cellStyle name="표준 11 3 2 6" xfId="36943"/>
    <cellStyle name="표준 11 3 2 7" xfId="36944"/>
    <cellStyle name="표준 11 3 3" xfId="36945"/>
    <cellStyle name="표준 11 3 3 2" xfId="36946"/>
    <cellStyle name="표준 11 3 3 2 2" xfId="36947"/>
    <cellStyle name="표준 11 3 3 2 2 2" xfId="36948"/>
    <cellStyle name="표준 11 3 3 2 2 2 2" xfId="36949"/>
    <cellStyle name="표준 11 3 3 2 2 2 3" xfId="36950"/>
    <cellStyle name="표준 11 3 3 2 2 3" xfId="36951"/>
    <cellStyle name="표준 11 3 3 2 2 4" xfId="36952"/>
    <cellStyle name="표준 11 3 3 2 3" xfId="36953"/>
    <cellStyle name="표준 11 3 3 2 3 2" xfId="36954"/>
    <cellStyle name="표준 11 3 3 2 3 3" xfId="36955"/>
    <cellStyle name="표준 11 3 3 2 4" xfId="36956"/>
    <cellStyle name="표준 11 3 3 2 5" xfId="36957"/>
    <cellStyle name="표준 11 3 3 3" xfId="36958"/>
    <cellStyle name="표준 11 3 3 3 2" xfId="36959"/>
    <cellStyle name="표준 11 3 3 3 2 2" xfId="36960"/>
    <cellStyle name="표준 11 3 3 3 2 2 2" xfId="36961"/>
    <cellStyle name="표준 11 3 3 3 2 2 3" xfId="36962"/>
    <cellStyle name="표준 11 3 3 3 2 3" xfId="36963"/>
    <cellStyle name="표준 11 3 3 3 2 4" xfId="36964"/>
    <cellStyle name="표준 11 3 3 3 3" xfId="36965"/>
    <cellStyle name="표준 11 3 3 3 3 2" xfId="36966"/>
    <cellStyle name="표준 11 3 3 3 3 3" xfId="36967"/>
    <cellStyle name="표준 11 3 3 3 4" xfId="36968"/>
    <cellStyle name="표준 11 3 3 3 5" xfId="36969"/>
    <cellStyle name="표준 11 3 3 4" xfId="36970"/>
    <cellStyle name="표준 11 3 3 4 2" xfId="36971"/>
    <cellStyle name="표준 11 3 3 4 2 2" xfId="36972"/>
    <cellStyle name="표준 11 3 3 4 2 3" xfId="36973"/>
    <cellStyle name="표준 11 3 3 4 3" xfId="36974"/>
    <cellStyle name="표준 11 3 3 4 4" xfId="36975"/>
    <cellStyle name="표준 11 3 3 5" xfId="36976"/>
    <cellStyle name="표준 11 3 3 5 2" xfId="36977"/>
    <cellStyle name="표준 11 3 3 5 3" xfId="36978"/>
    <cellStyle name="표준 11 3 3 6" xfId="36979"/>
    <cellStyle name="표준 11 3 3 7" xfId="36980"/>
    <cellStyle name="표준 11 3 4" xfId="36981"/>
    <cellStyle name="표준 11 3 4 2" xfId="36982"/>
    <cellStyle name="표준 11 3 4 2 2" xfId="36983"/>
    <cellStyle name="표준 11 3 4 2 2 2" xfId="36984"/>
    <cellStyle name="표준 11 3 4 2 2 3" xfId="36985"/>
    <cellStyle name="표준 11 3 4 2 3" xfId="36986"/>
    <cellStyle name="표준 11 3 4 2 4" xfId="36987"/>
    <cellStyle name="표준 11 3 4 3" xfId="36988"/>
    <cellStyle name="표준 11 3 4 3 2" xfId="36989"/>
    <cellStyle name="표준 11 3 4 3 3" xfId="36990"/>
    <cellStyle name="표준 11 3 4 4" xfId="36991"/>
    <cellStyle name="표준 11 3 4 5" xfId="36992"/>
    <cellStyle name="표준 11 3 5" xfId="36993"/>
    <cellStyle name="표준 11 3 5 2" xfId="36994"/>
    <cellStyle name="표준 11 3 5 2 2" xfId="36995"/>
    <cellStyle name="표준 11 3 5 2 2 2" xfId="36996"/>
    <cellStyle name="표준 11 3 5 2 2 3" xfId="36997"/>
    <cellStyle name="표준 11 3 5 2 3" xfId="36998"/>
    <cellStyle name="표준 11 3 5 2 4" xfId="36999"/>
    <cellStyle name="표준 11 3 5 3" xfId="37000"/>
    <cellStyle name="표준 11 3 5 3 2" xfId="37001"/>
    <cellStyle name="표준 11 3 5 3 3" xfId="37002"/>
    <cellStyle name="표준 11 3 5 4" xfId="37003"/>
    <cellStyle name="표준 11 3 5 5" xfId="37004"/>
    <cellStyle name="표준 11 3 6" xfId="37005"/>
    <cellStyle name="표준 11 3 6 2" xfId="37006"/>
    <cellStyle name="표준 11 3 6 2 2" xfId="37007"/>
    <cellStyle name="표준 11 3 6 2 2 2" xfId="37008"/>
    <cellStyle name="표준 11 3 6 2 2 3" xfId="37009"/>
    <cellStyle name="표준 11 3 6 2 3" xfId="37010"/>
    <cellStyle name="표준 11 3 6 2 4" xfId="37011"/>
    <cellStyle name="표준 11 3 6 3" xfId="37012"/>
    <cellStyle name="표준 11 3 6 3 2" xfId="37013"/>
    <cellStyle name="표준 11 3 6 3 3" xfId="37014"/>
    <cellStyle name="표준 11 3 6 4" xfId="37015"/>
    <cellStyle name="표준 11 3 6 5" xfId="37016"/>
    <cellStyle name="표준 11 3 7" xfId="37017"/>
    <cellStyle name="표준 11 3 7 2" xfId="37018"/>
    <cellStyle name="표준 11 3 7 2 2" xfId="37019"/>
    <cellStyle name="표준 11 3 7 2 3" xfId="37020"/>
    <cellStyle name="표준 11 3 7 3" xfId="37021"/>
    <cellStyle name="표준 11 3 7 4" xfId="37022"/>
    <cellStyle name="표준 11 3 8" xfId="37023"/>
    <cellStyle name="표준 11 3 8 2" xfId="37024"/>
    <cellStyle name="표준 11 3 8 3" xfId="37025"/>
    <cellStyle name="표준 11 3 9" xfId="37026"/>
    <cellStyle name="표준 11 4" xfId="37027"/>
    <cellStyle name="표준 11 4 10" xfId="37028"/>
    <cellStyle name="표준 11 4 2" xfId="37029"/>
    <cellStyle name="표준 11 4 2 2" xfId="37030"/>
    <cellStyle name="표준 11 4 2 2 2" xfId="37031"/>
    <cellStyle name="표준 11 4 2 2 2 2" xfId="37032"/>
    <cellStyle name="표준 11 4 2 2 2 2 2" xfId="37033"/>
    <cellStyle name="표준 11 4 2 2 2 2 3" xfId="37034"/>
    <cellStyle name="표준 11 4 2 2 2 3" xfId="37035"/>
    <cellStyle name="표준 11 4 2 2 2 4" xfId="37036"/>
    <cellStyle name="표준 11 4 2 2 3" xfId="37037"/>
    <cellStyle name="표준 11 4 2 2 3 2" xfId="37038"/>
    <cellStyle name="표준 11 4 2 2 3 3" xfId="37039"/>
    <cellStyle name="표준 11 4 2 2 4" xfId="37040"/>
    <cellStyle name="표준 11 4 2 2 5" xfId="37041"/>
    <cellStyle name="표준 11 4 2 3" xfId="37042"/>
    <cellStyle name="표준 11 4 2 3 2" xfId="37043"/>
    <cellStyle name="표준 11 4 2 3 2 2" xfId="37044"/>
    <cellStyle name="표준 11 4 2 3 2 2 2" xfId="37045"/>
    <cellStyle name="표준 11 4 2 3 2 2 3" xfId="37046"/>
    <cellStyle name="표준 11 4 2 3 2 3" xfId="37047"/>
    <cellStyle name="표준 11 4 2 3 2 4" xfId="37048"/>
    <cellStyle name="표준 11 4 2 3 3" xfId="37049"/>
    <cellStyle name="표준 11 4 2 3 3 2" xfId="37050"/>
    <cellStyle name="표준 11 4 2 3 3 3" xfId="37051"/>
    <cellStyle name="표준 11 4 2 3 4" xfId="37052"/>
    <cellStyle name="표준 11 4 2 3 5" xfId="37053"/>
    <cellStyle name="표준 11 4 2 4" xfId="37054"/>
    <cellStyle name="표준 11 4 2 4 2" xfId="37055"/>
    <cellStyle name="표준 11 4 2 4 2 2" xfId="37056"/>
    <cellStyle name="표준 11 4 2 4 2 3" xfId="37057"/>
    <cellStyle name="표준 11 4 2 4 3" xfId="37058"/>
    <cellStyle name="표준 11 4 2 4 4" xfId="37059"/>
    <cellStyle name="표준 11 4 2 5" xfId="37060"/>
    <cellStyle name="표준 11 4 2 5 2" xfId="37061"/>
    <cellStyle name="표준 11 4 2 5 3" xfId="37062"/>
    <cellStyle name="표준 11 4 2 6" xfId="37063"/>
    <cellStyle name="표준 11 4 2 7" xfId="37064"/>
    <cellStyle name="표준 11 4 3" xfId="37065"/>
    <cellStyle name="표준 11 4 3 2" xfId="37066"/>
    <cellStyle name="표준 11 4 3 2 2" xfId="37067"/>
    <cellStyle name="표준 11 4 3 2 2 2" xfId="37068"/>
    <cellStyle name="표준 11 4 3 2 2 2 2" xfId="37069"/>
    <cellStyle name="표준 11 4 3 2 2 2 3" xfId="37070"/>
    <cellStyle name="표준 11 4 3 2 2 3" xfId="37071"/>
    <cellStyle name="표준 11 4 3 2 2 4" xfId="37072"/>
    <cellStyle name="표준 11 4 3 2 3" xfId="37073"/>
    <cellStyle name="표준 11 4 3 2 3 2" xfId="37074"/>
    <cellStyle name="표준 11 4 3 2 3 3" xfId="37075"/>
    <cellStyle name="표준 11 4 3 2 4" xfId="37076"/>
    <cellStyle name="표준 11 4 3 2 5" xfId="37077"/>
    <cellStyle name="표준 11 4 3 3" xfId="37078"/>
    <cellStyle name="표준 11 4 3 3 2" xfId="37079"/>
    <cellStyle name="표준 11 4 3 3 2 2" xfId="37080"/>
    <cellStyle name="표준 11 4 3 3 2 2 2" xfId="37081"/>
    <cellStyle name="표준 11 4 3 3 2 2 3" xfId="37082"/>
    <cellStyle name="표준 11 4 3 3 2 3" xfId="37083"/>
    <cellStyle name="표준 11 4 3 3 2 4" xfId="37084"/>
    <cellStyle name="표준 11 4 3 3 3" xfId="37085"/>
    <cellStyle name="표준 11 4 3 3 3 2" xfId="37086"/>
    <cellStyle name="표준 11 4 3 3 3 3" xfId="37087"/>
    <cellStyle name="표준 11 4 3 3 4" xfId="37088"/>
    <cellStyle name="표준 11 4 3 3 5" xfId="37089"/>
    <cellStyle name="표준 11 4 3 4" xfId="37090"/>
    <cellStyle name="표준 11 4 3 4 2" xfId="37091"/>
    <cellStyle name="표준 11 4 3 4 2 2" xfId="37092"/>
    <cellStyle name="표준 11 4 3 4 2 3" xfId="37093"/>
    <cellStyle name="표준 11 4 3 4 3" xfId="37094"/>
    <cellStyle name="표준 11 4 3 4 4" xfId="37095"/>
    <cellStyle name="표준 11 4 3 5" xfId="37096"/>
    <cellStyle name="표준 11 4 3 5 2" xfId="37097"/>
    <cellStyle name="표준 11 4 3 5 3" xfId="37098"/>
    <cellStyle name="표준 11 4 3 6" xfId="37099"/>
    <cellStyle name="표준 11 4 3 7" xfId="37100"/>
    <cellStyle name="표준 11 4 4" xfId="37101"/>
    <cellStyle name="표준 11 4 4 2" xfId="37102"/>
    <cellStyle name="표준 11 4 4 2 2" xfId="37103"/>
    <cellStyle name="표준 11 4 4 2 2 2" xfId="37104"/>
    <cellStyle name="표준 11 4 4 2 2 3" xfId="37105"/>
    <cellStyle name="표준 11 4 4 2 3" xfId="37106"/>
    <cellStyle name="표준 11 4 4 2 4" xfId="37107"/>
    <cellStyle name="표준 11 4 4 3" xfId="37108"/>
    <cellStyle name="표준 11 4 4 3 2" xfId="37109"/>
    <cellStyle name="표준 11 4 4 3 3" xfId="37110"/>
    <cellStyle name="표준 11 4 4 4" xfId="37111"/>
    <cellStyle name="표준 11 4 4 5" xfId="37112"/>
    <cellStyle name="표준 11 4 5" xfId="37113"/>
    <cellStyle name="표준 11 4 5 2" xfId="37114"/>
    <cellStyle name="표준 11 4 5 2 2" xfId="37115"/>
    <cellStyle name="표준 11 4 5 2 2 2" xfId="37116"/>
    <cellStyle name="표준 11 4 5 2 2 3" xfId="37117"/>
    <cellStyle name="표준 11 4 5 2 3" xfId="37118"/>
    <cellStyle name="표준 11 4 5 2 4" xfId="37119"/>
    <cellStyle name="표준 11 4 5 3" xfId="37120"/>
    <cellStyle name="표준 11 4 5 3 2" xfId="37121"/>
    <cellStyle name="표준 11 4 5 3 3" xfId="37122"/>
    <cellStyle name="표준 11 4 5 4" xfId="37123"/>
    <cellStyle name="표준 11 4 5 5" xfId="37124"/>
    <cellStyle name="표준 11 4 6" xfId="37125"/>
    <cellStyle name="표준 11 4 6 2" xfId="37126"/>
    <cellStyle name="표준 11 4 6 2 2" xfId="37127"/>
    <cellStyle name="표준 11 4 6 2 2 2" xfId="37128"/>
    <cellStyle name="표준 11 4 6 2 2 3" xfId="37129"/>
    <cellStyle name="표준 11 4 6 2 3" xfId="37130"/>
    <cellStyle name="표준 11 4 6 2 4" xfId="37131"/>
    <cellStyle name="표준 11 4 6 3" xfId="37132"/>
    <cellStyle name="표준 11 4 6 3 2" xfId="37133"/>
    <cellStyle name="표준 11 4 6 3 3" xfId="37134"/>
    <cellStyle name="표준 11 4 6 4" xfId="37135"/>
    <cellStyle name="표준 11 4 6 5" xfId="37136"/>
    <cellStyle name="표준 11 4 7" xfId="37137"/>
    <cellStyle name="표준 11 4 7 2" xfId="37138"/>
    <cellStyle name="표준 11 4 7 2 2" xfId="37139"/>
    <cellStyle name="표준 11 4 7 2 3" xfId="37140"/>
    <cellStyle name="표준 11 4 7 3" xfId="37141"/>
    <cellStyle name="표준 11 4 7 4" xfId="37142"/>
    <cellStyle name="표준 11 4 8" xfId="37143"/>
    <cellStyle name="표준 11 4 8 2" xfId="37144"/>
    <cellStyle name="표준 11 4 8 3" xfId="37145"/>
    <cellStyle name="표준 11 4 9" xfId="37146"/>
    <cellStyle name="표준 11 5" xfId="37147"/>
    <cellStyle name="표준 11 5 10" xfId="37148"/>
    <cellStyle name="표준 11 5 2" xfId="37149"/>
    <cellStyle name="표준 11 5 2 2" xfId="37150"/>
    <cellStyle name="표준 11 5 2 2 2" xfId="37151"/>
    <cellStyle name="표준 11 5 2 2 2 2" xfId="37152"/>
    <cellStyle name="표준 11 5 2 2 2 2 2" xfId="37153"/>
    <cellStyle name="표준 11 5 2 2 2 2 3" xfId="37154"/>
    <cellStyle name="표준 11 5 2 2 2 3" xfId="37155"/>
    <cellStyle name="표준 11 5 2 2 2 4" xfId="37156"/>
    <cellStyle name="표준 11 5 2 2 3" xfId="37157"/>
    <cellStyle name="표준 11 5 2 2 3 2" xfId="37158"/>
    <cellStyle name="표준 11 5 2 2 3 3" xfId="37159"/>
    <cellStyle name="표준 11 5 2 2 4" xfId="37160"/>
    <cellStyle name="표준 11 5 2 2 5" xfId="37161"/>
    <cellStyle name="표준 11 5 2 3" xfId="37162"/>
    <cellStyle name="표준 11 5 2 3 2" xfId="37163"/>
    <cellStyle name="표준 11 5 2 3 2 2" xfId="37164"/>
    <cellStyle name="표준 11 5 2 3 2 2 2" xfId="37165"/>
    <cellStyle name="표준 11 5 2 3 2 2 3" xfId="37166"/>
    <cellStyle name="표준 11 5 2 3 2 3" xfId="37167"/>
    <cellStyle name="표준 11 5 2 3 2 4" xfId="37168"/>
    <cellStyle name="표준 11 5 2 3 3" xfId="37169"/>
    <cellStyle name="표준 11 5 2 3 3 2" xfId="37170"/>
    <cellStyle name="표준 11 5 2 3 3 3" xfId="37171"/>
    <cellStyle name="표준 11 5 2 3 4" xfId="37172"/>
    <cellStyle name="표준 11 5 2 3 5" xfId="37173"/>
    <cellStyle name="표준 11 5 2 4" xfId="37174"/>
    <cellStyle name="표준 11 5 2 4 2" xfId="37175"/>
    <cellStyle name="표준 11 5 2 4 2 2" xfId="37176"/>
    <cellStyle name="표준 11 5 2 4 2 3" xfId="37177"/>
    <cellStyle name="표준 11 5 2 4 3" xfId="37178"/>
    <cellStyle name="표준 11 5 2 4 4" xfId="37179"/>
    <cellStyle name="표준 11 5 2 5" xfId="37180"/>
    <cellStyle name="표준 11 5 2 5 2" xfId="37181"/>
    <cellStyle name="표준 11 5 2 5 3" xfId="37182"/>
    <cellStyle name="표준 11 5 2 6" xfId="37183"/>
    <cellStyle name="표준 11 5 2 7" xfId="37184"/>
    <cellStyle name="표준 11 5 3" xfId="37185"/>
    <cellStyle name="표준 11 5 3 2" xfId="37186"/>
    <cellStyle name="표준 11 5 3 2 2" xfId="37187"/>
    <cellStyle name="표준 11 5 3 2 2 2" xfId="37188"/>
    <cellStyle name="표준 11 5 3 2 2 2 2" xfId="37189"/>
    <cellStyle name="표준 11 5 3 2 2 2 3" xfId="37190"/>
    <cellStyle name="표준 11 5 3 2 2 3" xfId="37191"/>
    <cellStyle name="표준 11 5 3 2 2 4" xfId="37192"/>
    <cellStyle name="표준 11 5 3 2 3" xfId="37193"/>
    <cellStyle name="표준 11 5 3 2 3 2" xfId="37194"/>
    <cellStyle name="표준 11 5 3 2 3 3" xfId="37195"/>
    <cellStyle name="표준 11 5 3 2 4" xfId="37196"/>
    <cellStyle name="표준 11 5 3 2 5" xfId="37197"/>
    <cellStyle name="표준 11 5 3 3" xfId="37198"/>
    <cellStyle name="표준 11 5 3 3 2" xfId="37199"/>
    <cellStyle name="표준 11 5 3 3 2 2" xfId="37200"/>
    <cellStyle name="표준 11 5 3 3 2 2 2" xfId="37201"/>
    <cellStyle name="표준 11 5 3 3 2 2 3" xfId="37202"/>
    <cellStyle name="표준 11 5 3 3 2 3" xfId="37203"/>
    <cellStyle name="표준 11 5 3 3 2 4" xfId="37204"/>
    <cellStyle name="표준 11 5 3 3 3" xfId="37205"/>
    <cellStyle name="표준 11 5 3 3 3 2" xfId="37206"/>
    <cellStyle name="표준 11 5 3 3 3 3" xfId="37207"/>
    <cellStyle name="표준 11 5 3 3 4" xfId="37208"/>
    <cellStyle name="표준 11 5 3 3 5" xfId="37209"/>
    <cellStyle name="표준 11 5 3 4" xfId="37210"/>
    <cellStyle name="표준 11 5 3 4 2" xfId="37211"/>
    <cellStyle name="표준 11 5 3 4 2 2" xfId="37212"/>
    <cellStyle name="표준 11 5 3 4 2 3" xfId="37213"/>
    <cellStyle name="표준 11 5 3 4 3" xfId="37214"/>
    <cellStyle name="표준 11 5 3 4 4" xfId="37215"/>
    <cellStyle name="표준 11 5 3 5" xfId="37216"/>
    <cellStyle name="표준 11 5 3 5 2" xfId="37217"/>
    <cellStyle name="표준 11 5 3 5 3" xfId="37218"/>
    <cellStyle name="표준 11 5 3 6" xfId="37219"/>
    <cellStyle name="표준 11 5 3 7" xfId="37220"/>
    <cellStyle name="표준 11 5 4" xfId="37221"/>
    <cellStyle name="표준 11 5 4 2" xfId="37222"/>
    <cellStyle name="표준 11 5 4 2 2" xfId="37223"/>
    <cellStyle name="표준 11 5 4 2 2 2" xfId="37224"/>
    <cellStyle name="표준 11 5 4 2 2 3" xfId="37225"/>
    <cellStyle name="표준 11 5 4 2 3" xfId="37226"/>
    <cellStyle name="표준 11 5 4 2 4" xfId="37227"/>
    <cellStyle name="표준 11 5 4 3" xfId="37228"/>
    <cellStyle name="표준 11 5 4 3 2" xfId="37229"/>
    <cellStyle name="표준 11 5 4 3 3" xfId="37230"/>
    <cellStyle name="표준 11 5 4 4" xfId="37231"/>
    <cellStyle name="표준 11 5 4 5" xfId="37232"/>
    <cellStyle name="표준 11 5 5" xfId="37233"/>
    <cellStyle name="표준 11 5 5 2" xfId="37234"/>
    <cellStyle name="표준 11 5 5 2 2" xfId="37235"/>
    <cellStyle name="표준 11 5 5 2 2 2" xfId="37236"/>
    <cellStyle name="표준 11 5 5 2 2 3" xfId="37237"/>
    <cellStyle name="표준 11 5 5 2 3" xfId="37238"/>
    <cellStyle name="표준 11 5 5 2 4" xfId="37239"/>
    <cellStyle name="표준 11 5 5 3" xfId="37240"/>
    <cellStyle name="표준 11 5 5 3 2" xfId="37241"/>
    <cellStyle name="표준 11 5 5 3 3" xfId="37242"/>
    <cellStyle name="표준 11 5 5 4" xfId="37243"/>
    <cellStyle name="표준 11 5 5 5" xfId="37244"/>
    <cellStyle name="표준 11 5 6" xfId="37245"/>
    <cellStyle name="표준 11 5 6 2" xfId="37246"/>
    <cellStyle name="표준 11 5 6 2 2" xfId="37247"/>
    <cellStyle name="표준 11 5 6 2 2 2" xfId="37248"/>
    <cellStyle name="표준 11 5 6 2 2 3" xfId="37249"/>
    <cellStyle name="표준 11 5 6 2 3" xfId="37250"/>
    <cellStyle name="표준 11 5 6 2 4" xfId="37251"/>
    <cellStyle name="표준 11 5 6 3" xfId="37252"/>
    <cellStyle name="표준 11 5 6 3 2" xfId="37253"/>
    <cellStyle name="표준 11 5 6 3 3" xfId="37254"/>
    <cellStyle name="표준 11 5 6 4" xfId="37255"/>
    <cellStyle name="표준 11 5 6 5" xfId="37256"/>
    <cellStyle name="표준 11 5 7" xfId="37257"/>
    <cellStyle name="표준 11 5 7 2" xfId="37258"/>
    <cellStyle name="표준 11 5 7 2 2" xfId="37259"/>
    <cellStyle name="표준 11 5 7 2 3" xfId="37260"/>
    <cellStyle name="표준 11 5 7 3" xfId="37261"/>
    <cellStyle name="표준 11 5 7 4" xfId="37262"/>
    <cellStyle name="표준 11 5 8" xfId="37263"/>
    <cellStyle name="표준 11 5 8 2" xfId="37264"/>
    <cellStyle name="표준 11 5 8 3" xfId="37265"/>
    <cellStyle name="표준 11 5 9" xfId="37266"/>
    <cellStyle name="표준 11 6" xfId="37267"/>
    <cellStyle name="표준 11 6 2" xfId="37268"/>
    <cellStyle name="표준 11 6 2 2" xfId="37269"/>
    <cellStyle name="표준 11 6 2 2 2" xfId="37270"/>
    <cellStyle name="표준 11 6 2 2 2 2" xfId="37271"/>
    <cellStyle name="표준 11 6 2 2 2 3" xfId="37272"/>
    <cellStyle name="표준 11 6 2 2 3" xfId="37273"/>
    <cellStyle name="표준 11 6 2 2 4" xfId="37274"/>
    <cellStyle name="표준 11 6 2 3" xfId="37275"/>
    <cellStyle name="표준 11 6 2 3 2" xfId="37276"/>
    <cellStyle name="표준 11 6 2 3 3" xfId="37277"/>
    <cellStyle name="표준 11 6 2 4" xfId="37278"/>
    <cellStyle name="표준 11 6 2 5" xfId="37279"/>
    <cellStyle name="표준 11 6 3" xfId="37280"/>
    <cellStyle name="표준 11 6 3 2" xfId="37281"/>
    <cellStyle name="표준 11 6 3 2 2" xfId="37282"/>
    <cellStyle name="표준 11 6 3 2 2 2" xfId="37283"/>
    <cellStyle name="표준 11 6 3 2 2 3" xfId="37284"/>
    <cellStyle name="표준 11 6 3 2 3" xfId="37285"/>
    <cellStyle name="표준 11 6 3 2 4" xfId="37286"/>
    <cellStyle name="표준 11 6 3 3" xfId="37287"/>
    <cellStyle name="표준 11 6 3 3 2" xfId="37288"/>
    <cellStyle name="표준 11 6 3 3 3" xfId="37289"/>
    <cellStyle name="표준 11 6 3 4" xfId="37290"/>
    <cellStyle name="표준 11 6 3 5" xfId="37291"/>
    <cellStyle name="표준 11 6 4" xfId="37292"/>
    <cellStyle name="표준 11 6 4 2" xfId="37293"/>
    <cellStyle name="표준 11 6 4 2 2" xfId="37294"/>
    <cellStyle name="표준 11 6 4 2 3" xfId="37295"/>
    <cellStyle name="표준 11 6 4 3" xfId="37296"/>
    <cellStyle name="표준 11 6 4 4" xfId="37297"/>
    <cellStyle name="표준 11 6 5" xfId="37298"/>
    <cellStyle name="표준 11 6 5 2" xfId="37299"/>
    <cellStyle name="표준 11 6 5 3" xfId="37300"/>
    <cellStyle name="표준 11 6 6" xfId="37301"/>
    <cellStyle name="표준 11 6 7" xfId="37302"/>
    <cellStyle name="표준 11 7" xfId="37303"/>
    <cellStyle name="표준 11 7 2" xfId="37304"/>
    <cellStyle name="표준 11 7 2 2" xfId="37305"/>
    <cellStyle name="표준 11 7 2 2 2" xfId="37306"/>
    <cellStyle name="표준 11 7 2 2 2 2" xfId="37307"/>
    <cellStyle name="표준 11 7 2 2 2 3" xfId="37308"/>
    <cellStyle name="표준 11 7 2 2 3" xfId="37309"/>
    <cellStyle name="표준 11 7 2 2 4" xfId="37310"/>
    <cellStyle name="표준 11 7 2 3" xfId="37311"/>
    <cellStyle name="표준 11 7 2 3 2" xfId="37312"/>
    <cellStyle name="표준 11 7 2 3 3" xfId="37313"/>
    <cellStyle name="표준 11 7 2 4" xfId="37314"/>
    <cellStyle name="표준 11 7 2 5" xfId="37315"/>
    <cellStyle name="표준 11 7 3" xfId="37316"/>
    <cellStyle name="표준 11 7 3 2" xfId="37317"/>
    <cellStyle name="표준 11 7 3 2 2" xfId="37318"/>
    <cellStyle name="표준 11 7 3 2 2 2" xfId="37319"/>
    <cellStyle name="표준 11 7 3 2 2 3" xfId="37320"/>
    <cellStyle name="표준 11 7 3 2 3" xfId="37321"/>
    <cellStyle name="표준 11 7 3 2 4" xfId="37322"/>
    <cellStyle name="표준 11 7 3 3" xfId="37323"/>
    <cellStyle name="표준 11 7 3 3 2" xfId="37324"/>
    <cellStyle name="표준 11 7 3 3 3" xfId="37325"/>
    <cellStyle name="표준 11 7 3 4" xfId="37326"/>
    <cellStyle name="표준 11 7 3 5" xfId="37327"/>
    <cellStyle name="표준 11 7 4" xfId="37328"/>
    <cellStyle name="표준 11 7 4 2" xfId="37329"/>
    <cellStyle name="표준 11 7 4 2 2" xfId="37330"/>
    <cellStyle name="표준 11 7 4 2 3" xfId="37331"/>
    <cellStyle name="표준 11 7 4 3" xfId="37332"/>
    <cellStyle name="표준 11 7 4 4" xfId="37333"/>
    <cellStyle name="표준 11 7 5" xfId="37334"/>
    <cellStyle name="표준 11 7 5 2" xfId="37335"/>
    <cellStyle name="표준 11 7 5 3" xfId="37336"/>
    <cellStyle name="표준 11 7 6" xfId="37337"/>
    <cellStyle name="표준 11 7 7" xfId="37338"/>
    <cellStyle name="표준 11 8" xfId="37339"/>
    <cellStyle name="표준 11 8 2" xfId="37340"/>
    <cellStyle name="표준 11 8 2 2" xfId="37341"/>
    <cellStyle name="표준 11 8 2 2 2" xfId="37342"/>
    <cellStyle name="표준 11 8 2 2 3" xfId="37343"/>
    <cellStyle name="표준 11 8 2 3" xfId="37344"/>
    <cellStyle name="표준 11 8 2 4" xfId="37345"/>
    <cellStyle name="표준 11 8 3" xfId="37346"/>
    <cellStyle name="표준 11 8 3 2" xfId="37347"/>
    <cellStyle name="표준 11 8 3 3" xfId="37348"/>
    <cellStyle name="표준 11 8 4" xfId="37349"/>
    <cellStyle name="표준 11 8 5" xfId="37350"/>
    <cellStyle name="표준 11 9" xfId="37351"/>
    <cellStyle name="표준 11 9 2" xfId="37352"/>
    <cellStyle name="표준 11 9 2 2" xfId="37353"/>
    <cellStyle name="표준 11 9 2 2 2" xfId="37354"/>
    <cellStyle name="표준 11 9 2 2 3" xfId="37355"/>
    <cellStyle name="표준 11 9 2 3" xfId="37356"/>
    <cellStyle name="표준 11 9 2 4" xfId="37357"/>
    <cellStyle name="표준 11 9 3" xfId="37358"/>
    <cellStyle name="표준 11 9 3 2" xfId="37359"/>
    <cellStyle name="표준 11 9 3 3" xfId="37360"/>
    <cellStyle name="표준 11 9 4" xfId="37361"/>
    <cellStyle name="표준 11 9 5" xfId="37362"/>
    <cellStyle name="표준 110" xfId="37363"/>
    <cellStyle name="표준 111" xfId="37364"/>
    <cellStyle name="표준 112" xfId="37365"/>
    <cellStyle name="표준 113" xfId="37366"/>
    <cellStyle name="표준 114" xfId="37367"/>
    <cellStyle name="표준 115" xfId="37368"/>
    <cellStyle name="표준 116" xfId="37369"/>
    <cellStyle name="표준 117" xfId="37370"/>
    <cellStyle name="표준 118" xfId="37371"/>
    <cellStyle name="표준 119" xfId="37372"/>
    <cellStyle name="표준 12" xfId="37373"/>
    <cellStyle name="표준 12 10" xfId="37374"/>
    <cellStyle name="표준 12 10 2" xfId="37375"/>
    <cellStyle name="표준 12 10 2 2" xfId="37376"/>
    <cellStyle name="표준 12 10 2 3" xfId="37377"/>
    <cellStyle name="표준 12 10 3" xfId="37378"/>
    <cellStyle name="표준 12 10 4" xfId="37379"/>
    <cellStyle name="표준 12 11" xfId="37380"/>
    <cellStyle name="표준 12 11 2" xfId="37381"/>
    <cellStyle name="표준 12 11 3" xfId="37382"/>
    <cellStyle name="표준 12 12" xfId="37383"/>
    <cellStyle name="표준 12 13" xfId="37384"/>
    <cellStyle name="표준 12 14" xfId="37385"/>
    <cellStyle name="표준 12 2" xfId="37386"/>
    <cellStyle name="표준 12 2 10" xfId="37387"/>
    <cellStyle name="표준 12 2 11" xfId="37388"/>
    <cellStyle name="표준 12 2 2" xfId="37389"/>
    <cellStyle name="표준 12 2 2 2" xfId="37390"/>
    <cellStyle name="표준 12 2 2 2 2" xfId="37391"/>
    <cellStyle name="표준 12 2 2 2 2 2" xfId="37392"/>
    <cellStyle name="표준 12 2 2 2 2 2 2" xfId="37393"/>
    <cellStyle name="표준 12 2 2 2 2 2 3" xfId="37394"/>
    <cellStyle name="표준 12 2 2 2 2 3" xfId="37395"/>
    <cellStyle name="표준 12 2 2 2 2 4" xfId="37396"/>
    <cellStyle name="표준 12 2 2 2 3" xfId="37397"/>
    <cellStyle name="표준 12 2 2 2 3 2" xfId="37398"/>
    <cellStyle name="표준 12 2 2 2 3 3" xfId="37399"/>
    <cellStyle name="표준 12 2 2 2 4" xfId="37400"/>
    <cellStyle name="표준 12 2 2 2 5" xfId="37401"/>
    <cellStyle name="표준 12 2 2 3" xfId="37402"/>
    <cellStyle name="표준 12 2 2 3 2" xfId="37403"/>
    <cellStyle name="표준 12 2 2 3 2 2" xfId="37404"/>
    <cellStyle name="표준 12 2 2 3 2 2 2" xfId="37405"/>
    <cellStyle name="표준 12 2 2 3 2 2 3" xfId="37406"/>
    <cellStyle name="표준 12 2 2 3 2 3" xfId="37407"/>
    <cellStyle name="표준 12 2 2 3 2 4" xfId="37408"/>
    <cellStyle name="표준 12 2 2 3 3" xfId="37409"/>
    <cellStyle name="표준 12 2 2 3 3 2" xfId="37410"/>
    <cellStyle name="표준 12 2 2 3 3 3" xfId="37411"/>
    <cellStyle name="표준 12 2 2 3 4" xfId="37412"/>
    <cellStyle name="표준 12 2 2 3 5" xfId="37413"/>
    <cellStyle name="표준 12 2 2 4" xfId="37414"/>
    <cellStyle name="표준 12 2 2 4 2" xfId="37415"/>
    <cellStyle name="표준 12 2 2 4 2 2" xfId="37416"/>
    <cellStyle name="표준 12 2 2 4 2 3" xfId="37417"/>
    <cellStyle name="표준 12 2 2 4 3" xfId="37418"/>
    <cellStyle name="표준 12 2 2 4 4" xfId="37419"/>
    <cellStyle name="표준 12 2 2 5" xfId="37420"/>
    <cellStyle name="표준 12 2 2 5 2" xfId="37421"/>
    <cellStyle name="표준 12 2 2 5 3" xfId="37422"/>
    <cellStyle name="표준 12 2 2 6" xfId="37423"/>
    <cellStyle name="표준 12 2 2 7" xfId="37424"/>
    <cellStyle name="표준 12 2 2 8" xfId="37425"/>
    <cellStyle name="표준 12 2 3" xfId="37426"/>
    <cellStyle name="표준 12 2 3 2" xfId="37427"/>
    <cellStyle name="표준 12 2 3 2 2" xfId="37428"/>
    <cellStyle name="표준 12 2 3 2 2 2" xfId="37429"/>
    <cellStyle name="표준 12 2 3 2 2 2 2" xfId="37430"/>
    <cellStyle name="표준 12 2 3 2 2 2 3" xfId="37431"/>
    <cellStyle name="표준 12 2 3 2 2 3" xfId="37432"/>
    <cellStyle name="표준 12 2 3 2 2 4" xfId="37433"/>
    <cellStyle name="표준 12 2 3 2 3" xfId="37434"/>
    <cellStyle name="표준 12 2 3 2 3 2" xfId="37435"/>
    <cellStyle name="표준 12 2 3 2 3 3" xfId="37436"/>
    <cellStyle name="표준 12 2 3 2 4" xfId="37437"/>
    <cellStyle name="표준 12 2 3 2 5" xfId="37438"/>
    <cellStyle name="표준 12 2 3 3" xfId="37439"/>
    <cellStyle name="표준 12 2 3 3 2" xfId="37440"/>
    <cellStyle name="표준 12 2 3 3 2 2" xfId="37441"/>
    <cellStyle name="표준 12 2 3 3 2 2 2" xfId="37442"/>
    <cellStyle name="표준 12 2 3 3 2 2 3" xfId="37443"/>
    <cellStyle name="표준 12 2 3 3 2 3" xfId="37444"/>
    <cellStyle name="표준 12 2 3 3 2 4" xfId="37445"/>
    <cellStyle name="표준 12 2 3 3 3" xfId="37446"/>
    <cellStyle name="표준 12 2 3 3 3 2" xfId="37447"/>
    <cellStyle name="표준 12 2 3 3 3 3" xfId="37448"/>
    <cellStyle name="표준 12 2 3 3 4" xfId="37449"/>
    <cellStyle name="표준 12 2 3 3 5" xfId="37450"/>
    <cellStyle name="표준 12 2 3 4" xfId="37451"/>
    <cellStyle name="표준 12 2 3 4 2" xfId="37452"/>
    <cellStyle name="표준 12 2 3 4 2 2" xfId="37453"/>
    <cellStyle name="표준 12 2 3 4 2 3" xfId="37454"/>
    <cellStyle name="표준 12 2 3 4 3" xfId="37455"/>
    <cellStyle name="표준 12 2 3 4 4" xfId="37456"/>
    <cellStyle name="표준 12 2 3 5" xfId="37457"/>
    <cellStyle name="표준 12 2 3 5 2" xfId="37458"/>
    <cellStyle name="표준 12 2 3 5 3" xfId="37459"/>
    <cellStyle name="표준 12 2 3 6" xfId="37460"/>
    <cellStyle name="표준 12 2 3 7" xfId="37461"/>
    <cellStyle name="표준 12 2 4" xfId="37462"/>
    <cellStyle name="표준 12 2 4 2" xfId="37463"/>
    <cellStyle name="표준 12 2 4 2 2" xfId="37464"/>
    <cellStyle name="표준 12 2 4 2 2 2" xfId="37465"/>
    <cellStyle name="표준 12 2 4 2 2 3" xfId="37466"/>
    <cellStyle name="표준 12 2 4 2 3" xfId="37467"/>
    <cellStyle name="표준 12 2 4 2 4" xfId="37468"/>
    <cellStyle name="표준 12 2 4 3" xfId="37469"/>
    <cellStyle name="표준 12 2 4 3 2" xfId="37470"/>
    <cellStyle name="표준 12 2 4 3 3" xfId="37471"/>
    <cellStyle name="표준 12 2 4 4" xfId="37472"/>
    <cellStyle name="표준 12 2 4 5" xfId="37473"/>
    <cellStyle name="표준 12 2 5" xfId="37474"/>
    <cellStyle name="표준 12 2 5 2" xfId="37475"/>
    <cellStyle name="표준 12 2 5 2 2" xfId="37476"/>
    <cellStyle name="표준 12 2 5 2 2 2" xfId="37477"/>
    <cellStyle name="표준 12 2 5 2 2 3" xfId="37478"/>
    <cellStyle name="표준 12 2 5 2 3" xfId="37479"/>
    <cellStyle name="표준 12 2 5 2 4" xfId="37480"/>
    <cellStyle name="표준 12 2 5 3" xfId="37481"/>
    <cellStyle name="표준 12 2 5 3 2" xfId="37482"/>
    <cellStyle name="표준 12 2 5 3 3" xfId="37483"/>
    <cellStyle name="표준 12 2 5 4" xfId="37484"/>
    <cellStyle name="표준 12 2 5 5" xfId="37485"/>
    <cellStyle name="표준 12 2 6" xfId="37486"/>
    <cellStyle name="표준 12 2 6 2" xfId="37487"/>
    <cellStyle name="표준 12 2 6 2 2" xfId="37488"/>
    <cellStyle name="표준 12 2 6 2 2 2" xfId="37489"/>
    <cellStyle name="표준 12 2 6 2 2 3" xfId="37490"/>
    <cellStyle name="표준 12 2 6 2 3" xfId="37491"/>
    <cellStyle name="표준 12 2 6 2 4" xfId="37492"/>
    <cellStyle name="표준 12 2 6 3" xfId="37493"/>
    <cellStyle name="표준 12 2 6 3 2" xfId="37494"/>
    <cellStyle name="표준 12 2 6 3 3" xfId="37495"/>
    <cellStyle name="표준 12 2 6 4" xfId="37496"/>
    <cellStyle name="표준 12 2 6 5" xfId="37497"/>
    <cellStyle name="표준 12 2 7" xfId="37498"/>
    <cellStyle name="표준 12 2 7 2" xfId="37499"/>
    <cellStyle name="표준 12 2 7 2 2" xfId="37500"/>
    <cellStyle name="표준 12 2 7 2 3" xfId="37501"/>
    <cellStyle name="표준 12 2 7 3" xfId="37502"/>
    <cellStyle name="표준 12 2 7 4" xfId="37503"/>
    <cellStyle name="표준 12 2 8" xfId="37504"/>
    <cellStyle name="표준 12 2 8 2" xfId="37505"/>
    <cellStyle name="표준 12 2 8 3" xfId="37506"/>
    <cellStyle name="표준 12 2 9" xfId="37507"/>
    <cellStyle name="표준 12 3" xfId="37508"/>
    <cellStyle name="표준 12 3 10" xfId="37509"/>
    <cellStyle name="표준 12 3 11" xfId="37510"/>
    <cellStyle name="표준 12 3 2" xfId="37511"/>
    <cellStyle name="표준 12 3 2 2" xfId="37512"/>
    <cellStyle name="표준 12 3 2 2 2" xfId="37513"/>
    <cellStyle name="표준 12 3 2 2 2 2" xfId="37514"/>
    <cellStyle name="표준 12 3 2 2 2 2 2" xfId="37515"/>
    <cellStyle name="표준 12 3 2 2 2 2 3" xfId="37516"/>
    <cellStyle name="표준 12 3 2 2 2 3" xfId="37517"/>
    <cellStyle name="표준 12 3 2 2 2 4" xfId="37518"/>
    <cellStyle name="표준 12 3 2 2 3" xfId="37519"/>
    <cellStyle name="표준 12 3 2 2 3 2" xfId="37520"/>
    <cellStyle name="표준 12 3 2 2 3 3" xfId="37521"/>
    <cellStyle name="표준 12 3 2 2 4" xfId="37522"/>
    <cellStyle name="표준 12 3 2 2 5" xfId="37523"/>
    <cellStyle name="표준 12 3 2 3" xfId="37524"/>
    <cellStyle name="표준 12 3 2 3 2" xfId="37525"/>
    <cellStyle name="표준 12 3 2 3 2 2" xfId="37526"/>
    <cellStyle name="표준 12 3 2 3 2 2 2" xfId="37527"/>
    <cellStyle name="표준 12 3 2 3 2 2 3" xfId="37528"/>
    <cellStyle name="표준 12 3 2 3 2 3" xfId="37529"/>
    <cellStyle name="표준 12 3 2 3 2 4" xfId="37530"/>
    <cellStyle name="표준 12 3 2 3 3" xfId="37531"/>
    <cellStyle name="표준 12 3 2 3 3 2" xfId="37532"/>
    <cellStyle name="표준 12 3 2 3 3 3" xfId="37533"/>
    <cellStyle name="표준 12 3 2 3 4" xfId="37534"/>
    <cellStyle name="표준 12 3 2 3 5" xfId="37535"/>
    <cellStyle name="표준 12 3 2 4" xfId="37536"/>
    <cellStyle name="표준 12 3 2 4 2" xfId="37537"/>
    <cellStyle name="표준 12 3 2 4 2 2" xfId="37538"/>
    <cellStyle name="표준 12 3 2 4 2 3" xfId="37539"/>
    <cellStyle name="표준 12 3 2 4 3" xfId="37540"/>
    <cellStyle name="표준 12 3 2 4 4" xfId="37541"/>
    <cellStyle name="표준 12 3 2 5" xfId="37542"/>
    <cellStyle name="표준 12 3 2 5 2" xfId="37543"/>
    <cellStyle name="표준 12 3 2 5 3" xfId="37544"/>
    <cellStyle name="표준 12 3 2 6" xfId="37545"/>
    <cellStyle name="표준 12 3 2 7" xfId="37546"/>
    <cellStyle name="표준 12 3 3" xfId="37547"/>
    <cellStyle name="표준 12 3 3 2" xfId="37548"/>
    <cellStyle name="표준 12 3 3 2 2" xfId="37549"/>
    <cellStyle name="표준 12 3 3 2 2 2" xfId="37550"/>
    <cellStyle name="표준 12 3 3 2 2 2 2" xfId="37551"/>
    <cellStyle name="표준 12 3 3 2 2 2 3" xfId="37552"/>
    <cellStyle name="표준 12 3 3 2 2 3" xfId="37553"/>
    <cellStyle name="표준 12 3 3 2 2 4" xfId="37554"/>
    <cellStyle name="표준 12 3 3 2 3" xfId="37555"/>
    <cellStyle name="표준 12 3 3 2 3 2" xfId="37556"/>
    <cellStyle name="표준 12 3 3 2 3 3" xfId="37557"/>
    <cellStyle name="표준 12 3 3 2 4" xfId="37558"/>
    <cellStyle name="표준 12 3 3 2 5" xfId="37559"/>
    <cellStyle name="표준 12 3 3 3" xfId="37560"/>
    <cellStyle name="표준 12 3 3 3 2" xfId="37561"/>
    <cellStyle name="표준 12 3 3 3 2 2" xfId="37562"/>
    <cellStyle name="표준 12 3 3 3 2 2 2" xfId="37563"/>
    <cellStyle name="표준 12 3 3 3 2 2 3" xfId="37564"/>
    <cellStyle name="표준 12 3 3 3 2 3" xfId="37565"/>
    <cellStyle name="표준 12 3 3 3 2 4" xfId="37566"/>
    <cellStyle name="표준 12 3 3 3 3" xfId="37567"/>
    <cellStyle name="표준 12 3 3 3 3 2" xfId="37568"/>
    <cellStyle name="표준 12 3 3 3 3 3" xfId="37569"/>
    <cellStyle name="표준 12 3 3 3 4" xfId="37570"/>
    <cellStyle name="표준 12 3 3 3 5" xfId="37571"/>
    <cellStyle name="표준 12 3 3 4" xfId="37572"/>
    <cellStyle name="표준 12 3 3 4 2" xfId="37573"/>
    <cellStyle name="표준 12 3 3 4 2 2" xfId="37574"/>
    <cellStyle name="표준 12 3 3 4 2 3" xfId="37575"/>
    <cellStyle name="표준 12 3 3 4 3" xfId="37576"/>
    <cellStyle name="표준 12 3 3 4 4" xfId="37577"/>
    <cellStyle name="표준 12 3 3 5" xfId="37578"/>
    <cellStyle name="표준 12 3 3 5 2" xfId="37579"/>
    <cellStyle name="표준 12 3 3 5 3" xfId="37580"/>
    <cellStyle name="표준 12 3 3 6" xfId="37581"/>
    <cellStyle name="표준 12 3 3 7" xfId="37582"/>
    <cellStyle name="표준 12 3 4" xfId="37583"/>
    <cellStyle name="표준 12 3 4 2" xfId="37584"/>
    <cellStyle name="표준 12 3 4 2 2" xfId="37585"/>
    <cellStyle name="표준 12 3 4 2 2 2" xfId="37586"/>
    <cellStyle name="표준 12 3 4 2 2 3" xfId="37587"/>
    <cellStyle name="표준 12 3 4 2 3" xfId="37588"/>
    <cellStyle name="표준 12 3 4 2 4" xfId="37589"/>
    <cellStyle name="표준 12 3 4 3" xfId="37590"/>
    <cellStyle name="표준 12 3 4 3 2" xfId="37591"/>
    <cellStyle name="표준 12 3 4 3 3" xfId="37592"/>
    <cellStyle name="표준 12 3 4 4" xfId="37593"/>
    <cellStyle name="표준 12 3 4 5" xfId="37594"/>
    <cellStyle name="표준 12 3 5" xfId="37595"/>
    <cellStyle name="표준 12 3 5 2" xfId="37596"/>
    <cellStyle name="표준 12 3 5 2 2" xfId="37597"/>
    <cellStyle name="표준 12 3 5 2 2 2" xfId="37598"/>
    <cellStyle name="표준 12 3 5 2 2 3" xfId="37599"/>
    <cellStyle name="표준 12 3 5 2 3" xfId="37600"/>
    <cellStyle name="표준 12 3 5 2 4" xfId="37601"/>
    <cellStyle name="표준 12 3 5 3" xfId="37602"/>
    <cellStyle name="표준 12 3 5 3 2" xfId="37603"/>
    <cellStyle name="표준 12 3 5 3 3" xfId="37604"/>
    <cellStyle name="표준 12 3 5 4" xfId="37605"/>
    <cellStyle name="표준 12 3 5 5" xfId="37606"/>
    <cellStyle name="표준 12 3 6" xfId="37607"/>
    <cellStyle name="표준 12 3 6 2" xfId="37608"/>
    <cellStyle name="표준 12 3 6 2 2" xfId="37609"/>
    <cellStyle name="표준 12 3 6 2 2 2" xfId="37610"/>
    <cellStyle name="표준 12 3 6 2 2 3" xfId="37611"/>
    <cellStyle name="표준 12 3 6 2 3" xfId="37612"/>
    <cellStyle name="표준 12 3 6 2 4" xfId="37613"/>
    <cellStyle name="표준 12 3 6 3" xfId="37614"/>
    <cellStyle name="표준 12 3 6 3 2" xfId="37615"/>
    <cellStyle name="표준 12 3 6 3 3" xfId="37616"/>
    <cellStyle name="표준 12 3 6 4" xfId="37617"/>
    <cellStyle name="표준 12 3 6 5" xfId="37618"/>
    <cellStyle name="표준 12 3 7" xfId="37619"/>
    <cellStyle name="표준 12 3 7 2" xfId="37620"/>
    <cellStyle name="표준 12 3 7 2 2" xfId="37621"/>
    <cellStyle name="표준 12 3 7 2 3" xfId="37622"/>
    <cellStyle name="표준 12 3 7 3" xfId="37623"/>
    <cellStyle name="표준 12 3 7 4" xfId="37624"/>
    <cellStyle name="표준 12 3 8" xfId="37625"/>
    <cellStyle name="표준 12 3 8 2" xfId="37626"/>
    <cellStyle name="표준 12 3 8 3" xfId="37627"/>
    <cellStyle name="표준 12 3 9" xfId="37628"/>
    <cellStyle name="표준 12 4" xfId="37629"/>
    <cellStyle name="표준 12 4 10" xfId="37630"/>
    <cellStyle name="표준 12 4 11" xfId="37631"/>
    <cellStyle name="표준 12 4 2" xfId="37632"/>
    <cellStyle name="표준 12 4 2 2" xfId="37633"/>
    <cellStyle name="표준 12 4 2 2 2" xfId="37634"/>
    <cellStyle name="표준 12 4 2 2 2 2" xfId="37635"/>
    <cellStyle name="표준 12 4 2 2 2 2 2" xfId="37636"/>
    <cellStyle name="표준 12 4 2 2 2 2 3" xfId="37637"/>
    <cellStyle name="표준 12 4 2 2 2 3" xfId="37638"/>
    <cellStyle name="표준 12 4 2 2 2 4" xfId="37639"/>
    <cellStyle name="표준 12 4 2 2 3" xfId="37640"/>
    <cellStyle name="표준 12 4 2 2 3 2" xfId="37641"/>
    <cellStyle name="표준 12 4 2 2 3 3" xfId="37642"/>
    <cellStyle name="표준 12 4 2 2 4" xfId="37643"/>
    <cellStyle name="표준 12 4 2 2 5" xfId="37644"/>
    <cellStyle name="표준 12 4 2 3" xfId="37645"/>
    <cellStyle name="표준 12 4 2 3 2" xfId="37646"/>
    <cellStyle name="표준 12 4 2 3 2 2" xfId="37647"/>
    <cellStyle name="표준 12 4 2 3 2 2 2" xfId="37648"/>
    <cellStyle name="표준 12 4 2 3 2 2 3" xfId="37649"/>
    <cellStyle name="표준 12 4 2 3 2 3" xfId="37650"/>
    <cellStyle name="표준 12 4 2 3 2 4" xfId="37651"/>
    <cellStyle name="표준 12 4 2 3 3" xfId="37652"/>
    <cellStyle name="표준 12 4 2 3 3 2" xfId="37653"/>
    <cellStyle name="표준 12 4 2 3 3 3" xfId="37654"/>
    <cellStyle name="표준 12 4 2 3 4" xfId="37655"/>
    <cellStyle name="표준 12 4 2 3 5" xfId="37656"/>
    <cellStyle name="표준 12 4 2 4" xfId="37657"/>
    <cellStyle name="표준 12 4 2 4 2" xfId="37658"/>
    <cellStyle name="표준 12 4 2 4 2 2" xfId="37659"/>
    <cellStyle name="표준 12 4 2 4 2 3" xfId="37660"/>
    <cellStyle name="표준 12 4 2 4 3" xfId="37661"/>
    <cellStyle name="표준 12 4 2 4 4" xfId="37662"/>
    <cellStyle name="표준 12 4 2 5" xfId="37663"/>
    <cellStyle name="표준 12 4 2 5 2" xfId="37664"/>
    <cellStyle name="표준 12 4 2 5 3" xfId="37665"/>
    <cellStyle name="표준 12 4 2 6" xfId="37666"/>
    <cellStyle name="표준 12 4 2 7" xfId="37667"/>
    <cellStyle name="표준 12 4 3" xfId="37668"/>
    <cellStyle name="표준 12 4 3 2" xfId="37669"/>
    <cellStyle name="표준 12 4 3 2 2" xfId="37670"/>
    <cellStyle name="표준 12 4 3 2 2 2" xfId="37671"/>
    <cellStyle name="표준 12 4 3 2 2 2 2" xfId="37672"/>
    <cellStyle name="표준 12 4 3 2 2 2 3" xfId="37673"/>
    <cellStyle name="표준 12 4 3 2 2 3" xfId="37674"/>
    <cellStyle name="표준 12 4 3 2 2 4" xfId="37675"/>
    <cellStyle name="표준 12 4 3 2 3" xfId="37676"/>
    <cellStyle name="표준 12 4 3 2 3 2" xfId="37677"/>
    <cellStyle name="표준 12 4 3 2 3 3" xfId="37678"/>
    <cellStyle name="표준 12 4 3 2 4" xfId="37679"/>
    <cellStyle name="표준 12 4 3 2 5" xfId="37680"/>
    <cellStyle name="표준 12 4 3 3" xfId="37681"/>
    <cellStyle name="표준 12 4 3 3 2" xfId="37682"/>
    <cellStyle name="표준 12 4 3 3 2 2" xfId="37683"/>
    <cellStyle name="표준 12 4 3 3 2 2 2" xfId="37684"/>
    <cellStyle name="표준 12 4 3 3 2 2 3" xfId="37685"/>
    <cellStyle name="표준 12 4 3 3 2 3" xfId="37686"/>
    <cellStyle name="표준 12 4 3 3 2 4" xfId="37687"/>
    <cellStyle name="표준 12 4 3 3 3" xfId="37688"/>
    <cellStyle name="표준 12 4 3 3 3 2" xfId="37689"/>
    <cellStyle name="표준 12 4 3 3 3 3" xfId="37690"/>
    <cellStyle name="표준 12 4 3 3 4" xfId="37691"/>
    <cellStyle name="표준 12 4 3 3 5" xfId="37692"/>
    <cellStyle name="표준 12 4 3 4" xfId="37693"/>
    <cellStyle name="표준 12 4 3 4 2" xfId="37694"/>
    <cellStyle name="표준 12 4 3 4 2 2" xfId="37695"/>
    <cellStyle name="표준 12 4 3 4 2 3" xfId="37696"/>
    <cellStyle name="표준 12 4 3 4 3" xfId="37697"/>
    <cellStyle name="표준 12 4 3 4 4" xfId="37698"/>
    <cellStyle name="표준 12 4 3 5" xfId="37699"/>
    <cellStyle name="표준 12 4 3 5 2" xfId="37700"/>
    <cellStyle name="표준 12 4 3 5 3" xfId="37701"/>
    <cellStyle name="표준 12 4 3 6" xfId="37702"/>
    <cellStyle name="표준 12 4 3 7" xfId="37703"/>
    <cellStyle name="표준 12 4 4" xfId="37704"/>
    <cellStyle name="표준 12 4 4 2" xfId="37705"/>
    <cellStyle name="표준 12 4 4 2 2" xfId="37706"/>
    <cellStyle name="표준 12 4 4 2 2 2" xfId="37707"/>
    <cellStyle name="표준 12 4 4 2 2 3" xfId="37708"/>
    <cellStyle name="표준 12 4 4 2 3" xfId="37709"/>
    <cellStyle name="표준 12 4 4 2 4" xfId="37710"/>
    <cellStyle name="표준 12 4 4 3" xfId="37711"/>
    <cellStyle name="표준 12 4 4 3 2" xfId="37712"/>
    <cellStyle name="표준 12 4 4 3 3" xfId="37713"/>
    <cellStyle name="표준 12 4 4 4" xfId="37714"/>
    <cellStyle name="표준 12 4 4 5" xfId="37715"/>
    <cellStyle name="표준 12 4 5" xfId="37716"/>
    <cellStyle name="표준 12 4 5 2" xfId="37717"/>
    <cellStyle name="표준 12 4 5 2 2" xfId="37718"/>
    <cellStyle name="표준 12 4 5 2 2 2" xfId="37719"/>
    <cellStyle name="표준 12 4 5 2 2 3" xfId="37720"/>
    <cellStyle name="표준 12 4 5 2 3" xfId="37721"/>
    <cellStyle name="표준 12 4 5 2 4" xfId="37722"/>
    <cellStyle name="표준 12 4 5 3" xfId="37723"/>
    <cellStyle name="표준 12 4 5 3 2" xfId="37724"/>
    <cellStyle name="표준 12 4 5 3 3" xfId="37725"/>
    <cellStyle name="표준 12 4 5 4" xfId="37726"/>
    <cellStyle name="표준 12 4 5 5" xfId="37727"/>
    <cellStyle name="표준 12 4 6" xfId="37728"/>
    <cellStyle name="표준 12 4 6 2" xfId="37729"/>
    <cellStyle name="표준 12 4 6 2 2" xfId="37730"/>
    <cellStyle name="표준 12 4 6 2 2 2" xfId="37731"/>
    <cellStyle name="표준 12 4 6 2 2 3" xfId="37732"/>
    <cellStyle name="표준 12 4 6 2 3" xfId="37733"/>
    <cellStyle name="표준 12 4 6 2 4" xfId="37734"/>
    <cellStyle name="표준 12 4 6 3" xfId="37735"/>
    <cellStyle name="표준 12 4 6 3 2" xfId="37736"/>
    <cellStyle name="표준 12 4 6 3 3" xfId="37737"/>
    <cellStyle name="표준 12 4 6 4" xfId="37738"/>
    <cellStyle name="표준 12 4 6 5" xfId="37739"/>
    <cellStyle name="표준 12 4 7" xfId="37740"/>
    <cellStyle name="표준 12 4 7 2" xfId="37741"/>
    <cellStyle name="표준 12 4 7 2 2" xfId="37742"/>
    <cellStyle name="표준 12 4 7 2 3" xfId="37743"/>
    <cellStyle name="표준 12 4 7 3" xfId="37744"/>
    <cellStyle name="표준 12 4 7 4" xfId="37745"/>
    <cellStyle name="표준 12 4 8" xfId="37746"/>
    <cellStyle name="표준 12 4 8 2" xfId="37747"/>
    <cellStyle name="표준 12 4 8 3" xfId="37748"/>
    <cellStyle name="표준 12 4 9" xfId="37749"/>
    <cellStyle name="표준 12 5" xfId="37750"/>
    <cellStyle name="표준 12 5 2" xfId="37751"/>
    <cellStyle name="표준 12 5 2 2" xfId="37752"/>
    <cellStyle name="표준 12 5 2 2 2" xfId="37753"/>
    <cellStyle name="표준 12 5 2 2 2 2" xfId="37754"/>
    <cellStyle name="표준 12 5 2 2 2 3" xfId="37755"/>
    <cellStyle name="표준 12 5 2 2 3" xfId="37756"/>
    <cellStyle name="표준 12 5 2 2 4" xfId="37757"/>
    <cellStyle name="표준 12 5 2 3" xfId="37758"/>
    <cellStyle name="표준 12 5 2 3 2" xfId="37759"/>
    <cellStyle name="표준 12 5 2 3 3" xfId="37760"/>
    <cellStyle name="표준 12 5 2 4" xfId="37761"/>
    <cellStyle name="표준 12 5 2 5" xfId="37762"/>
    <cellStyle name="표준 12 5 3" xfId="37763"/>
    <cellStyle name="표준 12 5 3 2" xfId="37764"/>
    <cellStyle name="표준 12 5 3 2 2" xfId="37765"/>
    <cellStyle name="표준 12 5 3 2 2 2" xfId="37766"/>
    <cellStyle name="표준 12 5 3 2 2 3" xfId="37767"/>
    <cellStyle name="표준 12 5 3 2 3" xfId="37768"/>
    <cellStyle name="표준 12 5 3 2 4" xfId="37769"/>
    <cellStyle name="표준 12 5 3 3" xfId="37770"/>
    <cellStyle name="표준 12 5 3 3 2" xfId="37771"/>
    <cellStyle name="표준 12 5 3 3 3" xfId="37772"/>
    <cellStyle name="표준 12 5 3 4" xfId="37773"/>
    <cellStyle name="표준 12 5 3 5" xfId="37774"/>
    <cellStyle name="표준 12 5 4" xfId="37775"/>
    <cellStyle name="표준 12 5 4 2" xfId="37776"/>
    <cellStyle name="표준 12 5 4 2 2" xfId="37777"/>
    <cellStyle name="표준 12 5 4 2 3" xfId="37778"/>
    <cellStyle name="표준 12 5 4 3" xfId="37779"/>
    <cellStyle name="표준 12 5 4 4" xfId="37780"/>
    <cellStyle name="표준 12 5 5" xfId="37781"/>
    <cellStyle name="표준 12 5 5 2" xfId="37782"/>
    <cellStyle name="표준 12 5 5 3" xfId="37783"/>
    <cellStyle name="표준 12 5 6" xfId="37784"/>
    <cellStyle name="표준 12 5 7" xfId="37785"/>
    <cellStyle name="표준 12 5 8" xfId="37786"/>
    <cellStyle name="표준 12 6" xfId="37787"/>
    <cellStyle name="표준 12 6 2" xfId="37788"/>
    <cellStyle name="표준 12 6 2 2" xfId="37789"/>
    <cellStyle name="표준 12 6 2 2 2" xfId="37790"/>
    <cellStyle name="표준 12 6 2 2 2 2" xfId="37791"/>
    <cellStyle name="표준 12 6 2 2 2 3" xfId="37792"/>
    <cellStyle name="표준 12 6 2 2 3" xfId="37793"/>
    <cellStyle name="표준 12 6 2 2 4" xfId="37794"/>
    <cellStyle name="표준 12 6 2 3" xfId="37795"/>
    <cellStyle name="표준 12 6 2 3 2" xfId="37796"/>
    <cellStyle name="표준 12 6 2 3 3" xfId="37797"/>
    <cellStyle name="표준 12 6 2 4" xfId="37798"/>
    <cellStyle name="표준 12 6 2 5" xfId="37799"/>
    <cellStyle name="표준 12 6 3" xfId="37800"/>
    <cellStyle name="표준 12 6 3 2" xfId="37801"/>
    <cellStyle name="표준 12 6 3 2 2" xfId="37802"/>
    <cellStyle name="표준 12 6 3 2 2 2" xfId="37803"/>
    <cellStyle name="표준 12 6 3 2 2 3" xfId="37804"/>
    <cellStyle name="표준 12 6 3 2 3" xfId="37805"/>
    <cellStyle name="표준 12 6 3 2 4" xfId="37806"/>
    <cellStyle name="표준 12 6 3 3" xfId="37807"/>
    <cellStyle name="표준 12 6 3 3 2" xfId="37808"/>
    <cellStyle name="표준 12 6 3 3 3" xfId="37809"/>
    <cellStyle name="표준 12 6 3 4" xfId="37810"/>
    <cellStyle name="표준 12 6 3 5" xfId="37811"/>
    <cellStyle name="표준 12 6 4" xfId="37812"/>
    <cellStyle name="표준 12 6 4 2" xfId="37813"/>
    <cellStyle name="표준 12 6 4 2 2" xfId="37814"/>
    <cellStyle name="표준 12 6 4 2 3" xfId="37815"/>
    <cellStyle name="표준 12 6 4 3" xfId="37816"/>
    <cellStyle name="표준 12 6 4 4" xfId="37817"/>
    <cellStyle name="표준 12 6 5" xfId="37818"/>
    <cellStyle name="표준 12 6 5 2" xfId="37819"/>
    <cellStyle name="표준 12 6 5 3" xfId="37820"/>
    <cellStyle name="표준 12 6 6" xfId="37821"/>
    <cellStyle name="표준 12 6 7" xfId="37822"/>
    <cellStyle name="표준 12 6 8" xfId="37823"/>
    <cellStyle name="표준 12 7" xfId="37824"/>
    <cellStyle name="표준 12 7 2" xfId="37825"/>
    <cellStyle name="표준 12 7 2 2" xfId="37826"/>
    <cellStyle name="표준 12 7 2 2 2" xfId="37827"/>
    <cellStyle name="표준 12 7 2 2 3" xfId="37828"/>
    <cellStyle name="표준 12 7 2 3" xfId="37829"/>
    <cellStyle name="표준 12 7 2 4" xfId="37830"/>
    <cellStyle name="표준 12 7 3" xfId="37831"/>
    <cellStyle name="표준 12 7 3 2" xfId="37832"/>
    <cellStyle name="표준 12 7 3 3" xfId="37833"/>
    <cellStyle name="표준 12 7 4" xfId="37834"/>
    <cellStyle name="표준 12 7 5" xfId="37835"/>
    <cellStyle name="표준 12 7 6" xfId="37836"/>
    <cellStyle name="표준 12 8" xfId="37837"/>
    <cellStyle name="표준 12 8 2" xfId="37838"/>
    <cellStyle name="표준 12 8 2 2" xfId="37839"/>
    <cellStyle name="표준 12 8 2 2 2" xfId="37840"/>
    <cellStyle name="표준 12 8 2 2 3" xfId="37841"/>
    <cellStyle name="표준 12 8 2 3" xfId="37842"/>
    <cellStyle name="표준 12 8 2 4" xfId="37843"/>
    <cellStyle name="표준 12 8 3" xfId="37844"/>
    <cellStyle name="표준 12 8 3 2" xfId="37845"/>
    <cellStyle name="표준 12 8 3 3" xfId="37846"/>
    <cellStyle name="표준 12 8 4" xfId="37847"/>
    <cellStyle name="표준 12 8 5" xfId="37848"/>
    <cellStyle name="표준 12 9" xfId="37849"/>
    <cellStyle name="표준 12 9 2" xfId="37850"/>
    <cellStyle name="표준 12 9 2 2" xfId="37851"/>
    <cellStyle name="표준 12 9 2 2 2" xfId="37852"/>
    <cellStyle name="표준 12 9 2 2 3" xfId="37853"/>
    <cellStyle name="표준 12 9 2 3" xfId="37854"/>
    <cellStyle name="표준 12 9 2 4" xfId="37855"/>
    <cellStyle name="표준 12 9 3" xfId="37856"/>
    <cellStyle name="표준 12 9 3 2" xfId="37857"/>
    <cellStyle name="표준 12 9 3 3" xfId="37858"/>
    <cellStyle name="표준 12 9 4" xfId="37859"/>
    <cellStyle name="표준 12 9 5" xfId="37860"/>
    <cellStyle name="표준 120" xfId="37861"/>
    <cellStyle name="표준 121" xfId="37862"/>
    <cellStyle name="표준 122" xfId="37863"/>
    <cellStyle name="표준 123" xfId="37864"/>
    <cellStyle name="표준 124" xfId="37865"/>
    <cellStyle name="표준 125" xfId="37866"/>
    <cellStyle name="표준 126" xfId="37867"/>
    <cellStyle name="표준 127" xfId="37868"/>
    <cellStyle name="표준 128" xfId="37869"/>
    <cellStyle name="표준 129" xfId="37870"/>
    <cellStyle name="표준 13" xfId="37871"/>
    <cellStyle name="표준 13 2" xfId="37872"/>
    <cellStyle name="표준 13 2 2" xfId="37873"/>
    <cellStyle name="표준 13 2 2 2" xfId="37874"/>
    <cellStyle name="표준 13 2 2 2 2" xfId="37875"/>
    <cellStyle name="표준 13 2 2 2 3" xfId="37876"/>
    <cellStyle name="표준 13 2 2 3" xfId="37877"/>
    <cellStyle name="표준 13 2 2 4" xfId="37878"/>
    <cellStyle name="표준 13 2 3" xfId="37879"/>
    <cellStyle name="표준 13 2 3 2" xfId="37880"/>
    <cellStyle name="표준 13 2 3 3" xfId="37881"/>
    <cellStyle name="표준 13 2 4" xfId="37882"/>
    <cellStyle name="표준 13 2 5" xfId="37883"/>
    <cellStyle name="표준 13 3" xfId="37884"/>
    <cellStyle name="표준 13 3 2" xfId="37885"/>
    <cellStyle name="표준 13 3 2 2" xfId="37886"/>
    <cellStyle name="표준 13 3 2 2 2" xfId="37887"/>
    <cellStyle name="표준 13 3 2 2 3" xfId="37888"/>
    <cellStyle name="표준 13 3 2 3" xfId="37889"/>
    <cellStyle name="표준 13 3 2 4" xfId="37890"/>
    <cellStyle name="표준 13 3 3" xfId="37891"/>
    <cellStyle name="표준 13 3 3 2" xfId="37892"/>
    <cellStyle name="표준 13 3 3 3" xfId="37893"/>
    <cellStyle name="표준 13 3 4" xfId="37894"/>
    <cellStyle name="표준 13 3 5" xfId="37895"/>
    <cellStyle name="표준 13 4" xfId="37896"/>
    <cellStyle name="표준 13 4 2" xfId="37897"/>
    <cellStyle name="표준 13 4 2 2" xfId="37898"/>
    <cellStyle name="표준 13 4 2 3" xfId="37899"/>
    <cellStyle name="표준 13 4 3" xfId="37900"/>
    <cellStyle name="표준 13 4 4" xfId="37901"/>
    <cellStyle name="표준 13 5" xfId="37902"/>
    <cellStyle name="표준 13 5 2" xfId="37903"/>
    <cellStyle name="표준 13 5 3" xfId="37904"/>
    <cellStyle name="표준 13 6" xfId="37905"/>
    <cellStyle name="표준 13 7" xfId="37906"/>
    <cellStyle name="표준 13 8" xfId="37907"/>
    <cellStyle name="표준 130" xfId="37908"/>
    <cellStyle name="표준 131" xfId="37909"/>
    <cellStyle name="표준 132" xfId="37910"/>
    <cellStyle name="표준 133" xfId="37911"/>
    <cellStyle name="표준 134" xfId="37912"/>
    <cellStyle name="표준 135" xfId="37913"/>
    <cellStyle name="표준 136" xfId="37914"/>
    <cellStyle name="표준 137" xfId="37915"/>
    <cellStyle name="표준 138" xfId="37916"/>
    <cellStyle name="표준 139" xfId="37917"/>
    <cellStyle name="표준 14" xfId="37918"/>
    <cellStyle name="표준 14 2" xfId="37919"/>
    <cellStyle name="표준 14 2 2" xfId="37920"/>
    <cellStyle name="표준 14 2 3" xfId="37921"/>
    <cellStyle name="표준 14 3" xfId="37922"/>
    <cellStyle name="표준 14 4" xfId="37923"/>
    <cellStyle name="표준 14 5" xfId="37924"/>
    <cellStyle name="표준 140" xfId="37925"/>
    <cellStyle name="표준 141" xfId="37926"/>
    <cellStyle name="표준 142" xfId="37927"/>
    <cellStyle name="표준 143" xfId="37928"/>
    <cellStyle name="표준 144" xfId="37929"/>
    <cellStyle name="표준 15" xfId="37930"/>
    <cellStyle name="표준 15 10" xfId="37931"/>
    <cellStyle name="표준 15 11" xfId="37932"/>
    <cellStyle name="표준 15 12" xfId="37933"/>
    <cellStyle name="표준 15 13" xfId="37934"/>
    <cellStyle name="표준 15 14" xfId="37935"/>
    <cellStyle name="표준 15 15" xfId="37936"/>
    <cellStyle name="표준 15 16" xfId="37937"/>
    <cellStyle name="표준 15 17" xfId="37938"/>
    <cellStyle name="표준 15 18" xfId="37939"/>
    <cellStyle name="표준 15 19" xfId="37940"/>
    <cellStyle name="표준 15 2" xfId="37941"/>
    <cellStyle name="표준 15 20" xfId="37942"/>
    <cellStyle name="표준 15 21" xfId="37943"/>
    <cellStyle name="표준 15 22" xfId="37944"/>
    <cellStyle name="표준 15 23" xfId="37945"/>
    <cellStyle name="표준 15 24" xfId="37946"/>
    <cellStyle name="표준 15 25" xfId="37947"/>
    <cellStyle name="표준 15 26" xfId="37948"/>
    <cellStyle name="표준 15 27" xfId="37949"/>
    <cellStyle name="표준 15 28" xfId="37950"/>
    <cellStyle name="표준 15 29" xfId="37951"/>
    <cellStyle name="표준 15 3" xfId="37952"/>
    <cellStyle name="표준 15 30" xfId="37953"/>
    <cellStyle name="표준 15 31" xfId="37954"/>
    <cellStyle name="표준 15 32" xfId="37955"/>
    <cellStyle name="표준 15 33" xfId="37956"/>
    <cellStyle name="표준 15 34" xfId="37957"/>
    <cellStyle name="표준 15 35" xfId="37958"/>
    <cellStyle name="표준 15 36" xfId="37959"/>
    <cellStyle name="표준 15 37" xfId="37960"/>
    <cellStyle name="표준 15 38" xfId="37961"/>
    <cellStyle name="표준 15 39" xfId="37962"/>
    <cellStyle name="표준 15 4" xfId="37963"/>
    <cellStyle name="표준 15 40" xfId="37964"/>
    <cellStyle name="표준 15 5" xfId="37965"/>
    <cellStyle name="표준 15 6" xfId="37966"/>
    <cellStyle name="표준 15 7" xfId="37967"/>
    <cellStyle name="표준 15 8" xfId="37968"/>
    <cellStyle name="표준 15 9" xfId="37969"/>
    <cellStyle name="표준 152" xfId="37970"/>
    <cellStyle name="표준 153" xfId="37971"/>
    <cellStyle name="표준 16" xfId="37972"/>
    <cellStyle name="표준 16 2" xfId="37973"/>
    <cellStyle name="표준 16 3" xfId="37974"/>
    <cellStyle name="표준 17" xfId="37975"/>
    <cellStyle name="표준 17 2" xfId="37976"/>
    <cellStyle name="표준 17 3" xfId="37977"/>
    <cellStyle name="표준 17 4" xfId="37978"/>
    <cellStyle name="표준 18" xfId="37979"/>
    <cellStyle name="표준 18 2" xfId="37980"/>
    <cellStyle name="표준 18 3" xfId="37981"/>
    <cellStyle name="표준 19" xfId="37982"/>
    <cellStyle name="표준 19 2" xfId="37983"/>
    <cellStyle name="표준 19 3" xfId="37984"/>
    <cellStyle name="표준 2" xfId="37985"/>
    <cellStyle name="표준 2 10" xfId="37986"/>
    <cellStyle name="표준 2 10 2" xfId="37987"/>
    <cellStyle name="표준 2 10 3" xfId="37988"/>
    <cellStyle name="표준 2 11" xfId="37989"/>
    <cellStyle name="표준 2 11 2" xfId="37990"/>
    <cellStyle name="표준 2 11 3" xfId="37991"/>
    <cellStyle name="표준 2 12" xfId="37992"/>
    <cellStyle name="표준 2 12 2" xfId="37993"/>
    <cellStyle name="표준 2 13" xfId="37994"/>
    <cellStyle name="표준 2 13 2" xfId="37995"/>
    <cellStyle name="표준 2 14" xfId="37996"/>
    <cellStyle name="표준 2 14 2" xfId="37997"/>
    <cellStyle name="표준 2 15" xfId="37998"/>
    <cellStyle name="표준 2 15 2" xfId="37999"/>
    <cellStyle name="표준 2 16" xfId="38000"/>
    <cellStyle name="표준 2 16 2" xfId="38001"/>
    <cellStyle name="표준 2 17" xfId="38002"/>
    <cellStyle name="표준 2 17 2" xfId="38003"/>
    <cellStyle name="표준 2 18" xfId="38004"/>
    <cellStyle name="표준 2 18 2" xfId="38005"/>
    <cellStyle name="표준 2 19" xfId="38006"/>
    <cellStyle name="표준 2 19 2" xfId="38007"/>
    <cellStyle name="표준 2 2" xfId="38008"/>
    <cellStyle name="표준 2 2 10" xfId="38009"/>
    <cellStyle name="표준 2 2 10 2" xfId="38010"/>
    <cellStyle name="표준 2 2 11" xfId="38011"/>
    <cellStyle name="표준 2 2 11 2" xfId="38012"/>
    <cellStyle name="표준 2 2 12" xfId="38013"/>
    <cellStyle name="표준 2 2 12 2" xfId="38014"/>
    <cellStyle name="표준 2 2 13" xfId="38015"/>
    <cellStyle name="표준 2 2 14" xfId="38016"/>
    <cellStyle name="표준 2 2 15" xfId="38017"/>
    <cellStyle name="표준 2 2 16" xfId="38018"/>
    <cellStyle name="표준 2 2 17" xfId="38019"/>
    <cellStyle name="표준 2 2 18" xfId="38020"/>
    <cellStyle name="표준 2 2 19" xfId="38021"/>
    <cellStyle name="표준 2 2 2" xfId="38022"/>
    <cellStyle name="표준 2 2 2 2" xfId="38023"/>
    <cellStyle name="표준 2 2 2 2 2" xfId="38024"/>
    <cellStyle name="표준 2 2 2 2 2 2" xfId="38025"/>
    <cellStyle name="표준 2 2 2 2 2 2 2" xfId="38026"/>
    <cellStyle name="표준 2 2 2 2 2 2 2 2" xfId="38027"/>
    <cellStyle name="표준 2 2 2 2 2 2 3" xfId="38028"/>
    <cellStyle name="표준 2 2 2 2 2 2 3 2" xfId="38029"/>
    <cellStyle name="표준 2 2 2 2 2 2 4" xfId="38030"/>
    <cellStyle name="표준 2 2 2 2 2 2 4 2" xfId="38031"/>
    <cellStyle name="표준 2 2 2 2 2 2 5" xfId="38032"/>
    <cellStyle name="표준 2 2 2 2 2 3" xfId="38033"/>
    <cellStyle name="표준 2 2 2 2 2 3 2" xfId="38034"/>
    <cellStyle name="표준 2 2 2 2 2 4" xfId="38035"/>
    <cellStyle name="표준 2 2 2 2 3" xfId="38036"/>
    <cellStyle name="표준 2 2 2 2 3 2" xfId="38037"/>
    <cellStyle name="표준 2 2 2 2 4" xfId="38038"/>
    <cellStyle name="표준 2 2 2 2 4 2" xfId="38039"/>
    <cellStyle name="표준 2 2 2 2 5" xfId="38040"/>
    <cellStyle name="표준 2 2 2 2 5 2" xfId="38041"/>
    <cellStyle name="표준 2 2 2 2 6" xfId="38042"/>
    <cellStyle name="표준 2 2 2 2 7" xfId="38043"/>
    <cellStyle name="표준 2 2 2 3" xfId="38044"/>
    <cellStyle name="표준 2 2 2 3 2" xfId="38045"/>
    <cellStyle name="표준 2 2 2 4" xfId="38046"/>
    <cellStyle name="표준 2 2 2 4 2" xfId="38047"/>
    <cellStyle name="표준 2 2 2 4 2 2" xfId="38048"/>
    <cellStyle name="표준 2 2 2 4 3" xfId="38049"/>
    <cellStyle name="표준 2 2 2 4 3 2" xfId="38050"/>
    <cellStyle name="표준 2 2 2 4 4" xfId="38051"/>
    <cellStyle name="표준 2 2 2 4 4 2" xfId="38052"/>
    <cellStyle name="표준 2 2 2 4 5" xfId="38053"/>
    <cellStyle name="표준 2 2 2 5" xfId="38054"/>
    <cellStyle name="표준 2 2 2 5 2" xfId="38055"/>
    <cellStyle name="표준 2 2 2 6" xfId="38056"/>
    <cellStyle name="표준 2 2 2 6 2" xfId="38057"/>
    <cellStyle name="표준 2 2 2 7" xfId="38058"/>
    <cellStyle name="표준 2 2 2 8" xfId="38059"/>
    <cellStyle name="표준 2 2 2 9" xfId="38060"/>
    <cellStyle name="표준 2 2 20" xfId="38061"/>
    <cellStyle name="표준 2 2 21" xfId="38062"/>
    <cellStyle name="표준 2 2 22" xfId="38063"/>
    <cellStyle name="표준 2 2 23" xfId="38064"/>
    <cellStyle name="표준 2 2 24" xfId="38065"/>
    <cellStyle name="표준 2 2 25" xfId="38066"/>
    <cellStyle name="표준 2 2 26" xfId="38067"/>
    <cellStyle name="표준 2 2 27" xfId="38068"/>
    <cellStyle name="표준 2 2 28" xfId="38069"/>
    <cellStyle name="표준 2 2 29" xfId="38070"/>
    <cellStyle name="표준 2 2 3" xfId="38071"/>
    <cellStyle name="표준 2 2 3 2" xfId="38072"/>
    <cellStyle name="표준 2 2 30" xfId="38073"/>
    <cellStyle name="표준 2 2 31" xfId="38074"/>
    <cellStyle name="표준 2 2 32" xfId="38075"/>
    <cellStyle name="표준 2 2 33" xfId="38076"/>
    <cellStyle name="표준 2 2 34" xfId="38077"/>
    <cellStyle name="표준 2 2 35" xfId="38078"/>
    <cellStyle name="표준 2 2 36" xfId="38079"/>
    <cellStyle name="표준 2 2 37" xfId="38080"/>
    <cellStyle name="표준 2 2 38" xfId="38081"/>
    <cellStyle name="표준 2 2 39" xfId="38082"/>
    <cellStyle name="표준 2 2 4" xfId="38083"/>
    <cellStyle name="표준 2 2 4 2" xfId="38084"/>
    <cellStyle name="표준 2 2 40" xfId="38085"/>
    <cellStyle name="표준 2 2 41" xfId="38086"/>
    <cellStyle name="표준 2 2 42" xfId="38087"/>
    <cellStyle name="표준 2 2 5" xfId="38088"/>
    <cellStyle name="표준 2 2 5 2" xfId="38089"/>
    <cellStyle name="표준 2 2 6" xfId="38090"/>
    <cellStyle name="표준 2 2 6 2" xfId="38091"/>
    <cellStyle name="표준 2 2 7" xfId="38092"/>
    <cellStyle name="표준 2 2 7 2" xfId="38093"/>
    <cellStyle name="표준 2 2 8" xfId="38094"/>
    <cellStyle name="표준 2 2 8 2" xfId="38095"/>
    <cellStyle name="표준 2 2 8 2 2" xfId="38096"/>
    <cellStyle name="표준 2 2 8 2 2 2" xfId="38097"/>
    <cellStyle name="표준 2 2 8 2 2 2 2" xfId="38098"/>
    <cellStyle name="표준 2 2 8 2 2 3" xfId="38099"/>
    <cellStyle name="표준 2 2 8 2 2 3 2" xfId="38100"/>
    <cellStyle name="표준 2 2 8 2 2 4" xfId="38101"/>
    <cellStyle name="표준 2 2 8 2 2 4 2" xfId="38102"/>
    <cellStyle name="표준 2 2 8 2 2 5" xfId="38103"/>
    <cellStyle name="표준 2 2 8 2 3" xfId="38104"/>
    <cellStyle name="표준 2 2 8 2 3 2" xfId="38105"/>
    <cellStyle name="표준 2 2 8 2 4" xfId="38106"/>
    <cellStyle name="표준 2 2 8 3" xfId="38107"/>
    <cellStyle name="표준 2 2 8 3 2" xfId="38108"/>
    <cellStyle name="표준 2 2 8 4" xfId="38109"/>
    <cellStyle name="표준 2 2 8 4 2" xfId="38110"/>
    <cellStyle name="표준 2 2 8 5" xfId="38111"/>
    <cellStyle name="표준 2 2 9" xfId="38112"/>
    <cellStyle name="표준 2 2 9 2" xfId="38113"/>
    <cellStyle name="표준 2 2 9 2 2" xfId="38114"/>
    <cellStyle name="표준 2 2 9 3" xfId="38115"/>
    <cellStyle name="표준 2 2 9 3 2" xfId="38116"/>
    <cellStyle name="표준 2 2 9 4" xfId="38117"/>
    <cellStyle name="표준 2 2 9 4 2" xfId="38118"/>
    <cellStyle name="표준 2 2 9 5" xfId="38119"/>
    <cellStyle name="표준 2 20" xfId="38120"/>
    <cellStyle name="표준 2 20 2" xfId="38121"/>
    <cellStyle name="표준 2 21" xfId="38122"/>
    <cellStyle name="표준 2 21 2" xfId="38123"/>
    <cellStyle name="표준 2 22" xfId="38124"/>
    <cellStyle name="표준 2 23" xfId="38125"/>
    <cellStyle name="표준 2 24" xfId="38126"/>
    <cellStyle name="표준 2 25" xfId="38127"/>
    <cellStyle name="표준 2 26" xfId="38128"/>
    <cellStyle name="표준 2 27" xfId="38129"/>
    <cellStyle name="표준 2 28" xfId="38130"/>
    <cellStyle name="표준 2 29" xfId="38131"/>
    <cellStyle name="표준 2 3" xfId="38132"/>
    <cellStyle name="표준 2 3 2" xfId="38133"/>
    <cellStyle name="표준 2 3 2 2" xfId="38134"/>
    <cellStyle name="표준 2 3 2 2 2" xfId="38135"/>
    <cellStyle name="표준 2 3 2 2 2 2" xfId="38136"/>
    <cellStyle name="표준 2 3 2 2 2 2 2" xfId="38137"/>
    <cellStyle name="표준 2 3 2 2 2 3" xfId="38138"/>
    <cellStyle name="표준 2 3 2 2 2 3 2" xfId="38139"/>
    <cellStyle name="표준 2 3 2 2 2 4" xfId="38140"/>
    <cellStyle name="표준 2 3 2 2 2 4 2" xfId="38141"/>
    <cellStyle name="표준 2 3 2 2 2 5" xfId="38142"/>
    <cellStyle name="표준 2 3 2 2 3" xfId="38143"/>
    <cellStyle name="표준 2 3 2 2 3 2" xfId="38144"/>
    <cellStyle name="표준 2 3 2 2 4" xfId="38145"/>
    <cellStyle name="표준 2 3 2 3" xfId="38146"/>
    <cellStyle name="표준 2 3 2 3 2" xfId="38147"/>
    <cellStyle name="표준 2 3 2 4" xfId="38148"/>
    <cellStyle name="표준 2 3 2 4 2" xfId="38149"/>
    <cellStyle name="표준 2 3 2 5" xfId="38150"/>
    <cellStyle name="표준 2 3 2 5 2" xfId="38151"/>
    <cellStyle name="표준 2 3 2 6" xfId="38152"/>
    <cellStyle name="표준 2 3 3" xfId="38153"/>
    <cellStyle name="표준 2 3 3 2" xfId="38154"/>
    <cellStyle name="표준 2 3 4" xfId="38155"/>
    <cellStyle name="표준 2 3 4 2" xfId="38156"/>
    <cellStyle name="표준 2 3 4 2 2" xfId="38157"/>
    <cellStyle name="표준 2 3 4 3" xfId="38158"/>
    <cellStyle name="표준 2 3 4 3 2" xfId="38159"/>
    <cellStyle name="표준 2 3 4 4" xfId="38160"/>
    <cellStyle name="표준 2 3 4 4 2" xfId="38161"/>
    <cellStyle name="표준 2 3 4 5" xfId="38162"/>
    <cellStyle name="표준 2 3 5" xfId="38163"/>
    <cellStyle name="표준 2 3 5 2" xfId="38164"/>
    <cellStyle name="표준 2 3 6" xfId="38165"/>
    <cellStyle name="표준 2 3 6 2" xfId="38166"/>
    <cellStyle name="표준 2 3 7" xfId="38167"/>
    <cellStyle name="표준 2 3 8" xfId="38168"/>
    <cellStyle name="표준 2 3 9" xfId="38169"/>
    <cellStyle name="표준 2 30" xfId="38170"/>
    <cellStyle name="표준 2 31" xfId="38171"/>
    <cellStyle name="표준 2 32" xfId="38172"/>
    <cellStyle name="표준 2 33" xfId="38173"/>
    <cellStyle name="표준 2 34" xfId="38174"/>
    <cellStyle name="표준 2 35" xfId="38175"/>
    <cellStyle name="표준 2 36" xfId="38176"/>
    <cellStyle name="표준 2 37" xfId="38177"/>
    <cellStyle name="표준 2 38" xfId="38178"/>
    <cellStyle name="표준 2 39" xfId="38179"/>
    <cellStyle name="표준 2 4" xfId="38180"/>
    <cellStyle name="표준 2 4 2" xfId="38181"/>
    <cellStyle name="표준 2 4 2 2" xfId="38182"/>
    <cellStyle name="표준 2 4 2 3" xfId="38183"/>
    <cellStyle name="표준 2 4 3" xfId="38184"/>
    <cellStyle name="표준 2 4 4" xfId="38185"/>
    <cellStyle name="표준 2 4 5" xfId="38186"/>
    <cellStyle name="표준 2 40" xfId="38187"/>
    <cellStyle name="표준 2 41" xfId="38188"/>
    <cellStyle name="표준 2 42" xfId="38189"/>
    <cellStyle name="표준 2 43" xfId="38190"/>
    <cellStyle name="표준 2 44" xfId="38191"/>
    <cellStyle name="표준 2 45" xfId="38192"/>
    <cellStyle name="표준 2 46" xfId="38193"/>
    <cellStyle name="표준 2 47" xfId="38194"/>
    <cellStyle name="표준 2 5" xfId="38195"/>
    <cellStyle name="표준 2 5 2" xfId="38196"/>
    <cellStyle name="표준 2 5 2 2" xfId="38197"/>
    <cellStyle name="표준 2 5 2 3" xfId="38198"/>
    <cellStyle name="표준 2 5 3" xfId="38199"/>
    <cellStyle name="표준 2 5 4" xfId="38200"/>
    <cellStyle name="표준 2 5 5" xfId="38201"/>
    <cellStyle name="표준 2 6" xfId="38202"/>
    <cellStyle name="표준 2 6 2" xfId="38203"/>
    <cellStyle name="표준 2 6 2 2" xfId="38204"/>
    <cellStyle name="표준 2 6 3" xfId="38205"/>
    <cellStyle name="표준 2 6 4" xfId="38206"/>
    <cellStyle name="표준 2 7" xfId="38207"/>
    <cellStyle name="표준 2 7 2" xfId="38208"/>
    <cellStyle name="표준 2 7 3" xfId="38209"/>
    <cellStyle name="표준 2 8" xfId="38210"/>
    <cellStyle name="표준 2 8 2" xfId="38211"/>
    <cellStyle name="표준 2 8 2 2" xfId="38212"/>
    <cellStyle name="표준 2 8 2 2 2" xfId="38213"/>
    <cellStyle name="표준 2 8 2 2 2 2" xfId="38214"/>
    <cellStyle name="표준 2 8 2 2 3" xfId="38215"/>
    <cellStyle name="표준 2 8 2 2 3 2" xfId="38216"/>
    <cellStyle name="표준 2 8 2 2 4" xfId="38217"/>
    <cellStyle name="표준 2 8 2 2 4 2" xfId="38218"/>
    <cellStyle name="표준 2 8 2 2 5" xfId="38219"/>
    <cellStyle name="표준 2 8 2 3" xfId="38220"/>
    <cellStyle name="표준 2 8 2 3 2" xfId="38221"/>
    <cellStyle name="표준 2 8 2 4" xfId="38222"/>
    <cellStyle name="표준 2 8 3" xfId="38223"/>
    <cellStyle name="표준 2 8 3 2" xfId="38224"/>
    <cellStyle name="표준 2 8 4" xfId="38225"/>
    <cellStyle name="표준 2 8 4 2" xfId="38226"/>
    <cellStyle name="표준 2 8 5" xfId="38227"/>
    <cellStyle name="표준 2 8 6" xfId="38228"/>
    <cellStyle name="표준 2 9" xfId="38229"/>
    <cellStyle name="표준 2 9 2" xfId="38230"/>
    <cellStyle name="표준 2 9 2 2" xfId="38231"/>
    <cellStyle name="표준 2 9 3" xfId="38232"/>
    <cellStyle name="표준 2 9 3 2" xfId="38233"/>
    <cellStyle name="표준 2 9 4" xfId="38234"/>
    <cellStyle name="표준 2 9 4 2" xfId="38235"/>
    <cellStyle name="표준 2 9 5" xfId="38236"/>
    <cellStyle name="표준 2 9 6" xfId="38237"/>
    <cellStyle name="표준 2_(파워시스템)품질운영_조직인력(110221)_rev1_8845" xfId="38238"/>
    <cellStyle name="표준 20" xfId="38239"/>
    <cellStyle name="표준 20 2" xfId="38240"/>
    <cellStyle name="표준 20 3" xfId="38241"/>
    <cellStyle name="표준 21" xfId="38242"/>
    <cellStyle name="표준 21 2" xfId="38243"/>
    <cellStyle name="표준 21 3" xfId="38244"/>
    <cellStyle name="표준 22" xfId="38245"/>
    <cellStyle name="표준 22 2" xfId="38246"/>
    <cellStyle name="표준 22 3" xfId="38247"/>
    <cellStyle name="표준 23" xfId="38248"/>
    <cellStyle name="표준 23 2" xfId="38249"/>
    <cellStyle name="표준 23 3" xfId="38250"/>
    <cellStyle name="표준 24" xfId="38251"/>
    <cellStyle name="표준 24 2" xfId="38252"/>
    <cellStyle name="표준 24 3" xfId="38253"/>
    <cellStyle name="표준 25" xfId="38254"/>
    <cellStyle name="표준 25 2" xfId="38255"/>
    <cellStyle name="표준 25 2 2" xfId="38256"/>
    <cellStyle name="표준 25 3" xfId="38257"/>
    <cellStyle name="표준 26" xfId="38258"/>
    <cellStyle name="표준 26 2" xfId="38259"/>
    <cellStyle name="표준 26 3" xfId="38260"/>
    <cellStyle name="표준 27" xfId="38261"/>
    <cellStyle name="표준 27 2" xfId="38262"/>
    <cellStyle name="표준 28" xfId="38263"/>
    <cellStyle name="표준 28 2" xfId="38264"/>
    <cellStyle name="표준 29" xfId="38265"/>
    <cellStyle name="표준 29 2" xfId="38266"/>
    <cellStyle name="표준 3" xfId="38267"/>
    <cellStyle name="표준 3 10" xfId="38268"/>
    <cellStyle name="표준 3 10 2" xfId="38269"/>
    <cellStyle name="표준 3 10 2 2" xfId="38270"/>
    <cellStyle name="표준 3 10 2 2 2" xfId="38271"/>
    <cellStyle name="표준 3 10 2 2 2 2" xfId="38272"/>
    <cellStyle name="표준 3 10 2 2 2 3" xfId="38273"/>
    <cellStyle name="표준 3 10 2 2 3" xfId="38274"/>
    <cellStyle name="표준 3 10 2 2 4" xfId="38275"/>
    <cellStyle name="표준 3 10 2 3" xfId="38276"/>
    <cellStyle name="표준 3 10 2 3 2" xfId="38277"/>
    <cellStyle name="표준 3 10 2 3 3" xfId="38278"/>
    <cellStyle name="표준 3 10 2 4" xfId="38279"/>
    <cellStyle name="표준 3 10 2 5" xfId="38280"/>
    <cellStyle name="표준 3 10 3" xfId="38281"/>
    <cellStyle name="표준 3 10 3 2" xfId="38282"/>
    <cellStyle name="표준 3 10 3 2 2" xfId="38283"/>
    <cellStyle name="표준 3 10 3 2 2 2" xfId="38284"/>
    <cellStyle name="표준 3 10 3 2 2 3" xfId="38285"/>
    <cellStyle name="표준 3 10 3 2 3" xfId="38286"/>
    <cellStyle name="표준 3 10 3 2 4" xfId="38287"/>
    <cellStyle name="표준 3 10 3 3" xfId="38288"/>
    <cellStyle name="표준 3 10 3 3 2" xfId="38289"/>
    <cellStyle name="표준 3 10 3 3 3" xfId="38290"/>
    <cellStyle name="표준 3 10 3 4" xfId="38291"/>
    <cellStyle name="표준 3 10 3 5" xfId="38292"/>
    <cellStyle name="표준 3 10 4" xfId="38293"/>
    <cellStyle name="표준 3 10 4 2" xfId="38294"/>
    <cellStyle name="표준 3 10 4 2 2" xfId="38295"/>
    <cellStyle name="표준 3 10 4 2 3" xfId="38296"/>
    <cellStyle name="표준 3 10 4 3" xfId="38297"/>
    <cellStyle name="표준 3 10 4 4" xfId="38298"/>
    <cellStyle name="표준 3 10 5" xfId="38299"/>
    <cellStyle name="표준 3 10 5 2" xfId="38300"/>
    <cellStyle name="표준 3 10 5 3" xfId="38301"/>
    <cellStyle name="표준 3 10 6" xfId="38302"/>
    <cellStyle name="표준 3 10 7" xfId="38303"/>
    <cellStyle name="표준 3 10 8" xfId="38304"/>
    <cellStyle name="표준 3 11" xfId="38305"/>
    <cellStyle name="표준 3 11 2" xfId="38306"/>
    <cellStyle name="표준 3 11 2 2" xfId="38307"/>
    <cellStyle name="표준 3 11 2 2 2" xfId="38308"/>
    <cellStyle name="표준 3 11 2 2 2 2" xfId="38309"/>
    <cellStyle name="표준 3 11 2 2 2 3" xfId="38310"/>
    <cellStyle name="표준 3 11 2 2 3" xfId="38311"/>
    <cellStyle name="표준 3 11 2 2 4" xfId="38312"/>
    <cellStyle name="표준 3 11 2 3" xfId="38313"/>
    <cellStyle name="표준 3 11 2 3 2" xfId="38314"/>
    <cellStyle name="표준 3 11 2 3 3" xfId="38315"/>
    <cellStyle name="표준 3 11 2 4" xfId="38316"/>
    <cellStyle name="표준 3 11 2 5" xfId="38317"/>
    <cellStyle name="표준 3 11 3" xfId="38318"/>
    <cellStyle name="표준 3 11 3 2" xfId="38319"/>
    <cellStyle name="표준 3 11 3 2 2" xfId="38320"/>
    <cellStyle name="표준 3 11 3 2 2 2" xfId="38321"/>
    <cellStyle name="표준 3 11 3 2 2 3" xfId="38322"/>
    <cellStyle name="표준 3 11 3 2 3" xfId="38323"/>
    <cellStyle name="표준 3 11 3 2 4" xfId="38324"/>
    <cellStyle name="표준 3 11 3 3" xfId="38325"/>
    <cellStyle name="표준 3 11 3 3 2" xfId="38326"/>
    <cellStyle name="표준 3 11 3 3 3" xfId="38327"/>
    <cellStyle name="표준 3 11 3 4" xfId="38328"/>
    <cellStyle name="표준 3 11 3 5" xfId="38329"/>
    <cellStyle name="표준 3 11 4" xfId="38330"/>
    <cellStyle name="표준 3 11 4 2" xfId="38331"/>
    <cellStyle name="표준 3 11 4 2 2" xfId="38332"/>
    <cellStyle name="표준 3 11 4 2 3" xfId="38333"/>
    <cellStyle name="표준 3 11 4 3" xfId="38334"/>
    <cellStyle name="표준 3 11 4 4" xfId="38335"/>
    <cellStyle name="표준 3 11 5" xfId="38336"/>
    <cellStyle name="표준 3 11 5 2" xfId="38337"/>
    <cellStyle name="표준 3 11 5 3" xfId="38338"/>
    <cellStyle name="표준 3 11 6" xfId="38339"/>
    <cellStyle name="표준 3 11 7" xfId="38340"/>
    <cellStyle name="표준 3 12" xfId="38341"/>
    <cellStyle name="표준 3 12 2" xfId="38342"/>
    <cellStyle name="표준 3 12 2 2" xfId="38343"/>
    <cellStyle name="표준 3 12 2 2 2" xfId="38344"/>
    <cellStyle name="표준 3 12 2 2 3" xfId="38345"/>
    <cellStyle name="표준 3 12 2 3" xfId="38346"/>
    <cellStyle name="표준 3 12 2 4" xfId="38347"/>
    <cellStyle name="표준 3 12 3" xfId="38348"/>
    <cellStyle name="표준 3 12 3 2" xfId="38349"/>
    <cellStyle name="표준 3 12 3 3" xfId="38350"/>
    <cellStyle name="표준 3 12 4" xfId="38351"/>
    <cellStyle name="표준 3 12 5" xfId="38352"/>
    <cellStyle name="표준 3 13" xfId="38353"/>
    <cellStyle name="표준 3 13 2" xfId="38354"/>
    <cellStyle name="표준 3 13 2 2" xfId="38355"/>
    <cellStyle name="표준 3 13 2 2 2" xfId="38356"/>
    <cellStyle name="표준 3 13 2 2 3" xfId="38357"/>
    <cellStyle name="표준 3 13 2 3" xfId="38358"/>
    <cellStyle name="표준 3 13 2 4" xfId="38359"/>
    <cellStyle name="표준 3 13 3" xfId="38360"/>
    <cellStyle name="표준 3 13 3 2" xfId="38361"/>
    <cellStyle name="표준 3 13 3 3" xfId="38362"/>
    <cellStyle name="표준 3 13 4" xfId="38363"/>
    <cellStyle name="표준 3 13 5" xfId="38364"/>
    <cellStyle name="표준 3 14" xfId="38365"/>
    <cellStyle name="표준 3 14 2" xfId="38366"/>
    <cellStyle name="표준 3 14 2 2" xfId="38367"/>
    <cellStyle name="표준 3 14 2 2 2" xfId="38368"/>
    <cellStyle name="표준 3 14 2 2 3" xfId="38369"/>
    <cellStyle name="표준 3 14 2 3" xfId="38370"/>
    <cellStyle name="표준 3 14 2 4" xfId="38371"/>
    <cellStyle name="표준 3 14 3" xfId="38372"/>
    <cellStyle name="표준 3 14 3 2" xfId="38373"/>
    <cellStyle name="표준 3 14 3 3" xfId="38374"/>
    <cellStyle name="표준 3 14 4" xfId="38375"/>
    <cellStyle name="표준 3 14 5" xfId="38376"/>
    <cellStyle name="표준 3 15" xfId="38377"/>
    <cellStyle name="표준 3 15 2" xfId="38378"/>
    <cellStyle name="표준 3 15 2 2" xfId="38379"/>
    <cellStyle name="표준 3 15 2 3" xfId="38380"/>
    <cellStyle name="표준 3 15 3" xfId="38381"/>
    <cellStyle name="표준 3 15 4" xfId="38382"/>
    <cellStyle name="표준 3 16" xfId="38383"/>
    <cellStyle name="표준 3 16 2" xfId="38384"/>
    <cellStyle name="표준 3 16 3" xfId="38385"/>
    <cellStyle name="표준 3 17" xfId="38386"/>
    <cellStyle name="표준 3 17 2" xfId="38387"/>
    <cellStyle name="표준 3 17 3" xfId="38388"/>
    <cellStyle name="표준 3 18" xfId="38389"/>
    <cellStyle name="표준 3 18 2" xfId="38390"/>
    <cellStyle name="표준 3 18 3" xfId="38391"/>
    <cellStyle name="표준 3 19" xfId="38392"/>
    <cellStyle name="표준 3 2" xfId="38393"/>
    <cellStyle name="표준 3 2 2" xfId="38394"/>
    <cellStyle name="표준 3 2 2 2" xfId="38395"/>
    <cellStyle name="표준 3 2 2 3" xfId="38396"/>
    <cellStyle name="표준 3 2 3" xfId="38397"/>
    <cellStyle name="표준 3 2 4" xfId="38398"/>
    <cellStyle name="표준 3 20" xfId="38399"/>
    <cellStyle name="표준 3 21" xfId="38400"/>
    <cellStyle name="표준 3 22" xfId="38401"/>
    <cellStyle name="표준 3 23" xfId="38402"/>
    <cellStyle name="표준 3 3" xfId="38403"/>
    <cellStyle name="표준 3 3 10" xfId="38404"/>
    <cellStyle name="표준 3 3 10 2" xfId="38405"/>
    <cellStyle name="표준 3 3 10 2 2" xfId="38406"/>
    <cellStyle name="표준 3 3 10 2 2 2" xfId="38407"/>
    <cellStyle name="표준 3 3 10 2 2 3" xfId="38408"/>
    <cellStyle name="표준 3 3 10 2 3" xfId="38409"/>
    <cellStyle name="표준 3 3 10 2 4" xfId="38410"/>
    <cellStyle name="표준 3 3 10 3" xfId="38411"/>
    <cellStyle name="표준 3 3 10 3 2" xfId="38412"/>
    <cellStyle name="표준 3 3 10 3 3" xfId="38413"/>
    <cellStyle name="표준 3 3 10 4" xfId="38414"/>
    <cellStyle name="표준 3 3 10 5" xfId="38415"/>
    <cellStyle name="표준 3 3 11" xfId="38416"/>
    <cellStyle name="표준 3 3 11 2" xfId="38417"/>
    <cellStyle name="표준 3 3 11 2 2" xfId="38418"/>
    <cellStyle name="표준 3 3 11 2 3" xfId="38419"/>
    <cellStyle name="표준 3 3 11 3" xfId="38420"/>
    <cellStyle name="표준 3 3 11 4" xfId="38421"/>
    <cellStyle name="표준 3 3 12" xfId="38422"/>
    <cellStyle name="표준 3 3 12 2" xfId="38423"/>
    <cellStyle name="표준 3 3 12 3" xfId="38424"/>
    <cellStyle name="표준 3 3 13" xfId="38425"/>
    <cellStyle name="표준 3 3 14" xfId="38426"/>
    <cellStyle name="표준 3 3 15" xfId="38427"/>
    <cellStyle name="표준 3 3 16" xfId="38428"/>
    <cellStyle name="표준 3 3 2" xfId="38429"/>
    <cellStyle name="표준 3 3 2 10" xfId="38430"/>
    <cellStyle name="표준 3 3 2 10 2" xfId="38431"/>
    <cellStyle name="표준 3 3 2 10 2 2" xfId="38432"/>
    <cellStyle name="표준 3 3 2 10 2 3" xfId="38433"/>
    <cellStyle name="표준 3 3 2 10 3" xfId="38434"/>
    <cellStyle name="표준 3 3 2 10 4" xfId="38435"/>
    <cellStyle name="표준 3 3 2 11" xfId="38436"/>
    <cellStyle name="표준 3 3 2 11 2" xfId="38437"/>
    <cellStyle name="표준 3 3 2 11 3" xfId="38438"/>
    <cellStyle name="표준 3 3 2 12" xfId="38439"/>
    <cellStyle name="표준 3 3 2 13" xfId="38440"/>
    <cellStyle name="표준 3 3 2 14" xfId="38441"/>
    <cellStyle name="표준 3 3 2 15" xfId="38442"/>
    <cellStyle name="표준 3 3 2 2" xfId="38443"/>
    <cellStyle name="표준 3 3 2 2 10" xfId="38444"/>
    <cellStyle name="표준 3 3 2 2 2" xfId="38445"/>
    <cellStyle name="표준 3 3 2 2 2 2" xfId="38446"/>
    <cellStyle name="표준 3 3 2 2 2 2 2" xfId="38447"/>
    <cellStyle name="표준 3 3 2 2 2 2 2 2" xfId="38448"/>
    <cellStyle name="표준 3 3 2 2 2 2 2 2 2" xfId="38449"/>
    <cellStyle name="표준 3 3 2 2 2 2 2 2 3" xfId="38450"/>
    <cellStyle name="표준 3 3 2 2 2 2 2 3" xfId="38451"/>
    <cellStyle name="표준 3 3 2 2 2 2 2 4" xfId="38452"/>
    <cellStyle name="표준 3 3 2 2 2 2 3" xfId="38453"/>
    <cellStyle name="표준 3 3 2 2 2 2 3 2" xfId="38454"/>
    <cellStyle name="표준 3 3 2 2 2 2 3 3" xfId="38455"/>
    <cellStyle name="표준 3 3 2 2 2 2 4" xfId="38456"/>
    <cellStyle name="표준 3 3 2 2 2 2 5" xfId="38457"/>
    <cellStyle name="표준 3 3 2 2 2 3" xfId="38458"/>
    <cellStyle name="표준 3 3 2 2 2 3 2" xfId="38459"/>
    <cellStyle name="표준 3 3 2 2 2 3 2 2" xfId="38460"/>
    <cellStyle name="표준 3 3 2 2 2 3 2 2 2" xfId="38461"/>
    <cellStyle name="표준 3 3 2 2 2 3 2 2 3" xfId="38462"/>
    <cellStyle name="표준 3 3 2 2 2 3 2 3" xfId="38463"/>
    <cellStyle name="표준 3 3 2 2 2 3 2 4" xfId="38464"/>
    <cellStyle name="표준 3 3 2 2 2 3 3" xfId="38465"/>
    <cellStyle name="표준 3 3 2 2 2 3 3 2" xfId="38466"/>
    <cellStyle name="표준 3 3 2 2 2 3 3 3" xfId="38467"/>
    <cellStyle name="표준 3 3 2 2 2 3 4" xfId="38468"/>
    <cellStyle name="표준 3 3 2 2 2 3 5" xfId="38469"/>
    <cellStyle name="표준 3 3 2 2 2 4" xfId="38470"/>
    <cellStyle name="표준 3 3 2 2 2 4 2" xfId="38471"/>
    <cellStyle name="표준 3 3 2 2 2 4 2 2" xfId="38472"/>
    <cellStyle name="표준 3 3 2 2 2 4 2 3" xfId="38473"/>
    <cellStyle name="표준 3 3 2 2 2 4 3" xfId="38474"/>
    <cellStyle name="표준 3 3 2 2 2 4 4" xfId="38475"/>
    <cellStyle name="표준 3 3 2 2 2 5" xfId="38476"/>
    <cellStyle name="표준 3 3 2 2 2 5 2" xfId="38477"/>
    <cellStyle name="표준 3 3 2 2 2 5 3" xfId="38478"/>
    <cellStyle name="표준 3 3 2 2 2 6" xfId="38479"/>
    <cellStyle name="표준 3 3 2 2 2 7" xfId="38480"/>
    <cellStyle name="표준 3 3 2 2 3" xfId="38481"/>
    <cellStyle name="표준 3 3 2 2 3 2" xfId="38482"/>
    <cellStyle name="표준 3 3 2 2 3 2 2" xfId="38483"/>
    <cellStyle name="표준 3 3 2 2 3 2 2 2" xfId="38484"/>
    <cellStyle name="표준 3 3 2 2 3 2 2 2 2" xfId="38485"/>
    <cellStyle name="표준 3 3 2 2 3 2 2 2 3" xfId="38486"/>
    <cellStyle name="표준 3 3 2 2 3 2 2 3" xfId="38487"/>
    <cellStyle name="표준 3 3 2 2 3 2 2 4" xfId="38488"/>
    <cellStyle name="표준 3 3 2 2 3 2 3" xfId="38489"/>
    <cellStyle name="표준 3 3 2 2 3 2 3 2" xfId="38490"/>
    <cellStyle name="표준 3 3 2 2 3 2 3 3" xfId="38491"/>
    <cellStyle name="표준 3 3 2 2 3 2 4" xfId="38492"/>
    <cellStyle name="표준 3 3 2 2 3 2 5" xfId="38493"/>
    <cellStyle name="표준 3 3 2 2 3 3" xfId="38494"/>
    <cellStyle name="표준 3 3 2 2 3 3 2" xfId="38495"/>
    <cellStyle name="표준 3 3 2 2 3 3 2 2" xfId="38496"/>
    <cellStyle name="표준 3 3 2 2 3 3 2 2 2" xfId="38497"/>
    <cellStyle name="표준 3 3 2 2 3 3 2 2 3" xfId="38498"/>
    <cellStyle name="표준 3 3 2 2 3 3 2 3" xfId="38499"/>
    <cellStyle name="표준 3 3 2 2 3 3 2 4" xfId="38500"/>
    <cellStyle name="표준 3 3 2 2 3 3 3" xfId="38501"/>
    <cellStyle name="표준 3 3 2 2 3 3 3 2" xfId="38502"/>
    <cellStyle name="표준 3 3 2 2 3 3 3 3" xfId="38503"/>
    <cellStyle name="표준 3 3 2 2 3 3 4" xfId="38504"/>
    <cellStyle name="표준 3 3 2 2 3 3 5" xfId="38505"/>
    <cellStyle name="표준 3 3 2 2 3 4" xfId="38506"/>
    <cellStyle name="표준 3 3 2 2 3 4 2" xfId="38507"/>
    <cellStyle name="표준 3 3 2 2 3 4 2 2" xfId="38508"/>
    <cellStyle name="표준 3 3 2 2 3 4 2 3" xfId="38509"/>
    <cellStyle name="표준 3 3 2 2 3 4 3" xfId="38510"/>
    <cellStyle name="표준 3 3 2 2 3 4 4" xfId="38511"/>
    <cellStyle name="표준 3 3 2 2 3 5" xfId="38512"/>
    <cellStyle name="표준 3 3 2 2 3 5 2" xfId="38513"/>
    <cellStyle name="표준 3 3 2 2 3 5 3" xfId="38514"/>
    <cellStyle name="표준 3 3 2 2 3 6" xfId="38515"/>
    <cellStyle name="표준 3 3 2 2 3 7" xfId="38516"/>
    <cellStyle name="표준 3 3 2 2 4" xfId="38517"/>
    <cellStyle name="표준 3 3 2 2 4 2" xfId="38518"/>
    <cellStyle name="표준 3 3 2 2 4 2 2" xfId="38519"/>
    <cellStyle name="표준 3 3 2 2 4 2 2 2" xfId="38520"/>
    <cellStyle name="표준 3 3 2 2 4 2 2 3" xfId="38521"/>
    <cellStyle name="표준 3 3 2 2 4 2 3" xfId="38522"/>
    <cellStyle name="표준 3 3 2 2 4 2 4" xfId="38523"/>
    <cellStyle name="표준 3 3 2 2 4 3" xfId="38524"/>
    <cellStyle name="표준 3 3 2 2 4 3 2" xfId="38525"/>
    <cellStyle name="표준 3 3 2 2 4 3 3" xfId="38526"/>
    <cellStyle name="표준 3 3 2 2 4 4" xfId="38527"/>
    <cellStyle name="표준 3 3 2 2 4 5" xfId="38528"/>
    <cellStyle name="표준 3 3 2 2 5" xfId="38529"/>
    <cellStyle name="표준 3 3 2 2 5 2" xfId="38530"/>
    <cellStyle name="표준 3 3 2 2 5 2 2" xfId="38531"/>
    <cellStyle name="표준 3 3 2 2 5 2 2 2" xfId="38532"/>
    <cellStyle name="표준 3 3 2 2 5 2 2 3" xfId="38533"/>
    <cellStyle name="표준 3 3 2 2 5 2 3" xfId="38534"/>
    <cellStyle name="표준 3 3 2 2 5 2 4" xfId="38535"/>
    <cellStyle name="표준 3 3 2 2 5 3" xfId="38536"/>
    <cellStyle name="표준 3 3 2 2 5 3 2" xfId="38537"/>
    <cellStyle name="표준 3 3 2 2 5 3 3" xfId="38538"/>
    <cellStyle name="표준 3 3 2 2 5 4" xfId="38539"/>
    <cellStyle name="표준 3 3 2 2 5 5" xfId="38540"/>
    <cellStyle name="표준 3 3 2 2 6" xfId="38541"/>
    <cellStyle name="표준 3 3 2 2 6 2" xfId="38542"/>
    <cellStyle name="표준 3 3 2 2 6 2 2" xfId="38543"/>
    <cellStyle name="표준 3 3 2 2 6 2 2 2" xfId="38544"/>
    <cellStyle name="표준 3 3 2 2 6 2 2 3" xfId="38545"/>
    <cellStyle name="표준 3 3 2 2 6 2 3" xfId="38546"/>
    <cellStyle name="표준 3 3 2 2 6 2 4" xfId="38547"/>
    <cellStyle name="표준 3 3 2 2 6 3" xfId="38548"/>
    <cellStyle name="표준 3 3 2 2 6 3 2" xfId="38549"/>
    <cellStyle name="표준 3 3 2 2 6 3 3" xfId="38550"/>
    <cellStyle name="표준 3 3 2 2 6 4" xfId="38551"/>
    <cellStyle name="표준 3 3 2 2 6 5" xfId="38552"/>
    <cellStyle name="표준 3 3 2 2 7" xfId="38553"/>
    <cellStyle name="표준 3 3 2 2 7 2" xfId="38554"/>
    <cellStyle name="표준 3 3 2 2 7 2 2" xfId="38555"/>
    <cellStyle name="표준 3 3 2 2 7 2 3" xfId="38556"/>
    <cellStyle name="표준 3 3 2 2 7 3" xfId="38557"/>
    <cellStyle name="표준 3 3 2 2 7 4" xfId="38558"/>
    <cellStyle name="표준 3 3 2 2 8" xfId="38559"/>
    <cellStyle name="표준 3 3 2 2 8 2" xfId="38560"/>
    <cellStyle name="표준 3 3 2 2 8 3" xfId="38561"/>
    <cellStyle name="표준 3 3 2 2 9" xfId="38562"/>
    <cellStyle name="표준 3 3 2 3" xfId="38563"/>
    <cellStyle name="표준 3 3 2 3 10" xfId="38564"/>
    <cellStyle name="표준 3 3 2 3 2" xfId="38565"/>
    <cellStyle name="표준 3 3 2 3 2 2" xfId="38566"/>
    <cellStyle name="표준 3 3 2 3 2 2 2" xfId="38567"/>
    <cellStyle name="표준 3 3 2 3 2 2 2 2" xfId="38568"/>
    <cellStyle name="표준 3 3 2 3 2 2 2 2 2" xfId="38569"/>
    <cellStyle name="표준 3 3 2 3 2 2 2 2 3" xfId="38570"/>
    <cellStyle name="표준 3 3 2 3 2 2 2 3" xfId="38571"/>
    <cellStyle name="표준 3 3 2 3 2 2 2 4" xfId="38572"/>
    <cellStyle name="표준 3 3 2 3 2 2 3" xfId="38573"/>
    <cellStyle name="표준 3 3 2 3 2 2 3 2" xfId="38574"/>
    <cellStyle name="표준 3 3 2 3 2 2 3 3" xfId="38575"/>
    <cellStyle name="표준 3 3 2 3 2 2 4" xfId="38576"/>
    <cellStyle name="표준 3 3 2 3 2 2 5" xfId="38577"/>
    <cellStyle name="표준 3 3 2 3 2 3" xfId="38578"/>
    <cellStyle name="표준 3 3 2 3 2 3 2" xfId="38579"/>
    <cellStyle name="표준 3 3 2 3 2 3 2 2" xfId="38580"/>
    <cellStyle name="표준 3 3 2 3 2 3 2 2 2" xfId="38581"/>
    <cellStyle name="표준 3 3 2 3 2 3 2 2 3" xfId="38582"/>
    <cellStyle name="표준 3 3 2 3 2 3 2 3" xfId="38583"/>
    <cellStyle name="표준 3 3 2 3 2 3 2 4" xfId="38584"/>
    <cellStyle name="표준 3 3 2 3 2 3 3" xfId="38585"/>
    <cellStyle name="표준 3 3 2 3 2 3 3 2" xfId="38586"/>
    <cellStyle name="표준 3 3 2 3 2 3 3 3" xfId="38587"/>
    <cellStyle name="표준 3 3 2 3 2 3 4" xfId="38588"/>
    <cellStyle name="표준 3 3 2 3 2 3 5" xfId="38589"/>
    <cellStyle name="표준 3 3 2 3 2 4" xfId="38590"/>
    <cellStyle name="표준 3 3 2 3 2 4 2" xfId="38591"/>
    <cellStyle name="표준 3 3 2 3 2 4 2 2" xfId="38592"/>
    <cellStyle name="표준 3 3 2 3 2 4 2 3" xfId="38593"/>
    <cellStyle name="표준 3 3 2 3 2 4 3" xfId="38594"/>
    <cellStyle name="표준 3 3 2 3 2 4 4" xfId="38595"/>
    <cellStyle name="표준 3 3 2 3 2 5" xfId="38596"/>
    <cellStyle name="표준 3 3 2 3 2 5 2" xfId="38597"/>
    <cellStyle name="표준 3 3 2 3 2 5 3" xfId="38598"/>
    <cellStyle name="표준 3 3 2 3 2 6" xfId="38599"/>
    <cellStyle name="표준 3 3 2 3 2 7" xfId="38600"/>
    <cellStyle name="표준 3 3 2 3 3" xfId="38601"/>
    <cellStyle name="표준 3 3 2 3 3 2" xfId="38602"/>
    <cellStyle name="표준 3 3 2 3 3 2 2" xfId="38603"/>
    <cellStyle name="표준 3 3 2 3 3 2 2 2" xfId="38604"/>
    <cellStyle name="표준 3 3 2 3 3 2 2 2 2" xfId="38605"/>
    <cellStyle name="표준 3 3 2 3 3 2 2 2 3" xfId="38606"/>
    <cellStyle name="표준 3 3 2 3 3 2 2 3" xfId="38607"/>
    <cellStyle name="표준 3 3 2 3 3 2 2 4" xfId="38608"/>
    <cellStyle name="표준 3 3 2 3 3 2 3" xfId="38609"/>
    <cellStyle name="표준 3 3 2 3 3 2 3 2" xfId="38610"/>
    <cellStyle name="표준 3 3 2 3 3 2 3 3" xfId="38611"/>
    <cellStyle name="표준 3 3 2 3 3 2 4" xfId="38612"/>
    <cellStyle name="표준 3 3 2 3 3 2 5" xfId="38613"/>
    <cellStyle name="표준 3 3 2 3 3 3" xfId="38614"/>
    <cellStyle name="표준 3 3 2 3 3 3 2" xfId="38615"/>
    <cellStyle name="표준 3 3 2 3 3 3 2 2" xfId="38616"/>
    <cellStyle name="표준 3 3 2 3 3 3 2 2 2" xfId="38617"/>
    <cellStyle name="표준 3 3 2 3 3 3 2 2 3" xfId="38618"/>
    <cellStyle name="표준 3 3 2 3 3 3 2 3" xfId="38619"/>
    <cellStyle name="표준 3 3 2 3 3 3 2 4" xfId="38620"/>
    <cellStyle name="표준 3 3 2 3 3 3 3" xfId="38621"/>
    <cellStyle name="표준 3 3 2 3 3 3 3 2" xfId="38622"/>
    <cellStyle name="표준 3 3 2 3 3 3 3 3" xfId="38623"/>
    <cellStyle name="표준 3 3 2 3 3 3 4" xfId="38624"/>
    <cellStyle name="표준 3 3 2 3 3 3 5" xfId="38625"/>
    <cellStyle name="표준 3 3 2 3 3 4" xfId="38626"/>
    <cellStyle name="표준 3 3 2 3 3 4 2" xfId="38627"/>
    <cellStyle name="표준 3 3 2 3 3 4 2 2" xfId="38628"/>
    <cellStyle name="표준 3 3 2 3 3 4 2 3" xfId="38629"/>
    <cellStyle name="표준 3 3 2 3 3 4 3" xfId="38630"/>
    <cellStyle name="표준 3 3 2 3 3 4 4" xfId="38631"/>
    <cellStyle name="표준 3 3 2 3 3 5" xfId="38632"/>
    <cellStyle name="표준 3 3 2 3 3 5 2" xfId="38633"/>
    <cellStyle name="표준 3 3 2 3 3 5 3" xfId="38634"/>
    <cellStyle name="표준 3 3 2 3 3 6" xfId="38635"/>
    <cellStyle name="표준 3 3 2 3 3 7" xfId="38636"/>
    <cellStyle name="표준 3 3 2 3 4" xfId="38637"/>
    <cellStyle name="표준 3 3 2 3 4 2" xfId="38638"/>
    <cellStyle name="표준 3 3 2 3 4 2 2" xfId="38639"/>
    <cellStyle name="표준 3 3 2 3 4 2 2 2" xfId="38640"/>
    <cellStyle name="표준 3 3 2 3 4 2 2 3" xfId="38641"/>
    <cellStyle name="표준 3 3 2 3 4 2 3" xfId="38642"/>
    <cellStyle name="표준 3 3 2 3 4 2 4" xfId="38643"/>
    <cellStyle name="표준 3 3 2 3 4 3" xfId="38644"/>
    <cellStyle name="표준 3 3 2 3 4 3 2" xfId="38645"/>
    <cellStyle name="표준 3 3 2 3 4 3 3" xfId="38646"/>
    <cellStyle name="표준 3 3 2 3 4 4" xfId="38647"/>
    <cellStyle name="표준 3 3 2 3 4 5" xfId="38648"/>
    <cellStyle name="표준 3 3 2 3 5" xfId="38649"/>
    <cellStyle name="표준 3 3 2 3 5 2" xfId="38650"/>
    <cellStyle name="표준 3 3 2 3 5 2 2" xfId="38651"/>
    <cellStyle name="표준 3 3 2 3 5 2 2 2" xfId="38652"/>
    <cellStyle name="표준 3 3 2 3 5 2 2 3" xfId="38653"/>
    <cellStyle name="표준 3 3 2 3 5 2 3" xfId="38654"/>
    <cellStyle name="표준 3 3 2 3 5 2 4" xfId="38655"/>
    <cellStyle name="표준 3 3 2 3 5 3" xfId="38656"/>
    <cellStyle name="표준 3 3 2 3 5 3 2" xfId="38657"/>
    <cellStyle name="표준 3 3 2 3 5 3 3" xfId="38658"/>
    <cellStyle name="표준 3 3 2 3 5 4" xfId="38659"/>
    <cellStyle name="표준 3 3 2 3 5 5" xfId="38660"/>
    <cellStyle name="표준 3 3 2 3 6" xfId="38661"/>
    <cellStyle name="표준 3 3 2 3 6 2" xfId="38662"/>
    <cellStyle name="표준 3 3 2 3 6 2 2" xfId="38663"/>
    <cellStyle name="표준 3 3 2 3 6 2 2 2" xfId="38664"/>
    <cellStyle name="표준 3 3 2 3 6 2 2 3" xfId="38665"/>
    <cellStyle name="표준 3 3 2 3 6 2 3" xfId="38666"/>
    <cellStyle name="표준 3 3 2 3 6 2 4" xfId="38667"/>
    <cellStyle name="표준 3 3 2 3 6 3" xfId="38668"/>
    <cellStyle name="표준 3 3 2 3 6 3 2" xfId="38669"/>
    <cellStyle name="표준 3 3 2 3 6 3 3" xfId="38670"/>
    <cellStyle name="표준 3 3 2 3 6 4" xfId="38671"/>
    <cellStyle name="표준 3 3 2 3 6 5" xfId="38672"/>
    <cellStyle name="표준 3 3 2 3 7" xfId="38673"/>
    <cellStyle name="표준 3 3 2 3 7 2" xfId="38674"/>
    <cellStyle name="표준 3 3 2 3 7 2 2" xfId="38675"/>
    <cellStyle name="표준 3 3 2 3 7 2 3" xfId="38676"/>
    <cellStyle name="표준 3 3 2 3 7 3" xfId="38677"/>
    <cellStyle name="표준 3 3 2 3 7 4" xfId="38678"/>
    <cellStyle name="표준 3 3 2 3 8" xfId="38679"/>
    <cellStyle name="표준 3 3 2 3 8 2" xfId="38680"/>
    <cellStyle name="표준 3 3 2 3 8 3" xfId="38681"/>
    <cellStyle name="표준 3 3 2 3 9" xfId="38682"/>
    <cellStyle name="표준 3 3 2 4" xfId="38683"/>
    <cellStyle name="표준 3 3 2 4 10" xfId="38684"/>
    <cellStyle name="표준 3 3 2 4 2" xfId="38685"/>
    <cellStyle name="표준 3 3 2 4 2 2" xfId="38686"/>
    <cellStyle name="표준 3 3 2 4 2 2 2" xfId="38687"/>
    <cellStyle name="표준 3 3 2 4 2 2 2 2" xfId="38688"/>
    <cellStyle name="표준 3 3 2 4 2 2 2 2 2" xfId="38689"/>
    <cellStyle name="표준 3 3 2 4 2 2 2 2 3" xfId="38690"/>
    <cellStyle name="표준 3 3 2 4 2 2 2 3" xfId="38691"/>
    <cellStyle name="표준 3 3 2 4 2 2 2 4" xfId="38692"/>
    <cellStyle name="표준 3 3 2 4 2 2 3" xfId="38693"/>
    <cellStyle name="표준 3 3 2 4 2 2 3 2" xfId="38694"/>
    <cellStyle name="표준 3 3 2 4 2 2 3 3" xfId="38695"/>
    <cellStyle name="표준 3 3 2 4 2 2 4" xfId="38696"/>
    <cellStyle name="표준 3 3 2 4 2 2 5" xfId="38697"/>
    <cellStyle name="표준 3 3 2 4 2 3" xfId="38698"/>
    <cellStyle name="표준 3 3 2 4 2 3 2" xfId="38699"/>
    <cellStyle name="표준 3 3 2 4 2 3 2 2" xfId="38700"/>
    <cellStyle name="표준 3 3 2 4 2 3 2 2 2" xfId="38701"/>
    <cellStyle name="표준 3 3 2 4 2 3 2 2 3" xfId="38702"/>
    <cellStyle name="표준 3 3 2 4 2 3 2 3" xfId="38703"/>
    <cellStyle name="표준 3 3 2 4 2 3 2 4" xfId="38704"/>
    <cellStyle name="표준 3 3 2 4 2 3 3" xfId="38705"/>
    <cellStyle name="표준 3 3 2 4 2 3 3 2" xfId="38706"/>
    <cellStyle name="표준 3 3 2 4 2 3 3 3" xfId="38707"/>
    <cellStyle name="표준 3 3 2 4 2 3 4" xfId="38708"/>
    <cellStyle name="표준 3 3 2 4 2 3 5" xfId="38709"/>
    <cellStyle name="표준 3 3 2 4 2 4" xfId="38710"/>
    <cellStyle name="표준 3 3 2 4 2 4 2" xfId="38711"/>
    <cellStyle name="표준 3 3 2 4 2 4 2 2" xfId="38712"/>
    <cellStyle name="표준 3 3 2 4 2 4 2 3" xfId="38713"/>
    <cellStyle name="표준 3 3 2 4 2 4 3" xfId="38714"/>
    <cellStyle name="표준 3 3 2 4 2 4 4" xfId="38715"/>
    <cellStyle name="표준 3 3 2 4 2 5" xfId="38716"/>
    <cellStyle name="표준 3 3 2 4 2 5 2" xfId="38717"/>
    <cellStyle name="표준 3 3 2 4 2 5 3" xfId="38718"/>
    <cellStyle name="표준 3 3 2 4 2 6" xfId="38719"/>
    <cellStyle name="표준 3 3 2 4 2 7" xfId="38720"/>
    <cellStyle name="표준 3 3 2 4 3" xfId="38721"/>
    <cellStyle name="표준 3 3 2 4 3 2" xfId="38722"/>
    <cellStyle name="표준 3 3 2 4 3 2 2" xfId="38723"/>
    <cellStyle name="표준 3 3 2 4 3 2 2 2" xfId="38724"/>
    <cellStyle name="표준 3 3 2 4 3 2 2 2 2" xfId="38725"/>
    <cellStyle name="표준 3 3 2 4 3 2 2 2 3" xfId="38726"/>
    <cellStyle name="표준 3 3 2 4 3 2 2 3" xfId="38727"/>
    <cellStyle name="표준 3 3 2 4 3 2 2 4" xfId="38728"/>
    <cellStyle name="표준 3 3 2 4 3 2 3" xfId="38729"/>
    <cellStyle name="표준 3 3 2 4 3 2 3 2" xfId="38730"/>
    <cellStyle name="표준 3 3 2 4 3 2 3 3" xfId="38731"/>
    <cellStyle name="표준 3 3 2 4 3 2 4" xfId="38732"/>
    <cellStyle name="표준 3 3 2 4 3 2 5" xfId="38733"/>
    <cellStyle name="표준 3 3 2 4 3 3" xfId="38734"/>
    <cellStyle name="표준 3 3 2 4 3 3 2" xfId="38735"/>
    <cellStyle name="표준 3 3 2 4 3 3 2 2" xfId="38736"/>
    <cellStyle name="표준 3 3 2 4 3 3 2 2 2" xfId="38737"/>
    <cellStyle name="표준 3 3 2 4 3 3 2 2 3" xfId="38738"/>
    <cellStyle name="표준 3 3 2 4 3 3 2 3" xfId="38739"/>
    <cellStyle name="표준 3 3 2 4 3 3 2 4" xfId="38740"/>
    <cellStyle name="표준 3 3 2 4 3 3 3" xfId="38741"/>
    <cellStyle name="표준 3 3 2 4 3 3 3 2" xfId="38742"/>
    <cellStyle name="표준 3 3 2 4 3 3 3 3" xfId="38743"/>
    <cellStyle name="표준 3 3 2 4 3 3 4" xfId="38744"/>
    <cellStyle name="표준 3 3 2 4 3 3 5" xfId="38745"/>
    <cellStyle name="표준 3 3 2 4 3 4" xfId="38746"/>
    <cellStyle name="표준 3 3 2 4 3 4 2" xfId="38747"/>
    <cellStyle name="표준 3 3 2 4 3 4 2 2" xfId="38748"/>
    <cellStyle name="표준 3 3 2 4 3 4 2 3" xfId="38749"/>
    <cellStyle name="표준 3 3 2 4 3 4 3" xfId="38750"/>
    <cellStyle name="표준 3 3 2 4 3 4 4" xfId="38751"/>
    <cellStyle name="표준 3 3 2 4 3 5" xfId="38752"/>
    <cellStyle name="표준 3 3 2 4 3 5 2" xfId="38753"/>
    <cellStyle name="표준 3 3 2 4 3 5 3" xfId="38754"/>
    <cellStyle name="표준 3 3 2 4 3 6" xfId="38755"/>
    <cellStyle name="표준 3 3 2 4 3 7" xfId="38756"/>
    <cellStyle name="표준 3 3 2 4 4" xfId="38757"/>
    <cellStyle name="표준 3 3 2 4 4 2" xfId="38758"/>
    <cellStyle name="표준 3 3 2 4 4 2 2" xfId="38759"/>
    <cellStyle name="표준 3 3 2 4 4 2 2 2" xfId="38760"/>
    <cellStyle name="표준 3 3 2 4 4 2 2 3" xfId="38761"/>
    <cellStyle name="표준 3 3 2 4 4 2 3" xfId="38762"/>
    <cellStyle name="표준 3 3 2 4 4 2 4" xfId="38763"/>
    <cellStyle name="표준 3 3 2 4 4 3" xfId="38764"/>
    <cellStyle name="표준 3 3 2 4 4 3 2" xfId="38765"/>
    <cellStyle name="표준 3 3 2 4 4 3 3" xfId="38766"/>
    <cellStyle name="표준 3 3 2 4 4 4" xfId="38767"/>
    <cellStyle name="표준 3 3 2 4 4 5" xfId="38768"/>
    <cellStyle name="표준 3 3 2 4 5" xfId="38769"/>
    <cellStyle name="표준 3 3 2 4 5 2" xfId="38770"/>
    <cellStyle name="표준 3 3 2 4 5 2 2" xfId="38771"/>
    <cellStyle name="표준 3 3 2 4 5 2 2 2" xfId="38772"/>
    <cellStyle name="표준 3 3 2 4 5 2 2 3" xfId="38773"/>
    <cellStyle name="표준 3 3 2 4 5 2 3" xfId="38774"/>
    <cellStyle name="표준 3 3 2 4 5 2 4" xfId="38775"/>
    <cellStyle name="표준 3 3 2 4 5 3" xfId="38776"/>
    <cellStyle name="표준 3 3 2 4 5 3 2" xfId="38777"/>
    <cellStyle name="표준 3 3 2 4 5 3 3" xfId="38778"/>
    <cellStyle name="표준 3 3 2 4 5 4" xfId="38779"/>
    <cellStyle name="표준 3 3 2 4 5 5" xfId="38780"/>
    <cellStyle name="표준 3 3 2 4 6" xfId="38781"/>
    <cellStyle name="표준 3 3 2 4 6 2" xfId="38782"/>
    <cellStyle name="표준 3 3 2 4 6 2 2" xfId="38783"/>
    <cellStyle name="표준 3 3 2 4 6 2 2 2" xfId="38784"/>
    <cellStyle name="표준 3 3 2 4 6 2 2 3" xfId="38785"/>
    <cellStyle name="표준 3 3 2 4 6 2 3" xfId="38786"/>
    <cellStyle name="표준 3 3 2 4 6 2 4" xfId="38787"/>
    <cellStyle name="표준 3 3 2 4 6 3" xfId="38788"/>
    <cellStyle name="표준 3 3 2 4 6 3 2" xfId="38789"/>
    <cellStyle name="표준 3 3 2 4 6 3 3" xfId="38790"/>
    <cellStyle name="표준 3 3 2 4 6 4" xfId="38791"/>
    <cellStyle name="표준 3 3 2 4 6 5" xfId="38792"/>
    <cellStyle name="표준 3 3 2 4 7" xfId="38793"/>
    <cellStyle name="표준 3 3 2 4 7 2" xfId="38794"/>
    <cellStyle name="표준 3 3 2 4 7 2 2" xfId="38795"/>
    <cellStyle name="표준 3 3 2 4 7 2 3" xfId="38796"/>
    <cellStyle name="표준 3 3 2 4 7 3" xfId="38797"/>
    <cellStyle name="표준 3 3 2 4 7 4" xfId="38798"/>
    <cellStyle name="표준 3 3 2 4 8" xfId="38799"/>
    <cellStyle name="표준 3 3 2 4 8 2" xfId="38800"/>
    <cellStyle name="표준 3 3 2 4 8 3" xfId="38801"/>
    <cellStyle name="표준 3 3 2 4 9" xfId="38802"/>
    <cellStyle name="표준 3 3 2 5" xfId="38803"/>
    <cellStyle name="표준 3 3 2 5 2" xfId="38804"/>
    <cellStyle name="표준 3 3 2 5 2 2" xfId="38805"/>
    <cellStyle name="표준 3 3 2 5 2 2 2" xfId="38806"/>
    <cellStyle name="표준 3 3 2 5 2 2 2 2" xfId="38807"/>
    <cellStyle name="표준 3 3 2 5 2 2 2 3" xfId="38808"/>
    <cellStyle name="표준 3 3 2 5 2 2 3" xfId="38809"/>
    <cellStyle name="표준 3 3 2 5 2 2 4" xfId="38810"/>
    <cellStyle name="표준 3 3 2 5 2 3" xfId="38811"/>
    <cellStyle name="표준 3 3 2 5 2 3 2" xfId="38812"/>
    <cellStyle name="표준 3 3 2 5 2 3 3" xfId="38813"/>
    <cellStyle name="표준 3 3 2 5 2 4" xfId="38814"/>
    <cellStyle name="표준 3 3 2 5 2 5" xfId="38815"/>
    <cellStyle name="표준 3 3 2 5 3" xfId="38816"/>
    <cellStyle name="표준 3 3 2 5 3 2" xfId="38817"/>
    <cellStyle name="표준 3 3 2 5 3 2 2" xfId="38818"/>
    <cellStyle name="표준 3 3 2 5 3 2 2 2" xfId="38819"/>
    <cellStyle name="표준 3 3 2 5 3 2 2 3" xfId="38820"/>
    <cellStyle name="표준 3 3 2 5 3 2 3" xfId="38821"/>
    <cellStyle name="표준 3 3 2 5 3 2 4" xfId="38822"/>
    <cellStyle name="표준 3 3 2 5 3 3" xfId="38823"/>
    <cellStyle name="표준 3 3 2 5 3 3 2" xfId="38824"/>
    <cellStyle name="표준 3 3 2 5 3 3 3" xfId="38825"/>
    <cellStyle name="표준 3 3 2 5 3 4" xfId="38826"/>
    <cellStyle name="표준 3 3 2 5 3 5" xfId="38827"/>
    <cellStyle name="표준 3 3 2 5 4" xfId="38828"/>
    <cellStyle name="표준 3 3 2 5 4 2" xfId="38829"/>
    <cellStyle name="표준 3 3 2 5 4 2 2" xfId="38830"/>
    <cellStyle name="표준 3 3 2 5 4 2 3" xfId="38831"/>
    <cellStyle name="표준 3 3 2 5 4 3" xfId="38832"/>
    <cellStyle name="표준 3 3 2 5 4 4" xfId="38833"/>
    <cellStyle name="표준 3 3 2 5 5" xfId="38834"/>
    <cellStyle name="표준 3 3 2 5 5 2" xfId="38835"/>
    <cellStyle name="표준 3 3 2 5 5 3" xfId="38836"/>
    <cellStyle name="표준 3 3 2 5 6" xfId="38837"/>
    <cellStyle name="표준 3 3 2 5 7" xfId="38838"/>
    <cellStyle name="표준 3 3 2 6" xfId="38839"/>
    <cellStyle name="표준 3 3 2 6 2" xfId="38840"/>
    <cellStyle name="표준 3 3 2 6 2 2" xfId="38841"/>
    <cellStyle name="표준 3 3 2 6 2 2 2" xfId="38842"/>
    <cellStyle name="표준 3 3 2 6 2 2 2 2" xfId="38843"/>
    <cellStyle name="표준 3 3 2 6 2 2 2 3" xfId="38844"/>
    <cellStyle name="표준 3 3 2 6 2 2 3" xfId="38845"/>
    <cellStyle name="표준 3 3 2 6 2 2 4" xfId="38846"/>
    <cellStyle name="표준 3 3 2 6 2 3" xfId="38847"/>
    <cellStyle name="표준 3 3 2 6 2 3 2" xfId="38848"/>
    <cellStyle name="표준 3 3 2 6 2 3 3" xfId="38849"/>
    <cellStyle name="표준 3 3 2 6 2 4" xfId="38850"/>
    <cellStyle name="표준 3 3 2 6 2 5" xfId="38851"/>
    <cellStyle name="표준 3 3 2 6 3" xfId="38852"/>
    <cellStyle name="표준 3 3 2 6 3 2" xfId="38853"/>
    <cellStyle name="표준 3 3 2 6 3 2 2" xfId="38854"/>
    <cellStyle name="표준 3 3 2 6 3 2 2 2" xfId="38855"/>
    <cellStyle name="표준 3 3 2 6 3 2 2 3" xfId="38856"/>
    <cellStyle name="표준 3 3 2 6 3 2 3" xfId="38857"/>
    <cellStyle name="표준 3 3 2 6 3 2 4" xfId="38858"/>
    <cellStyle name="표준 3 3 2 6 3 3" xfId="38859"/>
    <cellStyle name="표준 3 3 2 6 3 3 2" xfId="38860"/>
    <cellStyle name="표준 3 3 2 6 3 3 3" xfId="38861"/>
    <cellStyle name="표준 3 3 2 6 3 4" xfId="38862"/>
    <cellStyle name="표준 3 3 2 6 3 5" xfId="38863"/>
    <cellStyle name="표준 3 3 2 6 4" xfId="38864"/>
    <cellStyle name="표준 3 3 2 6 4 2" xfId="38865"/>
    <cellStyle name="표준 3 3 2 6 4 2 2" xfId="38866"/>
    <cellStyle name="표준 3 3 2 6 4 2 3" xfId="38867"/>
    <cellStyle name="표준 3 3 2 6 4 3" xfId="38868"/>
    <cellStyle name="표준 3 3 2 6 4 4" xfId="38869"/>
    <cellStyle name="표준 3 3 2 6 5" xfId="38870"/>
    <cellStyle name="표준 3 3 2 6 5 2" xfId="38871"/>
    <cellStyle name="표준 3 3 2 6 5 3" xfId="38872"/>
    <cellStyle name="표준 3 3 2 6 6" xfId="38873"/>
    <cellStyle name="표준 3 3 2 6 7" xfId="38874"/>
    <cellStyle name="표준 3 3 2 7" xfId="38875"/>
    <cellStyle name="표준 3 3 2 7 2" xfId="38876"/>
    <cellStyle name="표준 3 3 2 7 2 2" xfId="38877"/>
    <cellStyle name="표준 3 3 2 7 2 2 2" xfId="38878"/>
    <cellStyle name="표준 3 3 2 7 2 2 3" xfId="38879"/>
    <cellStyle name="표준 3 3 2 7 2 3" xfId="38880"/>
    <cellStyle name="표준 3 3 2 7 2 4" xfId="38881"/>
    <cellStyle name="표준 3 3 2 7 3" xfId="38882"/>
    <cellStyle name="표준 3 3 2 7 3 2" xfId="38883"/>
    <cellStyle name="표준 3 3 2 7 3 3" xfId="38884"/>
    <cellStyle name="표준 3 3 2 7 4" xfId="38885"/>
    <cellStyle name="표준 3 3 2 7 5" xfId="38886"/>
    <cellStyle name="표준 3 3 2 8" xfId="38887"/>
    <cellStyle name="표준 3 3 2 8 2" xfId="38888"/>
    <cellStyle name="표준 3 3 2 8 2 2" xfId="38889"/>
    <cellStyle name="표준 3 3 2 8 2 2 2" xfId="38890"/>
    <cellStyle name="표준 3 3 2 8 2 2 3" xfId="38891"/>
    <cellStyle name="표준 3 3 2 8 2 3" xfId="38892"/>
    <cellStyle name="표준 3 3 2 8 2 4" xfId="38893"/>
    <cellStyle name="표준 3 3 2 8 3" xfId="38894"/>
    <cellStyle name="표준 3 3 2 8 3 2" xfId="38895"/>
    <cellStyle name="표준 3 3 2 8 3 3" xfId="38896"/>
    <cellStyle name="표준 3 3 2 8 4" xfId="38897"/>
    <cellStyle name="표준 3 3 2 8 5" xfId="38898"/>
    <cellStyle name="표준 3 3 2 9" xfId="38899"/>
    <cellStyle name="표준 3 3 2 9 2" xfId="38900"/>
    <cellStyle name="표준 3 3 2 9 2 2" xfId="38901"/>
    <cellStyle name="표준 3 3 2 9 2 2 2" xfId="38902"/>
    <cellStyle name="표준 3 3 2 9 2 2 3" xfId="38903"/>
    <cellStyle name="표준 3 3 2 9 2 3" xfId="38904"/>
    <cellStyle name="표준 3 3 2 9 2 4" xfId="38905"/>
    <cellStyle name="표준 3 3 2 9 3" xfId="38906"/>
    <cellStyle name="표준 3 3 2 9 3 2" xfId="38907"/>
    <cellStyle name="표준 3 3 2 9 3 3" xfId="38908"/>
    <cellStyle name="표준 3 3 2 9 4" xfId="38909"/>
    <cellStyle name="표준 3 3 2 9 5" xfId="38910"/>
    <cellStyle name="표준 3 3 3" xfId="38911"/>
    <cellStyle name="표준 3 3 3 10" xfId="38912"/>
    <cellStyle name="표준 3 3 3 2" xfId="38913"/>
    <cellStyle name="표준 3 3 3 2 2" xfId="38914"/>
    <cellStyle name="표준 3 3 3 2 2 2" xfId="38915"/>
    <cellStyle name="표준 3 3 3 2 2 2 2" xfId="38916"/>
    <cellStyle name="표준 3 3 3 2 2 2 2 2" xfId="38917"/>
    <cellStyle name="표준 3 3 3 2 2 2 2 3" xfId="38918"/>
    <cellStyle name="표준 3 3 3 2 2 2 3" xfId="38919"/>
    <cellStyle name="표준 3 3 3 2 2 2 4" xfId="38920"/>
    <cellStyle name="표준 3 3 3 2 2 3" xfId="38921"/>
    <cellStyle name="표준 3 3 3 2 2 3 2" xfId="38922"/>
    <cellStyle name="표준 3 3 3 2 2 3 3" xfId="38923"/>
    <cellStyle name="표준 3 3 3 2 2 4" xfId="38924"/>
    <cellStyle name="표준 3 3 3 2 2 5" xfId="38925"/>
    <cellStyle name="표준 3 3 3 2 3" xfId="38926"/>
    <cellStyle name="표준 3 3 3 2 3 2" xfId="38927"/>
    <cellStyle name="표준 3 3 3 2 3 2 2" xfId="38928"/>
    <cellStyle name="표준 3 3 3 2 3 2 2 2" xfId="38929"/>
    <cellStyle name="표준 3 3 3 2 3 2 2 3" xfId="38930"/>
    <cellStyle name="표준 3 3 3 2 3 2 3" xfId="38931"/>
    <cellStyle name="표준 3 3 3 2 3 2 4" xfId="38932"/>
    <cellStyle name="표준 3 3 3 2 3 3" xfId="38933"/>
    <cellStyle name="표준 3 3 3 2 3 3 2" xfId="38934"/>
    <cellStyle name="표준 3 3 3 2 3 3 3" xfId="38935"/>
    <cellStyle name="표준 3 3 3 2 3 4" xfId="38936"/>
    <cellStyle name="표준 3 3 3 2 3 5" xfId="38937"/>
    <cellStyle name="표준 3 3 3 2 4" xfId="38938"/>
    <cellStyle name="표준 3 3 3 2 4 2" xfId="38939"/>
    <cellStyle name="표준 3 3 3 2 4 2 2" xfId="38940"/>
    <cellStyle name="표준 3 3 3 2 4 2 3" xfId="38941"/>
    <cellStyle name="표준 3 3 3 2 4 3" xfId="38942"/>
    <cellStyle name="표준 3 3 3 2 4 4" xfId="38943"/>
    <cellStyle name="표준 3 3 3 2 5" xfId="38944"/>
    <cellStyle name="표준 3 3 3 2 5 2" xfId="38945"/>
    <cellStyle name="표준 3 3 3 2 5 3" xfId="38946"/>
    <cellStyle name="표준 3 3 3 2 6" xfId="38947"/>
    <cellStyle name="표준 3 3 3 2 7" xfId="38948"/>
    <cellStyle name="표준 3 3 3 3" xfId="38949"/>
    <cellStyle name="표준 3 3 3 3 2" xfId="38950"/>
    <cellStyle name="표준 3 3 3 3 2 2" xfId="38951"/>
    <cellStyle name="표준 3 3 3 3 2 2 2" xfId="38952"/>
    <cellStyle name="표준 3 3 3 3 2 2 2 2" xfId="38953"/>
    <cellStyle name="표준 3 3 3 3 2 2 2 3" xfId="38954"/>
    <cellStyle name="표준 3 3 3 3 2 2 3" xfId="38955"/>
    <cellStyle name="표준 3 3 3 3 2 2 4" xfId="38956"/>
    <cellStyle name="표준 3 3 3 3 2 3" xfId="38957"/>
    <cellStyle name="표준 3 3 3 3 2 3 2" xfId="38958"/>
    <cellStyle name="표준 3 3 3 3 2 3 3" xfId="38959"/>
    <cellStyle name="표준 3 3 3 3 2 4" xfId="38960"/>
    <cellStyle name="표준 3 3 3 3 2 5" xfId="38961"/>
    <cellStyle name="표준 3 3 3 3 3" xfId="38962"/>
    <cellStyle name="표준 3 3 3 3 3 2" xfId="38963"/>
    <cellStyle name="표준 3 3 3 3 3 2 2" xfId="38964"/>
    <cellStyle name="표준 3 3 3 3 3 2 2 2" xfId="38965"/>
    <cellStyle name="표준 3 3 3 3 3 2 2 3" xfId="38966"/>
    <cellStyle name="표준 3 3 3 3 3 2 3" xfId="38967"/>
    <cellStyle name="표준 3 3 3 3 3 2 4" xfId="38968"/>
    <cellStyle name="표준 3 3 3 3 3 3" xfId="38969"/>
    <cellStyle name="표준 3 3 3 3 3 3 2" xfId="38970"/>
    <cellStyle name="표준 3 3 3 3 3 3 3" xfId="38971"/>
    <cellStyle name="표준 3 3 3 3 3 4" xfId="38972"/>
    <cellStyle name="표준 3 3 3 3 3 5" xfId="38973"/>
    <cellStyle name="표준 3 3 3 3 4" xfId="38974"/>
    <cellStyle name="표준 3 3 3 3 4 2" xfId="38975"/>
    <cellStyle name="표준 3 3 3 3 4 2 2" xfId="38976"/>
    <cellStyle name="표준 3 3 3 3 4 2 3" xfId="38977"/>
    <cellStyle name="표준 3 3 3 3 4 3" xfId="38978"/>
    <cellStyle name="표준 3 3 3 3 4 4" xfId="38979"/>
    <cellStyle name="표준 3 3 3 3 5" xfId="38980"/>
    <cellStyle name="표준 3 3 3 3 5 2" xfId="38981"/>
    <cellStyle name="표준 3 3 3 3 5 3" xfId="38982"/>
    <cellStyle name="표준 3 3 3 3 6" xfId="38983"/>
    <cellStyle name="표준 3 3 3 3 7" xfId="38984"/>
    <cellStyle name="표준 3 3 3 4" xfId="38985"/>
    <cellStyle name="표준 3 3 3 4 2" xfId="38986"/>
    <cellStyle name="표준 3 3 3 4 2 2" xfId="38987"/>
    <cellStyle name="표준 3 3 3 4 2 2 2" xfId="38988"/>
    <cellStyle name="표준 3 3 3 4 2 2 3" xfId="38989"/>
    <cellStyle name="표준 3 3 3 4 2 3" xfId="38990"/>
    <cellStyle name="표준 3 3 3 4 2 4" xfId="38991"/>
    <cellStyle name="표준 3 3 3 4 3" xfId="38992"/>
    <cellStyle name="표준 3 3 3 4 3 2" xfId="38993"/>
    <cellStyle name="표준 3 3 3 4 3 3" xfId="38994"/>
    <cellStyle name="표준 3 3 3 4 4" xfId="38995"/>
    <cellStyle name="표준 3 3 3 4 5" xfId="38996"/>
    <cellStyle name="표준 3 3 3 5" xfId="38997"/>
    <cellStyle name="표준 3 3 3 5 2" xfId="38998"/>
    <cellStyle name="표준 3 3 3 5 2 2" xfId="38999"/>
    <cellStyle name="표준 3 3 3 5 2 2 2" xfId="39000"/>
    <cellStyle name="표준 3 3 3 5 2 2 3" xfId="39001"/>
    <cellStyle name="표준 3 3 3 5 2 3" xfId="39002"/>
    <cellStyle name="표준 3 3 3 5 2 4" xfId="39003"/>
    <cellStyle name="표준 3 3 3 5 3" xfId="39004"/>
    <cellStyle name="표준 3 3 3 5 3 2" xfId="39005"/>
    <cellStyle name="표준 3 3 3 5 3 3" xfId="39006"/>
    <cellStyle name="표준 3 3 3 5 4" xfId="39007"/>
    <cellStyle name="표준 3 3 3 5 5" xfId="39008"/>
    <cellStyle name="표준 3 3 3 6" xfId="39009"/>
    <cellStyle name="표준 3 3 3 6 2" xfId="39010"/>
    <cellStyle name="표준 3 3 3 6 2 2" xfId="39011"/>
    <cellStyle name="표준 3 3 3 6 2 2 2" xfId="39012"/>
    <cellStyle name="표준 3 3 3 6 2 2 3" xfId="39013"/>
    <cellStyle name="표준 3 3 3 6 2 3" xfId="39014"/>
    <cellStyle name="표준 3 3 3 6 2 4" xfId="39015"/>
    <cellStyle name="표준 3 3 3 6 3" xfId="39016"/>
    <cellStyle name="표준 3 3 3 6 3 2" xfId="39017"/>
    <cellStyle name="표준 3 3 3 6 3 3" xfId="39018"/>
    <cellStyle name="표준 3 3 3 6 4" xfId="39019"/>
    <cellStyle name="표준 3 3 3 6 5" xfId="39020"/>
    <cellStyle name="표준 3 3 3 7" xfId="39021"/>
    <cellStyle name="표준 3 3 3 7 2" xfId="39022"/>
    <cellStyle name="표준 3 3 3 7 2 2" xfId="39023"/>
    <cellStyle name="표준 3 3 3 7 2 3" xfId="39024"/>
    <cellStyle name="표준 3 3 3 7 3" xfId="39025"/>
    <cellStyle name="표준 3 3 3 7 4" xfId="39026"/>
    <cellStyle name="표준 3 3 3 8" xfId="39027"/>
    <cellStyle name="표준 3 3 3 8 2" xfId="39028"/>
    <cellStyle name="표준 3 3 3 8 3" xfId="39029"/>
    <cellStyle name="표준 3 3 3 9" xfId="39030"/>
    <cellStyle name="표준 3 3 4" xfId="39031"/>
    <cellStyle name="표준 3 3 4 10" xfId="39032"/>
    <cellStyle name="표준 3 3 4 2" xfId="39033"/>
    <cellStyle name="표준 3 3 4 2 2" xfId="39034"/>
    <cellStyle name="표준 3 3 4 2 2 2" xfId="39035"/>
    <cellStyle name="표준 3 3 4 2 2 2 2" xfId="39036"/>
    <cellStyle name="표준 3 3 4 2 2 2 2 2" xfId="39037"/>
    <cellStyle name="표준 3 3 4 2 2 2 2 3" xfId="39038"/>
    <cellStyle name="표준 3 3 4 2 2 2 3" xfId="39039"/>
    <cellStyle name="표준 3 3 4 2 2 2 4" xfId="39040"/>
    <cellStyle name="표준 3 3 4 2 2 3" xfId="39041"/>
    <cellStyle name="표준 3 3 4 2 2 3 2" xfId="39042"/>
    <cellStyle name="표준 3 3 4 2 2 3 3" xfId="39043"/>
    <cellStyle name="표준 3 3 4 2 2 4" xfId="39044"/>
    <cellStyle name="표준 3 3 4 2 2 5" xfId="39045"/>
    <cellStyle name="표준 3 3 4 2 3" xfId="39046"/>
    <cellStyle name="표준 3 3 4 2 3 2" xfId="39047"/>
    <cellStyle name="표준 3 3 4 2 3 2 2" xfId="39048"/>
    <cellStyle name="표준 3 3 4 2 3 2 2 2" xfId="39049"/>
    <cellStyle name="표준 3 3 4 2 3 2 2 3" xfId="39050"/>
    <cellStyle name="표준 3 3 4 2 3 2 3" xfId="39051"/>
    <cellStyle name="표준 3 3 4 2 3 2 4" xfId="39052"/>
    <cellStyle name="표준 3 3 4 2 3 3" xfId="39053"/>
    <cellStyle name="표준 3 3 4 2 3 3 2" xfId="39054"/>
    <cellStyle name="표준 3 3 4 2 3 3 3" xfId="39055"/>
    <cellStyle name="표준 3 3 4 2 3 4" xfId="39056"/>
    <cellStyle name="표준 3 3 4 2 3 5" xfId="39057"/>
    <cellStyle name="표준 3 3 4 2 4" xfId="39058"/>
    <cellStyle name="표준 3 3 4 2 4 2" xfId="39059"/>
    <cellStyle name="표준 3 3 4 2 4 2 2" xfId="39060"/>
    <cellStyle name="표준 3 3 4 2 4 2 3" xfId="39061"/>
    <cellStyle name="표준 3 3 4 2 4 3" xfId="39062"/>
    <cellStyle name="표준 3 3 4 2 4 4" xfId="39063"/>
    <cellStyle name="표준 3 3 4 2 5" xfId="39064"/>
    <cellStyle name="표준 3 3 4 2 5 2" xfId="39065"/>
    <cellStyle name="표준 3 3 4 2 5 3" xfId="39066"/>
    <cellStyle name="표준 3 3 4 2 6" xfId="39067"/>
    <cellStyle name="표준 3 3 4 2 7" xfId="39068"/>
    <cellStyle name="표준 3 3 4 3" xfId="39069"/>
    <cellStyle name="표준 3 3 4 3 2" xfId="39070"/>
    <cellStyle name="표준 3 3 4 3 2 2" xfId="39071"/>
    <cellStyle name="표준 3 3 4 3 2 2 2" xfId="39072"/>
    <cellStyle name="표준 3 3 4 3 2 2 2 2" xfId="39073"/>
    <cellStyle name="표준 3 3 4 3 2 2 2 3" xfId="39074"/>
    <cellStyle name="표준 3 3 4 3 2 2 3" xfId="39075"/>
    <cellStyle name="표준 3 3 4 3 2 2 4" xfId="39076"/>
    <cellStyle name="표준 3 3 4 3 2 3" xfId="39077"/>
    <cellStyle name="표준 3 3 4 3 2 3 2" xfId="39078"/>
    <cellStyle name="표준 3 3 4 3 2 3 3" xfId="39079"/>
    <cellStyle name="표준 3 3 4 3 2 4" xfId="39080"/>
    <cellStyle name="표준 3 3 4 3 2 5" xfId="39081"/>
    <cellStyle name="표준 3 3 4 3 3" xfId="39082"/>
    <cellStyle name="표준 3 3 4 3 3 2" xfId="39083"/>
    <cellStyle name="표준 3 3 4 3 3 2 2" xfId="39084"/>
    <cellStyle name="표준 3 3 4 3 3 2 2 2" xfId="39085"/>
    <cellStyle name="표준 3 3 4 3 3 2 2 3" xfId="39086"/>
    <cellStyle name="표준 3 3 4 3 3 2 3" xfId="39087"/>
    <cellStyle name="표준 3 3 4 3 3 2 4" xfId="39088"/>
    <cellStyle name="표준 3 3 4 3 3 3" xfId="39089"/>
    <cellStyle name="표준 3 3 4 3 3 3 2" xfId="39090"/>
    <cellStyle name="표준 3 3 4 3 3 3 3" xfId="39091"/>
    <cellStyle name="표준 3 3 4 3 3 4" xfId="39092"/>
    <cellStyle name="표준 3 3 4 3 3 5" xfId="39093"/>
    <cellStyle name="표준 3 3 4 3 4" xfId="39094"/>
    <cellStyle name="표준 3 3 4 3 4 2" xfId="39095"/>
    <cellStyle name="표준 3 3 4 3 4 2 2" xfId="39096"/>
    <cellStyle name="표준 3 3 4 3 4 2 3" xfId="39097"/>
    <cellStyle name="표준 3 3 4 3 4 3" xfId="39098"/>
    <cellStyle name="표준 3 3 4 3 4 4" xfId="39099"/>
    <cellStyle name="표준 3 3 4 3 5" xfId="39100"/>
    <cellStyle name="표준 3 3 4 3 5 2" xfId="39101"/>
    <cellStyle name="표준 3 3 4 3 5 3" xfId="39102"/>
    <cellStyle name="표준 3 3 4 3 6" xfId="39103"/>
    <cellStyle name="표준 3 3 4 3 7" xfId="39104"/>
    <cellStyle name="표준 3 3 4 4" xfId="39105"/>
    <cellStyle name="표준 3 3 4 4 2" xfId="39106"/>
    <cellStyle name="표준 3 3 4 4 2 2" xfId="39107"/>
    <cellStyle name="표준 3 3 4 4 2 2 2" xfId="39108"/>
    <cellStyle name="표준 3 3 4 4 2 2 3" xfId="39109"/>
    <cellStyle name="표준 3 3 4 4 2 3" xfId="39110"/>
    <cellStyle name="표준 3 3 4 4 2 4" xfId="39111"/>
    <cellStyle name="표준 3 3 4 4 3" xfId="39112"/>
    <cellStyle name="표준 3 3 4 4 3 2" xfId="39113"/>
    <cellStyle name="표준 3 3 4 4 3 3" xfId="39114"/>
    <cellStyle name="표준 3 3 4 4 4" xfId="39115"/>
    <cellStyle name="표준 3 3 4 4 5" xfId="39116"/>
    <cellStyle name="표준 3 3 4 5" xfId="39117"/>
    <cellStyle name="표준 3 3 4 5 2" xfId="39118"/>
    <cellStyle name="표준 3 3 4 5 2 2" xfId="39119"/>
    <cellStyle name="표준 3 3 4 5 2 2 2" xfId="39120"/>
    <cellStyle name="표준 3 3 4 5 2 2 3" xfId="39121"/>
    <cellStyle name="표준 3 3 4 5 2 3" xfId="39122"/>
    <cellStyle name="표준 3 3 4 5 2 4" xfId="39123"/>
    <cellStyle name="표준 3 3 4 5 3" xfId="39124"/>
    <cellStyle name="표준 3 3 4 5 3 2" xfId="39125"/>
    <cellStyle name="표준 3 3 4 5 3 3" xfId="39126"/>
    <cellStyle name="표준 3 3 4 5 4" xfId="39127"/>
    <cellStyle name="표준 3 3 4 5 5" xfId="39128"/>
    <cellStyle name="표준 3 3 4 6" xfId="39129"/>
    <cellStyle name="표준 3 3 4 6 2" xfId="39130"/>
    <cellStyle name="표준 3 3 4 6 2 2" xfId="39131"/>
    <cellStyle name="표준 3 3 4 6 2 2 2" xfId="39132"/>
    <cellStyle name="표준 3 3 4 6 2 2 3" xfId="39133"/>
    <cellStyle name="표준 3 3 4 6 2 3" xfId="39134"/>
    <cellStyle name="표준 3 3 4 6 2 4" xfId="39135"/>
    <cellStyle name="표준 3 3 4 6 3" xfId="39136"/>
    <cellStyle name="표준 3 3 4 6 3 2" xfId="39137"/>
    <cellStyle name="표준 3 3 4 6 3 3" xfId="39138"/>
    <cellStyle name="표준 3 3 4 6 4" xfId="39139"/>
    <cellStyle name="표준 3 3 4 6 5" xfId="39140"/>
    <cellStyle name="표준 3 3 4 7" xfId="39141"/>
    <cellStyle name="표준 3 3 4 7 2" xfId="39142"/>
    <cellStyle name="표준 3 3 4 7 2 2" xfId="39143"/>
    <cellStyle name="표준 3 3 4 7 2 3" xfId="39144"/>
    <cellStyle name="표준 3 3 4 7 3" xfId="39145"/>
    <cellStyle name="표준 3 3 4 7 4" xfId="39146"/>
    <cellStyle name="표준 3 3 4 8" xfId="39147"/>
    <cellStyle name="표준 3 3 4 8 2" xfId="39148"/>
    <cellStyle name="표준 3 3 4 8 3" xfId="39149"/>
    <cellStyle name="표준 3 3 4 9" xfId="39150"/>
    <cellStyle name="표준 3 3 5" xfId="39151"/>
    <cellStyle name="표준 3 3 5 10" xfId="39152"/>
    <cellStyle name="표준 3 3 5 2" xfId="39153"/>
    <cellStyle name="표준 3 3 5 2 2" xfId="39154"/>
    <cellStyle name="표준 3 3 5 2 2 2" xfId="39155"/>
    <cellStyle name="표준 3 3 5 2 2 2 2" xfId="39156"/>
    <cellStyle name="표준 3 3 5 2 2 2 2 2" xfId="39157"/>
    <cellStyle name="표준 3 3 5 2 2 2 2 3" xfId="39158"/>
    <cellStyle name="표준 3 3 5 2 2 2 3" xfId="39159"/>
    <cellStyle name="표준 3 3 5 2 2 2 4" xfId="39160"/>
    <cellStyle name="표준 3 3 5 2 2 3" xfId="39161"/>
    <cellStyle name="표준 3 3 5 2 2 3 2" xfId="39162"/>
    <cellStyle name="표준 3 3 5 2 2 3 3" xfId="39163"/>
    <cellStyle name="표준 3 3 5 2 2 4" xfId="39164"/>
    <cellStyle name="표준 3 3 5 2 2 5" xfId="39165"/>
    <cellStyle name="표준 3 3 5 2 3" xfId="39166"/>
    <cellStyle name="표준 3 3 5 2 3 2" xfId="39167"/>
    <cellStyle name="표준 3 3 5 2 3 2 2" xfId="39168"/>
    <cellStyle name="표준 3 3 5 2 3 2 2 2" xfId="39169"/>
    <cellStyle name="표준 3 3 5 2 3 2 2 3" xfId="39170"/>
    <cellStyle name="표준 3 3 5 2 3 2 3" xfId="39171"/>
    <cellStyle name="표준 3 3 5 2 3 2 4" xfId="39172"/>
    <cellStyle name="표준 3 3 5 2 3 3" xfId="39173"/>
    <cellStyle name="표준 3 3 5 2 3 3 2" xfId="39174"/>
    <cellStyle name="표준 3 3 5 2 3 3 3" xfId="39175"/>
    <cellStyle name="표준 3 3 5 2 3 4" xfId="39176"/>
    <cellStyle name="표준 3 3 5 2 3 5" xfId="39177"/>
    <cellStyle name="표준 3 3 5 2 4" xfId="39178"/>
    <cellStyle name="표준 3 3 5 2 4 2" xfId="39179"/>
    <cellStyle name="표준 3 3 5 2 4 2 2" xfId="39180"/>
    <cellStyle name="표준 3 3 5 2 4 2 3" xfId="39181"/>
    <cellStyle name="표준 3 3 5 2 4 3" xfId="39182"/>
    <cellStyle name="표준 3 3 5 2 4 4" xfId="39183"/>
    <cellStyle name="표준 3 3 5 2 5" xfId="39184"/>
    <cellStyle name="표준 3 3 5 2 5 2" xfId="39185"/>
    <cellStyle name="표준 3 3 5 2 5 3" xfId="39186"/>
    <cellStyle name="표준 3 3 5 2 6" xfId="39187"/>
    <cellStyle name="표준 3 3 5 2 7" xfId="39188"/>
    <cellStyle name="표준 3 3 5 3" xfId="39189"/>
    <cellStyle name="표준 3 3 5 3 2" xfId="39190"/>
    <cellStyle name="표준 3 3 5 3 2 2" xfId="39191"/>
    <cellStyle name="표준 3 3 5 3 2 2 2" xfId="39192"/>
    <cellStyle name="표준 3 3 5 3 2 2 2 2" xfId="39193"/>
    <cellStyle name="표준 3 3 5 3 2 2 2 3" xfId="39194"/>
    <cellStyle name="표준 3 3 5 3 2 2 3" xfId="39195"/>
    <cellStyle name="표준 3 3 5 3 2 2 4" xfId="39196"/>
    <cellStyle name="표준 3 3 5 3 2 3" xfId="39197"/>
    <cellStyle name="표준 3 3 5 3 2 3 2" xfId="39198"/>
    <cellStyle name="표준 3 3 5 3 2 3 3" xfId="39199"/>
    <cellStyle name="표준 3 3 5 3 2 4" xfId="39200"/>
    <cellStyle name="표준 3 3 5 3 2 5" xfId="39201"/>
    <cellStyle name="표준 3 3 5 3 3" xfId="39202"/>
    <cellStyle name="표준 3 3 5 3 3 2" xfId="39203"/>
    <cellStyle name="표준 3 3 5 3 3 2 2" xfId="39204"/>
    <cellStyle name="표준 3 3 5 3 3 2 2 2" xfId="39205"/>
    <cellStyle name="표준 3 3 5 3 3 2 2 3" xfId="39206"/>
    <cellStyle name="표준 3 3 5 3 3 2 3" xfId="39207"/>
    <cellStyle name="표준 3 3 5 3 3 2 4" xfId="39208"/>
    <cellStyle name="표준 3 3 5 3 3 3" xfId="39209"/>
    <cellStyle name="표준 3 3 5 3 3 3 2" xfId="39210"/>
    <cellStyle name="표준 3 3 5 3 3 3 3" xfId="39211"/>
    <cellStyle name="표준 3 3 5 3 3 4" xfId="39212"/>
    <cellStyle name="표준 3 3 5 3 3 5" xfId="39213"/>
    <cellStyle name="표준 3 3 5 3 4" xfId="39214"/>
    <cellStyle name="표준 3 3 5 3 4 2" xfId="39215"/>
    <cellStyle name="표준 3 3 5 3 4 2 2" xfId="39216"/>
    <cellStyle name="표준 3 3 5 3 4 2 3" xfId="39217"/>
    <cellStyle name="표준 3 3 5 3 4 3" xfId="39218"/>
    <cellStyle name="표준 3 3 5 3 4 4" xfId="39219"/>
    <cellStyle name="표준 3 3 5 3 5" xfId="39220"/>
    <cellStyle name="표준 3 3 5 3 5 2" xfId="39221"/>
    <cellStyle name="표준 3 3 5 3 5 3" xfId="39222"/>
    <cellStyle name="표준 3 3 5 3 6" xfId="39223"/>
    <cellStyle name="표준 3 3 5 3 7" xfId="39224"/>
    <cellStyle name="표준 3 3 5 4" xfId="39225"/>
    <cellStyle name="표준 3 3 5 4 2" xfId="39226"/>
    <cellStyle name="표준 3 3 5 4 2 2" xfId="39227"/>
    <cellStyle name="표준 3 3 5 4 2 2 2" xfId="39228"/>
    <cellStyle name="표준 3 3 5 4 2 2 3" xfId="39229"/>
    <cellStyle name="표준 3 3 5 4 2 3" xfId="39230"/>
    <cellStyle name="표준 3 3 5 4 2 4" xfId="39231"/>
    <cellStyle name="표준 3 3 5 4 3" xfId="39232"/>
    <cellStyle name="표준 3 3 5 4 3 2" xfId="39233"/>
    <cellStyle name="표준 3 3 5 4 3 3" xfId="39234"/>
    <cellStyle name="표준 3 3 5 4 4" xfId="39235"/>
    <cellStyle name="표준 3 3 5 4 5" xfId="39236"/>
    <cellStyle name="표준 3 3 5 5" xfId="39237"/>
    <cellStyle name="표준 3 3 5 5 2" xfId="39238"/>
    <cellStyle name="표준 3 3 5 5 2 2" xfId="39239"/>
    <cellStyle name="표준 3 3 5 5 2 2 2" xfId="39240"/>
    <cellStyle name="표준 3 3 5 5 2 2 3" xfId="39241"/>
    <cellStyle name="표준 3 3 5 5 2 3" xfId="39242"/>
    <cellStyle name="표준 3 3 5 5 2 4" xfId="39243"/>
    <cellStyle name="표준 3 3 5 5 3" xfId="39244"/>
    <cellStyle name="표준 3 3 5 5 3 2" xfId="39245"/>
    <cellStyle name="표준 3 3 5 5 3 3" xfId="39246"/>
    <cellStyle name="표준 3 3 5 5 4" xfId="39247"/>
    <cellStyle name="표준 3 3 5 5 5" xfId="39248"/>
    <cellStyle name="표준 3 3 5 6" xfId="39249"/>
    <cellStyle name="표준 3 3 5 6 2" xfId="39250"/>
    <cellStyle name="표준 3 3 5 6 2 2" xfId="39251"/>
    <cellStyle name="표준 3 3 5 6 2 2 2" xfId="39252"/>
    <cellStyle name="표준 3 3 5 6 2 2 3" xfId="39253"/>
    <cellStyle name="표준 3 3 5 6 2 3" xfId="39254"/>
    <cellStyle name="표준 3 3 5 6 2 4" xfId="39255"/>
    <cellStyle name="표준 3 3 5 6 3" xfId="39256"/>
    <cellStyle name="표준 3 3 5 6 3 2" xfId="39257"/>
    <cellStyle name="표준 3 3 5 6 3 3" xfId="39258"/>
    <cellStyle name="표준 3 3 5 6 4" xfId="39259"/>
    <cellStyle name="표준 3 3 5 6 5" xfId="39260"/>
    <cellStyle name="표준 3 3 5 7" xfId="39261"/>
    <cellStyle name="표준 3 3 5 7 2" xfId="39262"/>
    <cellStyle name="표준 3 3 5 7 2 2" xfId="39263"/>
    <cellStyle name="표준 3 3 5 7 2 3" xfId="39264"/>
    <cellStyle name="표준 3 3 5 7 3" xfId="39265"/>
    <cellStyle name="표준 3 3 5 7 4" xfId="39266"/>
    <cellStyle name="표준 3 3 5 8" xfId="39267"/>
    <cellStyle name="표준 3 3 5 8 2" xfId="39268"/>
    <cellStyle name="표준 3 3 5 8 3" xfId="39269"/>
    <cellStyle name="표준 3 3 5 9" xfId="39270"/>
    <cellStyle name="표준 3 3 6" xfId="39271"/>
    <cellStyle name="표준 3 3 6 2" xfId="39272"/>
    <cellStyle name="표준 3 3 6 2 2" xfId="39273"/>
    <cellStyle name="표준 3 3 6 2 2 2" xfId="39274"/>
    <cellStyle name="표준 3 3 6 2 2 2 2" xfId="39275"/>
    <cellStyle name="표준 3 3 6 2 2 2 3" xfId="39276"/>
    <cellStyle name="표준 3 3 6 2 2 3" xfId="39277"/>
    <cellStyle name="표준 3 3 6 2 2 4" xfId="39278"/>
    <cellStyle name="표준 3 3 6 2 3" xfId="39279"/>
    <cellStyle name="표준 3 3 6 2 3 2" xfId="39280"/>
    <cellStyle name="표준 3 3 6 2 3 3" xfId="39281"/>
    <cellStyle name="표준 3 3 6 2 4" xfId="39282"/>
    <cellStyle name="표준 3 3 6 2 5" xfId="39283"/>
    <cellStyle name="표준 3 3 6 3" xfId="39284"/>
    <cellStyle name="표준 3 3 6 3 2" xfId="39285"/>
    <cellStyle name="표준 3 3 6 3 2 2" xfId="39286"/>
    <cellStyle name="표준 3 3 6 3 2 2 2" xfId="39287"/>
    <cellStyle name="표준 3 3 6 3 2 2 3" xfId="39288"/>
    <cellStyle name="표준 3 3 6 3 2 3" xfId="39289"/>
    <cellStyle name="표준 3 3 6 3 2 4" xfId="39290"/>
    <cellStyle name="표준 3 3 6 3 3" xfId="39291"/>
    <cellStyle name="표준 3 3 6 3 3 2" xfId="39292"/>
    <cellStyle name="표준 3 3 6 3 3 3" xfId="39293"/>
    <cellStyle name="표준 3 3 6 3 4" xfId="39294"/>
    <cellStyle name="표준 3 3 6 3 5" xfId="39295"/>
    <cellStyle name="표준 3 3 6 4" xfId="39296"/>
    <cellStyle name="표준 3 3 6 4 2" xfId="39297"/>
    <cellStyle name="표준 3 3 6 4 2 2" xfId="39298"/>
    <cellStyle name="표준 3 3 6 4 2 3" xfId="39299"/>
    <cellStyle name="표준 3 3 6 4 3" xfId="39300"/>
    <cellStyle name="표준 3 3 6 4 4" xfId="39301"/>
    <cellStyle name="표준 3 3 6 5" xfId="39302"/>
    <cellStyle name="표준 3 3 6 5 2" xfId="39303"/>
    <cellStyle name="표준 3 3 6 5 3" xfId="39304"/>
    <cellStyle name="표준 3 3 6 6" xfId="39305"/>
    <cellStyle name="표준 3 3 6 7" xfId="39306"/>
    <cellStyle name="표준 3 3 7" xfId="39307"/>
    <cellStyle name="표준 3 3 7 2" xfId="39308"/>
    <cellStyle name="표준 3 3 7 2 2" xfId="39309"/>
    <cellStyle name="표준 3 3 7 2 2 2" xfId="39310"/>
    <cellStyle name="표준 3 3 7 2 2 2 2" xfId="39311"/>
    <cellStyle name="표준 3 3 7 2 2 2 3" xfId="39312"/>
    <cellStyle name="표준 3 3 7 2 2 3" xfId="39313"/>
    <cellStyle name="표준 3 3 7 2 2 4" xfId="39314"/>
    <cellStyle name="표준 3 3 7 2 3" xfId="39315"/>
    <cellStyle name="표준 3 3 7 2 3 2" xfId="39316"/>
    <cellStyle name="표준 3 3 7 2 3 3" xfId="39317"/>
    <cellStyle name="표준 3 3 7 2 4" xfId="39318"/>
    <cellStyle name="표준 3 3 7 2 5" xfId="39319"/>
    <cellStyle name="표준 3 3 7 3" xfId="39320"/>
    <cellStyle name="표준 3 3 7 3 2" xfId="39321"/>
    <cellStyle name="표준 3 3 7 3 2 2" xfId="39322"/>
    <cellStyle name="표준 3 3 7 3 2 2 2" xfId="39323"/>
    <cellStyle name="표준 3 3 7 3 2 2 3" xfId="39324"/>
    <cellStyle name="표준 3 3 7 3 2 3" xfId="39325"/>
    <cellStyle name="표준 3 3 7 3 2 4" xfId="39326"/>
    <cellStyle name="표준 3 3 7 3 3" xfId="39327"/>
    <cellStyle name="표준 3 3 7 3 3 2" xfId="39328"/>
    <cellStyle name="표준 3 3 7 3 3 3" xfId="39329"/>
    <cellStyle name="표준 3 3 7 3 4" xfId="39330"/>
    <cellStyle name="표준 3 3 7 3 5" xfId="39331"/>
    <cellStyle name="표준 3 3 7 4" xfId="39332"/>
    <cellStyle name="표준 3 3 7 4 2" xfId="39333"/>
    <cellStyle name="표준 3 3 7 4 2 2" xfId="39334"/>
    <cellStyle name="표준 3 3 7 4 2 3" xfId="39335"/>
    <cellStyle name="표준 3 3 7 4 3" xfId="39336"/>
    <cellStyle name="표준 3 3 7 4 4" xfId="39337"/>
    <cellStyle name="표준 3 3 7 5" xfId="39338"/>
    <cellStyle name="표준 3 3 7 5 2" xfId="39339"/>
    <cellStyle name="표준 3 3 7 5 3" xfId="39340"/>
    <cellStyle name="표준 3 3 7 6" xfId="39341"/>
    <cellStyle name="표준 3 3 7 7" xfId="39342"/>
    <cellStyle name="표준 3 3 8" xfId="39343"/>
    <cellStyle name="표준 3 3 8 2" xfId="39344"/>
    <cellStyle name="표준 3 3 8 2 2" xfId="39345"/>
    <cellStyle name="표준 3 3 8 2 2 2" xfId="39346"/>
    <cellStyle name="표준 3 3 8 2 2 3" xfId="39347"/>
    <cellStyle name="표준 3 3 8 2 3" xfId="39348"/>
    <cellStyle name="표준 3 3 8 2 4" xfId="39349"/>
    <cellStyle name="표준 3 3 8 3" xfId="39350"/>
    <cellStyle name="표준 3 3 8 3 2" xfId="39351"/>
    <cellStyle name="표준 3 3 8 3 3" xfId="39352"/>
    <cellStyle name="표준 3 3 8 4" xfId="39353"/>
    <cellStyle name="표준 3 3 8 5" xfId="39354"/>
    <cellStyle name="표준 3 3 9" xfId="39355"/>
    <cellStyle name="표준 3 3 9 2" xfId="39356"/>
    <cellStyle name="표준 3 3 9 2 2" xfId="39357"/>
    <cellStyle name="표준 3 3 9 2 2 2" xfId="39358"/>
    <cellStyle name="표준 3 3 9 2 2 3" xfId="39359"/>
    <cellStyle name="표준 3 3 9 2 3" xfId="39360"/>
    <cellStyle name="표준 3 3 9 2 4" xfId="39361"/>
    <cellStyle name="표준 3 3 9 3" xfId="39362"/>
    <cellStyle name="표준 3 3 9 3 2" xfId="39363"/>
    <cellStyle name="표준 3 3 9 3 3" xfId="39364"/>
    <cellStyle name="표준 3 3 9 4" xfId="39365"/>
    <cellStyle name="표준 3 3 9 5" xfId="39366"/>
    <cellStyle name="표준 3 4" xfId="39367"/>
    <cellStyle name="표준 3 4 10" xfId="39368"/>
    <cellStyle name="표준 3 4 10 2" xfId="39369"/>
    <cellStyle name="표준 3 4 10 2 2" xfId="39370"/>
    <cellStyle name="표준 3 4 10 2 2 2" xfId="39371"/>
    <cellStyle name="표준 3 4 10 2 2 3" xfId="39372"/>
    <cellStyle name="표준 3 4 10 2 3" xfId="39373"/>
    <cellStyle name="표준 3 4 10 2 4" xfId="39374"/>
    <cellStyle name="표준 3 4 10 3" xfId="39375"/>
    <cellStyle name="표준 3 4 10 3 2" xfId="39376"/>
    <cellStyle name="표준 3 4 10 3 3" xfId="39377"/>
    <cellStyle name="표준 3 4 10 4" xfId="39378"/>
    <cellStyle name="표준 3 4 10 5" xfId="39379"/>
    <cellStyle name="표준 3 4 11" xfId="39380"/>
    <cellStyle name="표준 3 4 11 2" xfId="39381"/>
    <cellStyle name="표준 3 4 11 2 2" xfId="39382"/>
    <cellStyle name="표준 3 4 11 2 3" xfId="39383"/>
    <cellStyle name="표준 3 4 11 3" xfId="39384"/>
    <cellStyle name="표준 3 4 11 4" xfId="39385"/>
    <cellStyle name="표준 3 4 12" xfId="39386"/>
    <cellStyle name="표준 3 4 12 2" xfId="39387"/>
    <cellStyle name="표준 3 4 12 3" xfId="39388"/>
    <cellStyle name="표준 3 4 13" xfId="39389"/>
    <cellStyle name="표준 3 4 14" xfId="39390"/>
    <cellStyle name="표준 3 4 15" xfId="39391"/>
    <cellStyle name="표준 3 4 16" xfId="39392"/>
    <cellStyle name="표준 3 4 2" xfId="39393"/>
    <cellStyle name="표준 3 4 2 10" xfId="39394"/>
    <cellStyle name="표준 3 4 2 10 2" xfId="39395"/>
    <cellStyle name="표준 3 4 2 10 2 2" xfId="39396"/>
    <cellStyle name="표준 3 4 2 10 2 3" xfId="39397"/>
    <cellStyle name="표준 3 4 2 10 3" xfId="39398"/>
    <cellStyle name="표준 3 4 2 10 4" xfId="39399"/>
    <cellStyle name="표준 3 4 2 11" xfId="39400"/>
    <cellStyle name="표준 3 4 2 11 2" xfId="39401"/>
    <cellStyle name="표준 3 4 2 11 3" xfId="39402"/>
    <cellStyle name="표준 3 4 2 12" xfId="39403"/>
    <cellStyle name="표준 3 4 2 13" xfId="39404"/>
    <cellStyle name="표준 3 4 2 14" xfId="39405"/>
    <cellStyle name="표준 3 4 2 15" xfId="39406"/>
    <cellStyle name="표준 3 4 2 2" xfId="39407"/>
    <cellStyle name="표준 3 4 2 2 10" xfId="39408"/>
    <cellStyle name="표준 3 4 2 2 2" xfId="39409"/>
    <cellStyle name="표준 3 4 2 2 2 2" xfId="39410"/>
    <cellStyle name="표준 3 4 2 2 2 2 2" xfId="39411"/>
    <cellStyle name="표준 3 4 2 2 2 2 2 2" xfId="39412"/>
    <cellStyle name="표준 3 4 2 2 2 2 2 2 2" xfId="39413"/>
    <cellStyle name="표준 3 4 2 2 2 2 2 2 3" xfId="39414"/>
    <cellStyle name="표준 3 4 2 2 2 2 2 3" xfId="39415"/>
    <cellStyle name="표준 3 4 2 2 2 2 2 4" xfId="39416"/>
    <cellStyle name="표준 3 4 2 2 2 2 3" xfId="39417"/>
    <cellStyle name="표준 3 4 2 2 2 2 3 2" xfId="39418"/>
    <cellStyle name="표준 3 4 2 2 2 2 3 3" xfId="39419"/>
    <cellStyle name="표준 3 4 2 2 2 2 4" xfId="39420"/>
    <cellStyle name="표준 3 4 2 2 2 2 5" xfId="39421"/>
    <cellStyle name="표준 3 4 2 2 2 3" xfId="39422"/>
    <cellStyle name="표준 3 4 2 2 2 3 2" xfId="39423"/>
    <cellStyle name="표준 3 4 2 2 2 3 2 2" xfId="39424"/>
    <cellStyle name="표준 3 4 2 2 2 3 2 2 2" xfId="39425"/>
    <cellStyle name="표준 3 4 2 2 2 3 2 2 3" xfId="39426"/>
    <cellStyle name="표준 3 4 2 2 2 3 2 3" xfId="39427"/>
    <cellStyle name="표준 3 4 2 2 2 3 2 4" xfId="39428"/>
    <cellStyle name="표준 3 4 2 2 2 3 3" xfId="39429"/>
    <cellStyle name="표준 3 4 2 2 2 3 3 2" xfId="39430"/>
    <cellStyle name="표준 3 4 2 2 2 3 3 3" xfId="39431"/>
    <cellStyle name="표준 3 4 2 2 2 3 4" xfId="39432"/>
    <cellStyle name="표준 3 4 2 2 2 3 5" xfId="39433"/>
    <cellStyle name="표준 3 4 2 2 2 4" xfId="39434"/>
    <cellStyle name="표준 3 4 2 2 2 4 2" xfId="39435"/>
    <cellStyle name="표준 3 4 2 2 2 4 2 2" xfId="39436"/>
    <cellStyle name="표준 3 4 2 2 2 4 2 3" xfId="39437"/>
    <cellStyle name="표준 3 4 2 2 2 4 3" xfId="39438"/>
    <cellStyle name="표준 3 4 2 2 2 4 4" xfId="39439"/>
    <cellStyle name="표준 3 4 2 2 2 5" xfId="39440"/>
    <cellStyle name="표준 3 4 2 2 2 5 2" xfId="39441"/>
    <cellStyle name="표준 3 4 2 2 2 5 3" xfId="39442"/>
    <cellStyle name="표준 3 4 2 2 2 6" xfId="39443"/>
    <cellStyle name="표준 3 4 2 2 2 7" xfId="39444"/>
    <cellStyle name="표준 3 4 2 2 3" xfId="39445"/>
    <cellStyle name="표준 3 4 2 2 3 2" xfId="39446"/>
    <cellStyle name="표준 3 4 2 2 3 2 2" xfId="39447"/>
    <cellStyle name="표준 3 4 2 2 3 2 2 2" xfId="39448"/>
    <cellStyle name="표준 3 4 2 2 3 2 2 2 2" xfId="39449"/>
    <cellStyle name="표준 3 4 2 2 3 2 2 2 3" xfId="39450"/>
    <cellStyle name="표준 3 4 2 2 3 2 2 3" xfId="39451"/>
    <cellStyle name="표준 3 4 2 2 3 2 2 4" xfId="39452"/>
    <cellStyle name="표준 3 4 2 2 3 2 3" xfId="39453"/>
    <cellStyle name="표준 3 4 2 2 3 2 3 2" xfId="39454"/>
    <cellStyle name="표준 3 4 2 2 3 2 3 3" xfId="39455"/>
    <cellStyle name="표준 3 4 2 2 3 2 4" xfId="39456"/>
    <cellStyle name="표준 3 4 2 2 3 2 5" xfId="39457"/>
    <cellStyle name="표준 3 4 2 2 3 3" xfId="39458"/>
    <cellStyle name="표준 3 4 2 2 3 3 2" xfId="39459"/>
    <cellStyle name="표준 3 4 2 2 3 3 2 2" xfId="39460"/>
    <cellStyle name="표준 3 4 2 2 3 3 2 2 2" xfId="39461"/>
    <cellStyle name="표준 3 4 2 2 3 3 2 2 3" xfId="39462"/>
    <cellStyle name="표준 3 4 2 2 3 3 2 3" xfId="39463"/>
    <cellStyle name="표준 3 4 2 2 3 3 2 4" xfId="39464"/>
    <cellStyle name="표준 3 4 2 2 3 3 3" xfId="39465"/>
    <cellStyle name="표준 3 4 2 2 3 3 3 2" xfId="39466"/>
    <cellStyle name="표준 3 4 2 2 3 3 3 3" xfId="39467"/>
    <cellStyle name="표준 3 4 2 2 3 3 4" xfId="39468"/>
    <cellStyle name="표준 3 4 2 2 3 3 5" xfId="39469"/>
    <cellStyle name="표준 3 4 2 2 3 4" xfId="39470"/>
    <cellStyle name="표준 3 4 2 2 3 4 2" xfId="39471"/>
    <cellStyle name="표준 3 4 2 2 3 4 2 2" xfId="39472"/>
    <cellStyle name="표준 3 4 2 2 3 4 2 3" xfId="39473"/>
    <cellStyle name="표준 3 4 2 2 3 4 3" xfId="39474"/>
    <cellStyle name="표준 3 4 2 2 3 4 4" xfId="39475"/>
    <cellStyle name="표준 3 4 2 2 3 5" xfId="39476"/>
    <cellStyle name="표준 3 4 2 2 3 5 2" xfId="39477"/>
    <cellStyle name="표준 3 4 2 2 3 5 3" xfId="39478"/>
    <cellStyle name="표준 3 4 2 2 3 6" xfId="39479"/>
    <cellStyle name="표준 3 4 2 2 3 7" xfId="39480"/>
    <cellStyle name="표준 3 4 2 2 4" xfId="39481"/>
    <cellStyle name="표준 3 4 2 2 4 2" xfId="39482"/>
    <cellStyle name="표준 3 4 2 2 4 2 2" xfId="39483"/>
    <cellStyle name="표준 3 4 2 2 4 2 2 2" xfId="39484"/>
    <cellStyle name="표준 3 4 2 2 4 2 2 3" xfId="39485"/>
    <cellStyle name="표준 3 4 2 2 4 2 3" xfId="39486"/>
    <cellStyle name="표준 3 4 2 2 4 2 4" xfId="39487"/>
    <cellStyle name="표준 3 4 2 2 4 3" xfId="39488"/>
    <cellStyle name="표준 3 4 2 2 4 3 2" xfId="39489"/>
    <cellStyle name="표준 3 4 2 2 4 3 3" xfId="39490"/>
    <cellStyle name="표준 3 4 2 2 4 4" xfId="39491"/>
    <cellStyle name="표준 3 4 2 2 4 5" xfId="39492"/>
    <cellStyle name="표준 3 4 2 2 5" xfId="39493"/>
    <cellStyle name="표준 3 4 2 2 5 2" xfId="39494"/>
    <cellStyle name="표준 3 4 2 2 5 2 2" xfId="39495"/>
    <cellStyle name="표준 3 4 2 2 5 2 2 2" xfId="39496"/>
    <cellStyle name="표준 3 4 2 2 5 2 2 3" xfId="39497"/>
    <cellStyle name="표준 3 4 2 2 5 2 3" xfId="39498"/>
    <cellStyle name="표준 3 4 2 2 5 2 4" xfId="39499"/>
    <cellStyle name="표준 3 4 2 2 5 3" xfId="39500"/>
    <cellStyle name="표준 3 4 2 2 5 3 2" xfId="39501"/>
    <cellStyle name="표준 3 4 2 2 5 3 3" xfId="39502"/>
    <cellStyle name="표준 3 4 2 2 5 4" xfId="39503"/>
    <cellStyle name="표준 3 4 2 2 5 5" xfId="39504"/>
    <cellStyle name="표준 3 4 2 2 6" xfId="39505"/>
    <cellStyle name="표준 3 4 2 2 6 2" xfId="39506"/>
    <cellStyle name="표준 3 4 2 2 6 2 2" xfId="39507"/>
    <cellStyle name="표준 3 4 2 2 6 2 2 2" xfId="39508"/>
    <cellStyle name="표준 3 4 2 2 6 2 2 3" xfId="39509"/>
    <cellStyle name="표준 3 4 2 2 6 2 3" xfId="39510"/>
    <cellStyle name="표준 3 4 2 2 6 2 4" xfId="39511"/>
    <cellStyle name="표준 3 4 2 2 6 3" xfId="39512"/>
    <cellStyle name="표준 3 4 2 2 6 3 2" xfId="39513"/>
    <cellStyle name="표준 3 4 2 2 6 3 3" xfId="39514"/>
    <cellStyle name="표준 3 4 2 2 6 4" xfId="39515"/>
    <cellStyle name="표준 3 4 2 2 6 5" xfId="39516"/>
    <cellStyle name="표준 3 4 2 2 7" xfId="39517"/>
    <cellStyle name="표준 3 4 2 2 7 2" xfId="39518"/>
    <cellStyle name="표준 3 4 2 2 7 2 2" xfId="39519"/>
    <cellStyle name="표준 3 4 2 2 7 2 3" xfId="39520"/>
    <cellStyle name="표준 3 4 2 2 7 3" xfId="39521"/>
    <cellStyle name="표준 3 4 2 2 7 4" xfId="39522"/>
    <cellStyle name="표준 3 4 2 2 8" xfId="39523"/>
    <cellStyle name="표준 3 4 2 2 8 2" xfId="39524"/>
    <cellStyle name="표준 3 4 2 2 8 3" xfId="39525"/>
    <cellStyle name="표준 3 4 2 2 9" xfId="39526"/>
    <cellStyle name="표준 3 4 2 3" xfId="39527"/>
    <cellStyle name="표준 3 4 2 3 10" xfId="39528"/>
    <cellStyle name="표준 3 4 2 3 2" xfId="39529"/>
    <cellStyle name="표준 3 4 2 3 2 2" xfId="39530"/>
    <cellStyle name="표준 3 4 2 3 2 2 2" xfId="39531"/>
    <cellStyle name="표준 3 4 2 3 2 2 2 2" xfId="39532"/>
    <cellStyle name="표준 3 4 2 3 2 2 2 2 2" xfId="39533"/>
    <cellStyle name="표준 3 4 2 3 2 2 2 2 3" xfId="39534"/>
    <cellStyle name="표준 3 4 2 3 2 2 2 3" xfId="39535"/>
    <cellStyle name="표준 3 4 2 3 2 2 2 4" xfId="39536"/>
    <cellStyle name="표준 3 4 2 3 2 2 3" xfId="39537"/>
    <cellStyle name="표준 3 4 2 3 2 2 3 2" xfId="39538"/>
    <cellStyle name="표준 3 4 2 3 2 2 3 3" xfId="39539"/>
    <cellStyle name="표준 3 4 2 3 2 2 4" xfId="39540"/>
    <cellStyle name="표준 3 4 2 3 2 2 5" xfId="39541"/>
    <cellStyle name="표준 3 4 2 3 2 3" xfId="39542"/>
    <cellStyle name="표준 3 4 2 3 2 3 2" xfId="39543"/>
    <cellStyle name="표준 3 4 2 3 2 3 2 2" xfId="39544"/>
    <cellStyle name="표준 3 4 2 3 2 3 2 2 2" xfId="39545"/>
    <cellStyle name="표준 3 4 2 3 2 3 2 2 3" xfId="39546"/>
    <cellStyle name="표준 3 4 2 3 2 3 2 3" xfId="39547"/>
    <cellStyle name="표준 3 4 2 3 2 3 2 4" xfId="39548"/>
    <cellStyle name="표준 3 4 2 3 2 3 3" xfId="39549"/>
    <cellStyle name="표준 3 4 2 3 2 3 3 2" xfId="39550"/>
    <cellStyle name="표준 3 4 2 3 2 3 3 3" xfId="39551"/>
    <cellStyle name="표준 3 4 2 3 2 3 4" xfId="39552"/>
    <cellStyle name="표준 3 4 2 3 2 3 5" xfId="39553"/>
    <cellStyle name="표준 3 4 2 3 2 4" xfId="39554"/>
    <cellStyle name="표준 3 4 2 3 2 4 2" xfId="39555"/>
    <cellStyle name="표준 3 4 2 3 2 4 2 2" xfId="39556"/>
    <cellStyle name="표준 3 4 2 3 2 4 2 3" xfId="39557"/>
    <cellStyle name="표준 3 4 2 3 2 4 3" xfId="39558"/>
    <cellStyle name="표준 3 4 2 3 2 4 4" xfId="39559"/>
    <cellStyle name="표준 3 4 2 3 2 5" xfId="39560"/>
    <cellStyle name="표준 3 4 2 3 2 5 2" xfId="39561"/>
    <cellStyle name="표준 3 4 2 3 2 5 3" xfId="39562"/>
    <cellStyle name="표준 3 4 2 3 2 6" xfId="39563"/>
    <cellStyle name="표준 3 4 2 3 2 7" xfId="39564"/>
    <cellStyle name="표준 3 4 2 3 3" xfId="39565"/>
    <cellStyle name="표준 3 4 2 3 3 2" xfId="39566"/>
    <cellStyle name="표준 3 4 2 3 3 2 2" xfId="39567"/>
    <cellStyle name="표준 3 4 2 3 3 2 2 2" xfId="39568"/>
    <cellStyle name="표준 3 4 2 3 3 2 2 2 2" xfId="39569"/>
    <cellStyle name="표준 3 4 2 3 3 2 2 2 3" xfId="39570"/>
    <cellStyle name="표준 3 4 2 3 3 2 2 3" xfId="39571"/>
    <cellStyle name="표준 3 4 2 3 3 2 2 4" xfId="39572"/>
    <cellStyle name="표준 3 4 2 3 3 2 3" xfId="39573"/>
    <cellStyle name="표준 3 4 2 3 3 2 3 2" xfId="39574"/>
    <cellStyle name="표준 3 4 2 3 3 2 3 3" xfId="39575"/>
    <cellStyle name="표준 3 4 2 3 3 2 4" xfId="39576"/>
    <cellStyle name="표준 3 4 2 3 3 2 5" xfId="39577"/>
    <cellStyle name="표준 3 4 2 3 3 3" xfId="39578"/>
    <cellStyle name="표준 3 4 2 3 3 3 2" xfId="39579"/>
    <cellStyle name="표준 3 4 2 3 3 3 2 2" xfId="39580"/>
    <cellStyle name="표준 3 4 2 3 3 3 2 2 2" xfId="39581"/>
    <cellStyle name="표준 3 4 2 3 3 3 2 2 3" xfId="39582"/>
    <cellStyle name="표준 3 4 2 3 3 3 2 3" xfId="39583"/>
    <cellStyle name="표준 3 4 2 3 3 3 2 4" xfId="39584"/>
    <cellStyle name="표준 3 4 2 3 3 3 3" xfId="39585"/>
    <cellStyle name="표준 3 4 2 3 3 3 3 2" xfId="39586"/>
    <cellStyle name="표준 3 4 2 3 3 3 3 3" xfId="39587"/>
    <cellStyle name="표준 3 4 2 3 3 3 4" xfId="39588"/>
    <cellStyle name="표준 3 4 2 3 3 3 5" xfId="39589"/>
    <cellStyle name="표준 3 4 2 3 3 4" xfId="39590"/>
    <cellStyle name="표준 3 4 2 3 3 4 2" xfId="39591"/>
    <cellStyle name="표준 3 4 2 3 3 4 2 2" xfId="39592"/>
    <cellStyle name="표준 3 4 2 3 3 4 2 3" xfId="39593"/>
    <cellStyle name="표준 3 4 2 3 3 4 3" xfId="39594"/>
    <cellStyle name="표준 3 4 2 3 3 4 4" xfId="39595"/>
    <cellStyle name="표준 3 4 2 3 3 5" xfId="39596"/>
    <cellStyle name="표준 3 4 2 3 3 5 2" xfId="39597"/>
    <cellStyle name="표준 3 4 2 3 3 5 3" xfId="39598"/>
    <cellStyle name="표준 3 4 2 3 3 6" xfId="39599"/>
    <cellStyle name="표준 3 4 2 3 3 7" xfId="39600"/>
    <cellStyle name="표준 3 4 2 3 4" xfId="39601"/>
    <cellStyle name="표준 3 4 2 3 4 2" xfId="39602"/>
    <cellStyle name="표준 3 4 2 3 4 2 2" xfId="39603"/>
    <cellStyle name="표준 3 4 2 3 4 2 2 2" xfId="39604"/>
    <cellStyle name="표준 3 4 2 3 4 2 2 3" xfId="39605"/>
    <cellStyle name="표준 3 4 2 3 4 2 3" xfId="39606"/>
    <cellStyle name="표준 3 4 2 3 4 2 4" xfId="39607"/>
    <cellStyle name="표준 3 4 2 3 4 3" xfId="39608"/>
    <cellStyle name="표준 3 4 2 3 4 3 2" xfId="39609"/>
    <cellStyle name="표준 3 4 2 3 4 3 3" xfId="39610"/>
    <cellStyle name="표준 3 4 2 3 4 4" xfId="39611"/>
    <cellStyle name="표준 3 4 2 3 4 5" xfId="39612"/>
    <cellStyle name="표준 3 4 2 3 5" xfId="39613"/>
    <cellStyle name="표준 3 4 2 3 5 2" xfId="39614"/>
    <cellStyle name="표준 3 4 2 3 5 2 2" xfId="39615"/>
    <cellStyle name="표준 3 4 2 3 5 2 2 2" xfId="39616"/>
    <cellStyle name="표준 3 4 2 3 5 2 2 3" xfId="39617"/>
    <cellStyle name="표준 3 4 2 3 5 2 3" xfId="39618"/>
    <cellStyle name="표준 3 4 2 3 5 2 4" xfId="39619"/>
    <cellStyle name="표준 3 4 2 3 5 3" xfId="39620"/>
    <cellStyle name="표준 3 4 2 3 5 3 2" xfId="39621"/>
    <cellStyle name="표준 3 4 2 3 5 3 3" xfId="39622"/>
    <cellStyle name="표준 3 4 2 3 5 4" xfId="39623"/>
    <cellStyle name="표준 3 4 2 3 5 5" xfId="39624"/>
    <cellStyle name="표준 3 4 2 3 6" xfId="39625"/>
    <cellStyle name="표준 3 4 2 3 6 2" xfId="39626"/>
    <cellStyle name="표준 3 4 2 3 6 2 2" xfId="39627"/>
    <cellStyle name="표준 3 4 2 3 6 2 2 2" xfId="39628"/>
    <cellStyle name="표준 3 4 2 3 6 2 2 3" xfId="39629"/>
    <cellStyle name="표준 3 4 2 3 6 2 3" xfId="39630"/>
    <cellStyle name="표준 3 4 2 3 6 2 4" xfId="39631"/>
    <cellStyle name="표준 3 4 2 3 6 3" xfId="39632"/>
    <cellStyle name="표준 3 4 2 3 6 3 2" xfId="39633"/>
    <cellStyle name="표준 3 4 2 3 6 3 3" xfId="39634"/>
    <cellStyle name="표준 3 4 2 3 6 4" xfId="39635"/>
    <cellStyle name="표준 3 4 2 3 6 5" xfId="39636"/>
    <cellStyle name="표준 3 4 2 3 7" xfId="39637"/>
    <cellStyle name="표준 3 4 2 3 7 2" xfId="39638"/>
    <cellStyle name="표준 3 4 2 3 7 2 2" xfId="39639"/>
    <cellStyle name="표준 3 4 2 3 7 2 3" xfId="39640"/>
    <cellStyle name="표준 3 4 2 3 7 3" xfId="39641"/>
    <cellStyle name="표준 3 4 2 3 7 4" xfId="39642"/>
    <cellStyle name="표준 3 4 2 3 8" xfId="39643"/>
    <cellStyle name="표준 3 4 2 3 8 2" xfId="39644"/>
    <cellStyle name="표준 3 4 2 3 8 3" xfId="39645"/>
    <cellStyle name="표준 3 4 2 3 9" xfId="39646"/>
    <cellStyle name="표준 3 4 2 4" xfId="39647"/>
    <cellStyle name="표준 3 4 2 4 10" xfId="39648"/>
    <cellStyle name="표준 3 4 2 4 2" xfId="39649"/>
    <cellStyle name="표준 3 4 2 4 2 2" xfId="39650"/>
    <cellStyle name="표준 3 4 2 4 2 2 2" xfId="39651"/>
    <cellStyle name="표준 3 4 2 4 2 2 2 2" xfId="39652"/>
    <cellStyle name="표준 3 4 2 4 2 2 2 2 2" xfId="39653"/>
    <cellStyle name="표준 3 4 2 4 2 2 2 2 3" xfId="39654"/>
    <cellStyle name="표준 3 4 2 4 2 2 2 3" xfId="39655"/>
    <cellStyle name="표준 3 4 2 4 2 2 2 4" xfId="39656"/>
    <cellStyle name="표준 3 4 2 4 2 2 3" xfId="39657"/>
    <cellStyle name="표준 3 4 2 4 2 2 3 2" xfId="39658"/>
    <cellStyle name="표준 3 4 2 4 2 2 3 3" xfId="39659"/>
    <cellStyle name="표준 3 4 2 4 2 2 4" xfId="39660"/>
    <cellStyle name="표준 3 4 2 4 2 2 5" xfId="39661"/>
    <cellStyle name="표준 3 4 2 4 2 3" xfId="39662"/>
    <cellStyle name="표준 3 4 2 4 2 3 2" xfId="39663"/>
    <cellStyle name="표준 3 4 2 4 2 3 2 2" xfId="39664"/>
    <cellStyle name="표준 3 4 2 4 2 3 2 2 2" xfId="39665"/>
    <cellStyle name="표준 3 4 2 4 2 3 2 2 3" xfId="39666"/>
    <cellStyle name="표준 3 4 2 4 2 3 2 3" xfId="39667"/>
    <cellStyle name="표준 3 4 2 4 2 3 2 4" xfId="39668"/>
    <cellStyle name="표준 3 4 2 4 2 3 3" xfId="39669"/>
    <cellStyle name="표준 3 4 2 4 2 3 3 2" xfId="39670"/>
    <cellStyle name="표준 3 4 2 4 2 3 3 3" xfId="39671"/>
    <cellStyle name="표준 3 4 2 4 2 3 4" xfId="39672"/>
    <cellStyle name="표준 3 4 2 4 2 3 5" xfId="39673"/>
    <cellStyle name="표준 3 4 2 4 2 4" xfId="39674"/>
    <cellStyle name="표준 3 4 2 4 2 4 2" xfId="39675"/>
    <cellStyle name="표준 3 4 2 4 2 4 2 2" xfId="39676"/>
    <cellStyle name="표준 3 4 2 4 2 4 2 3" xfId="39677"/>
    <cellStyle name="표준 3 4 2 4 2 4 3" xfId="39678"/>
    <cellStyle name="표준 3 4 2 4 2 4 4" xfId="39679"/>
    <cellStyle name="표준 3 4 2 4 2 5" xfId="39680"/>
    <cellStyle name="표준 3 4 2 4 2 5 2" xfId="39681"/>
    <cellStyle name="표준 3 4 2 4 2 5 3" xfId="39682"/>
    <cellStyle name="표준 3 4 2 4 2 6" xfId="39683"/>
    <cellStyle name="표준 3 4 2 4 2 7" xfId="39684"/>
    <cellStyle name="표준 3 4 2 4 3" xfId="39685"/>
    <cellStyle name="표준 3 4 2 4 3 2" xfId="39686"/>
    <cellStyle name="표준 3 4 2 4 3 2 2" xfId="39687"/>
    <cellStyle name="표준 3 4 2 4 3 2 2 2" xfId="39688"/>
    <cellStyle name="표준 3 4 2 4 3 2 2 2 2" xfId="39689"/>
    <cellStyle name="표준 3 4 2 4 3 2 2 2 3" xfId="39690"/>
    <cellStyle name="표준 3 4 2 4 3 2 2 3" xfId="39691"/>
    <cellStyle name="표준 3 4 2 4 3 2 2 4" xfId="39692"/>
    <cellStyle name="표준 3 4 2 4 3 2 3" xfId="39693"/>
    <cellStyle name="표준 3 4 2 4 3 2 3 2" xfId="39694"/>
    <cellStyle name="표준 3 4 2 4 3 2 3 3" xfId="39695"/>
    <cellStyle name="표준 3 4 2 4 3 2 4" xfId="39696"/>
    <cellStyle name="표준 3 4 2 4 3 2 5" xfId="39697"/>
    <cellStyle name="표준 3 4 2 4 3 3" xfId="39698"/>
    <cellStyle name="표준 3 4 2 4 3 3 2" xfId="39699"/>
    <cellStyle name="표준 3 4 2 4 3 3 2 2" xfId="39700"/>
    <cellStyle name="표준 3 4 2 4 3 3 2 2 2" xfId="39701"/>
    <cellStyle name="표준 3 4 2 4 3 3 2 2 3" xfId="39702"/>
    <cellStyle name="표준 3 4 2 4 3 3 2 3" xfId="39703"/>
    <cellStyle name="표준 3 4 2 4 3 3 2 4" xfId="39704"/>
    <cellStyle name="표준 3 4 2 4 3 3 3" xfId="39705"/>
    <cellStyle name="표준 3 4 2 4 3 3 3 2" xfId="39706"/>
    <cellStyle name="표준 3 4 2 4 3 3 3 3" xfId="39707"/>
    <cellStyle name="표준 3 4 2 4 3 3 4" xfId="39708"/>
    <cellStyle name="표준 3 4 2 4 3 3 5" xfId="39709"/>
    <cellStyle name="표준 3 4 2 4 3 4" xfId="39710"/>
    <cellStyle name="표준 3 4 2 4 3 4 2" xfId="39711"/>
    <cellStyle name="표준 3 4 2 4 3 4 2 2" xfId="39712"/>
    <cellStyle name="표준 3 4 2 4 3 4 2 3" xfId="39713"/>
    <cellStyle name="표준 3 4 2 4 3 4 3" xfId="39714"/>
    <cellStyle name="표준 3 4 2 4 3 4 4" xfId="39715"/>
    <cellStyle name="표준 3 4 2 4 3 5" xfId="39716"/>
    <cellStyle name="표준 3 4 2 4 3 5 2" xfId="39717"/>
    <cellStyle name="표준 3 4 2 4 3 5 3" xfId="39718"/>
    <cellStyle name="표준 3 4 2 4 3 6" xfId="39719"/>
    <cellStyle name="표준 3 4 2 4 3 7" xfId="39720"/>
    <cellStyle name="표준 3 4 2 4 4" xfId="39721"/>
    <cellStyle name="표준 3 4 2 4 4 2" xfId="39722"/>
    <cellStyle name="표준 3 4 2 4 4 2 2" xfId="39723"/>
    <cellStyle name="표준 3 4 2 4 4 2 2 2" xfId="39724"/>
    <cellStyle name="표준 3 4 2 4 4 2 2 3" xfId="39725"/>
    <cellStyle name="표준 3 4 2 4 4 2 3" xfId="39726"/>
    <cellStyle name="표준 3 4 2 4 4 2 4" xfId="39727"/>
    <cellStyle name="표준 3 4 2 4 4 3" xfId="39728"/>
    <cellStyle name="표준 3 4 2 4 4 3 2" xfId="39729"/>
    <cellStyle name="표준 3 4 2 4 4 3 3" xfId="39730"/>
    <cellStyle name="표준 3 4 2 4 4 4" xfId="39731"/>
    <cellStyle name="표준 3 4 2 4 4 5" xfId="39732"/>
    <cellStyle name="표준 3 4 2 4 5" xfId="39733"/>
    <cellStyle name="표준 3 4 2 4 5 2" xfId="39734"/>
    <cellStyle name="표준 3 4 2 4 5 2 2" xfId="39735"/>
    <cellStyle name="표준 3 4 2 4 5 2 2 2" xfId="39736"/>
    <cellStyle name="표준 3 4 2 4 5 2 2 3" xfId="39737"/>
    <cellStyle name="표준 3 4 2 4 5 2 3" xfId="39738"/>
    <cellStyle name="표준 3 4 2 4 5 2 4" xfId="39739"/>
    <cellStyle name="표준 3 4 2 4 5 3" xfId="39740"/>
    <cellStyle name="표준 3 4 2 4 5 3 2" xfId="39741"/>
    <cellStyle name="표준 3 4 2 4 5 3 3" xfId="39742"/>
    <cellStyle name="표준 3 4 2 4 5 4" xfId="39743"/>
    <cellStyle name="표준 3 4 2 4 5 5" xfId="39744"/>
    <cellStyle name="표준 3 4 2 4 6" xfId="39745"/>
    <cellStyle name="표준 3 4 2 4 6 2" xfId="39746"/>
    <cellStyle name="표준 3 4 2 4 6 2 2" xfId="39747"/>
    <cellStyle name="표준 3 4 2 4 6 2 2 2" xfId="39748"/>
    <cellStyle name="표준 3 4 2 4 6 2 2 3" xfId="39749"/>
    <cellStyle name="표준 3 4 2 4 6 2 3" xfId="39750"/>
    <cellStyle name="표준 3 4 2 4 6 2 4" xfId="39751"/>
    <cellStyle name="표준 3 4 2 4 6 3" xfId="39752"/>
    <cellStyle name="표준 3 4 2 4 6 3 2" xfId="39753"/>
    <cellStyle name="표준 3 4 2 4 6 3 3" xfId="39754"/>
    <cellStyle name="표준 3 4 2 4 6 4" xfId="39755"/>
    <cellStyle name="표준 3 4 2 4 6 5" xfId="39756"/>
    <cellStyle name="표준 3 4 2 4 7" xfId="39757"/>
    <cellStyle name="표준 3 4 2 4 7 2" xfId="39758"/>
    <cellStyle name="표준 3 4 2 4 7 2 2" xfId="39759"/>
    <cellStyle name="표준 3 4 2 4 7 2 3" xfId="39760"/>
    <cellStyle name="표준 3 4 2 4 7 3" xfId="39761"/>
    <cellStyle name="표준 3 4 2 4 7 4" xfId="39762"/>
    <cellStyle name="표준 3 4 2 4 8" xfId="39763"/>
    <cellStyle name="표준 3 4 2 4 8 2" xfId="39764"/>
    <cellStyle name="표준 3 4 2 4 8 3" xfId="39765"/>
    <cellStyle name="표준 3 4 2 4 9" xfId="39766"/>
    <cellStyle name="표준 3 4 2 5" xfId="39767"/>
    <cellStyle name="표준 3 4 2 5 2" xfId="39768"/>
    <cellStyle name="표준 3 4 2 5 2 2" xfId="39769"/>
    <cellStyle name="표준 3 4 2 5 2 2 2" xfId="39770"/>
    <cellStyle name="표준 3 4 2 5 2 2 2 2" xfId="39771"/>
    <cellStyle name="표준 3 4 2 5 2 2 2 3" xfId="39772"/>
    <cellStyle name="표준 3 4 2 5 2 2 3" xfId="39773"/>
    <cellStyle name="표준 3 4 2 5 2 2 4" xfId="39774"/>
    <cellStyle name="표준 3 4 2 5 2 3" xfId="39775"/>
    <cellStyle name="표준 3 4 2 5 2 3 2" xfId="39776"/>
    <cellStyle name="표준 3 4 2 5 2 3 3" xfId="39777"/>
    <cellStyle name="표준 3 4 2 5 2 4" xfId="39778"/>
    <cellStyle name="표준 3 4 2 5 2 5" xfId="39779"/>
    <cellStyle name="표준 3 4 2 5 3" xfId="39780"/>
    <cellStyle name="표준 3 4 2 5 3 2" xfId="39781"/>
    <cellStyle name="표준 3 4 2 5 3 2 2" xfId="39782"/>
    <cellStyle name="표준 3 4 2 5 3 2 2 2" xfId="39783"/>
    <cellStyle name="표준 3 4 2 5 3 2 2 3" xfId="39784"/>
    <cellStyle name="표준 3 4 2 5 3 2 3" xfId="39785"/>
    <cellStyle name="표준 3 4 2 5 3 2 4" xfId="39786"/>
    <cellStyle name="표준 3 4 2 5 3 3" xfId="39787"/>
    <cellStyle name="표준 3 4 2 5 3 3 2" xfId="39788"/>
    <cellStyle name="표준 3 4 2 5 3 3 3" xfId="39789"/>
    <cellStyle name="표준 3 4 2 5 3 4" xfId="39790"/>
    <cellStyle name="표준 3 4 2 5 3 5" xfId="39791"/>
    <cellStyle name="표준 3 4 2 5 4" xfId="39792"/>
    <cellStyle name="표준 3 4 2 5 4 2" xfId="39793"/>
    <cellStyle name="표준 3 4 2 5 4 2 2" xfId="39794"/>
    <cellStyle name="표준 3 4 2 5 4 2 3" xfId="39795"/>
    <cellStyle name="표준 3 4 2 5 4 3" xfId="39796"/>
    <cellStyle name="표준 3 4 2 5 4 4" xfId="39797"/>
    <cellStyle name="표준 3 4 2 5 5" xfId="39798"/>
    <cellStyle name="표준 3 4 2 5 5 2" xfId="39799"/>
    <cellStyle name="표준 3 4 2 5 5 3" xfId="39800"/>
    <cellStyle name="표준 3 4 2 5 6" xfId="39801"/>
    <cellStyle name="표준 3 4 2 5 7" xfId="39802"/>
    <cellStyle name="표준 3 4 2 6" xfId="39803"/>
    <cellStyle name="표준 3 4 2 6 2" xfId="39804"/>
    <cellStyle name="표준 3 4 2 6 2 2" xfId="39805"/>
    <cellStyle name="표준 3 4 2 6 2 2 2" xfId="39806"/>
    <cellStyle name="표준 3 4 2 6 2 2 2 2" xfId="39807"/>
    <cellStyle name="표준 3 4 2 6 2 2 2 3" xfId="39808"/>
    <cellStyle name="표준 3 4 2 6 2 2 3" xfId="39809"/>
    <cellStyle name="표준 3 4 2 6 2 2 4" xfId="39810"/>
    <cellStyle name="표준 3 4 2 6 2 3" xfId="39811"/>
    <cellStyle name="표준 3 4 2 6 2 3 2" xfId="39812"/>
    <cellStyle name="표준 3 4 2 6 2 3 3" xfId="39813"/>
    <cellStyle name="표준 3 4 2 6 2 4" xfId="39814"/>
    <cellStyle name="표준 3 4 2 6 2 5" xfId="39815"/>
    <cellStyle name="표준 3 4 2 6 3" xfId="39816"/>
    <cellStyle name="표준 3 4 2 6 3 2" xfId="39817"/>
    <cellStyle name="표준 3 4 2 6 3 2 2" xfId="39818"/>
    <cellStyle name="표준 3 4 2 6 3 2 2 2" xfId="39819"/>
    <cellStyle name="표준 3 4 2 6 3 2 2 3" xfId="39820"/>
    <cellStyle name="표준 3 4 2 6 3 2 3" xfId="39821"/>
    <cellStyle name="표준 3 4 2 6 3 2 4" xfId="39822"/>
    <cellStyle name="표준 3 4 2 6 3 3" xfId="39823"/>
    <cellStyle name="표준 3 4 2 6 3 3 2" xfId="39824"/>
    <cellStyle name="표준 3 4 2 6 3 3 3" xfId="39825"/>
    <cellStyle name="표준 3 4 2 6 3 4" xfId="39826"/>
    <cellStyle name="표준 3 4 2 6 3 5" xfId="39827"/>
    <cellStyle name="표준 3 4 2 6 4" xfId="39828"/>
    <cellStyle name="표준 3 4 2 6 4 2" xfId="39829"/>
    <cellStyle name="표준 3 4 2 6 4 2 2" xfId="39830"/>
    <cellStyle name="표준 3 4 2 6 4 2 3" xfId="39831"/>
    <cellStyle name="표준 3 4 2 6 4 3" xfId="39832"/>
    <cellStyle name="표준 3 4 2 6 4 4" xfId="39833"/>
    <cellStyle name="표준 3 4 2 6 5" xfId="39834"/>
    <cellStyle name="표준 3 4 2 6 5 2" xfId="39835"/>
    <cellStyle name="표준 3 4 2 6 5 3" xfId="39836"/>
    <cellStyle name="표준 3 4 2 6 6" xfId="39837"/>
    <cellStyle name="표준 3 4 2 6 7" xfId="39838"/>
    <cellStyle name="표준 3 4 2 7" xfId="39839"/>
    <cellStyle name="표준 3 4 2 7 2" xfId="39840"/>
    <cellStyle name="표준 3 4 2 7 2 2" xfId="39841"/>
    <cellStyle name="표준 3 4 2 7 2 2 2" xfId="39842"/>
    <cellStyle name="표준 3 4 2 7 2 2 3" xfId="39843"/>
    <cellStyle name="표준 3 4 2 7 2 3" xfId="39844"/>
    <cellStyle name="표준 3 4 2 7 2 4" xfId="39845"/>
    <cellStyle name="표준 3 4 2 7 3" xfId="39846"/>
    <cellStyle name="표준 3 4 2 7 3 2" xfId="39847"/>
    <cellStyle name="표준 3 4 2 7 3 3" xfId="39848"/>
    <cellStyle name="표준 3 4 2 7 4" xfId="39849"/>
    <cellStyle name="표준 3 4 2 7 5" xfId="39850"/>
    <cellStyle name="표준 3 4 2 8" xfId="39851"/>
    <cellStyle name="표준 3 4 2 8 2" xfId="39852"/>
    <cellStyle name="표준 3 4 2 8 2 2" xfId="39853"/>
    <cellStyle name="표준 3 4 2 8 2 2 2" xfId="39854"/>
    <cellStyle name="표준 3 4 2 8 2 2 3" xfId="39855"/>
    <cellStyle name="표준 3 4 2 8 2 3" xfId="39856"/>
    <cellStyle name="표준 3 4 2 8 2 4" xfId="39857"/>
    <cellStyle name="표준 3 4 2 8 3" xfId="39858"/>
    <cellStyle name="표준 3 4 2 8 3 2" xfId="39859"/>
    <cellStyle name="표준 3 4 2 8 3 3" xfId="39860"/>
    <cellStyle name="표준 3 4 2 8 4" xfId="39861"/>
    <cellStyle name="표준 3 4 2 8 5" xfId="39862"/>
    <cellStyle name="표준 3 4 2 9" xfId="39863"/>
    <cellStyle name="표준 3 4 2 9 2" xfId="39864"/>
    <cellStyle name="표준 3 4 2 9 2 2" xfId="39865"/>
    <cellStyle name="표준 3 4 2 9 2 2 2" xfId="39866"/>
    <cellStyle name="표준 3 4 2 9 2 2 3" xfId="39867"/>
    <cellStyle name="표준 3 4 2 9 2 3" xfId="39868"/>
    <cellStyle name="표준 3 4 2 9 2 4" xfId="39869"/>
    <cellStyle name="표준 3 4 2 9 3" xfId="39870"/>
    <cellStyle name="표준 3 4 2 9 3 2" xfId="39871"/>
    <cellStyle name="표준 3 4 2 9 3 3" xfId="39872"/>
    <cellStyle name="표준 3 4 2 9 4" xfId="39873"/>
    <cellStyle name="표준 3 4 2 9 5" xfId="39874"/>
    <cellStyle name="표준 3 4 3" xfId="39875"/>
    <cellStyle name="표준 3 4 3 10" xfId="39876"/>
    <cellStyle name="표준 3 4 3 2" xfId="39877"/>
    <cellStyle name="표준 3 4 3 2 2" xfId="39878"/>
    <cellStyle name="표준 3 4 3 2 2 2" xfId="39879"/>
    <cellStyle name="표준 3 4 3 2 2 2 2" xfId="39880"/>
    <cellStyle name="표준 3 4 3 2 2 2 2 2" xfId="39881"/>
    <cellStyle name="표준 3 4 3 2 2 2 2 3" xfId="39882"/>
    <cellStyle name="표준 3 4 3 2 2 2 3" xfId="39883"/>
    <cellStyle name="표준 3 4 3 2 2 2 4" xfId="39884"/>
    <cellStyle name="표준 3 4 3 2 2 3" xfId="39885"/>
    <cellStyle name="표준 3 4 3 2 2 3 2" xfId="39886"/>
    <cellStyle name="표준 3 4 3 2 2 3 3" xfId="39887"/>
    <cellStyle name="표준 3 4 3 2 2 4" xfId="39888"/>
    <cellStyle name="표준 3 4 3 2 2 5" xfId="39889"/>
    <cellStyle name="표준 3 4 3 2 3" xfId="39890"/>
    <cellStyle name="표준 3 4 3 2 3 2" xfId="39891"/>
    <cellStyle name="표준 3 4 3 2 3 2 2" xfId="39892"/>
    <cellStyle name="표준 3 4 3 2 3 2 2 2" xfId="39893"/>
    <cellStyle name="표준 3 4 3 2 3 2 2 3" xfId="39894"/>
    <cellStyle name="표준 3 4 3 2 3 2 3" xfId="39895"/>
    <cellStyle name="표준 3 4 3 2 3 2 4" xfId="39896"/>
    <cellStyle name="표준 3 4 3 2 3 3" xfId="39897"/>
    <cellStyle name="표준 3 4 3 2 3 3 2" xfId="39898"/>
    <cellStyle name="표준 3 4 3 2 3 3 3" xfId="39899"/>
    <cellStyle name="표준 3 4 3 2 3 4" xfId="39900"/>
    <cellStyle name="표준 3 4 3 2 3 5" xfId="39901"/>
    <cellStyle name="표준 3 4 3 2 4" xfId="39902"/>
    <cellStyle name="표준 3 4 3 2 4 2" xfId="39903"/>
    <cellStyle name="표준 3 4 3 2 4 2 2" xfId="39904"/>
    <cellStyle name="표준 3 4 3 2 4 2 3" xfId="39905"/>
    <cellStyle name="표준 3 4 3 2 4 3" xfId="39906"/>
    <cellStyle name="표준 3 4 3 2 4 4" xfId="39907"/>
    <cellStyle name="표준 3 4 3 2 5" xfId="39908"/>
    <cellStyle name="표준 3 4 3 2 5 2" xfId="39909"/>
    <cellStyle name="표준 3 4 3 2 5 3" xfId="39910"/>
    <cellStyle name="표준 3 4 3 2 6" xfId="39911"/>
    <cellStyle name="표준 3 4 3 2 7" xfId="39912"/>
    <cellStyle name="표준 3 4 3 3" xfId="39913"/>
    <cellStyle name="표준 3 4 3 3 2" xfId="39914"/>
    <cellStyle name="표준 3 4 3 3 2 2" xfId="39915"/>
    <cellStyle name="표준 3 4 3 3 2 2 2" xfId="39916"/>
    <cellStyle name="표준 3 4 3 3 2 2 2 2" xfId="39917"/>
    <cellStyle name="표준 3 4 3 3 2 2 2 3" xfId="39918"/>
    <cellStyle name="표준 3 4 3 3 2 2 3" xfId="39919"/>
    <cellStyle name="표준 3 4 3 3 2 2 4" xfId="39920"/>
    <cellStyle name="표준 3 4 3 3 2 3" xfId="39921"/>
    <cellStyle name="표준 3 4 3 3 2 3 2" xfId="39922"/>
    <cellStyle name="표준 3 4 3 3 2 3 3" xfId="39923"/>
    <cellStyle name="표준 3 4 3 3 2 4" xfId="39924"/>
    <cellStyle name="표준 3 4 3 3 2 5" xfId="39925"/>
    <cellStyle name="표준 3 4 3 3 3" xfId="39926"/>
    <cellStyle name="표준 3 4 3 3 3 2" xfId="39927"/>
    <cellStyle name="표준 3 4 3 3 3 2 2" xfId="39928"/>
    <cellStyle name="표준 3 4 3 3 3 2 2 2" xfId="39929"/>
    <cellStyle name="표준 3 4 3 3 3 2 2 3" xfId="39930"/>
    <cellStyle name="표준 3 4 3 3 3 2 3" xfId="39931"/>
    <cellStyle name="표준 3 4 3 3 3 2 4" xfId="39932"/>
    <cellStyle name="표준 3 4 3 3 3 3" xfId="39933"/>
    <cellStyle name="표준 3 4 3 3 3 3 2" xfId="39934"/>
    <cellStyle name="표준 3 4 3 3 3 3 3" xfId="39935"/>
    <cellStyle name="표준 3 4 3 3 3 4" xfId="39936"/>
    <cellStyle name="표준 3 4 3 3 3 5" xfId="39937"/>
    <cellStyle name="표준 3 4 3 3 4" xfId="39938"/>
    <cellStyle name="표준 3 4 3 3 4 2" xfId="39939"/>
    <cellStyle name="표준 3 4 3 3 4 2 2" xfId="39940"/>
    <cellStyle name="표준 3 4 3 3 4 2 3" xfId="39941"/>
    <cellStyle name="표준 3 4 3 3 4 3" xfId="39942"/>
    <cellStyle name="표준 3 4 3 3 4 4" xfId="39943"/>
    <cellStyle name="표준 3 4 3 3 5" xfId="39944"/>
    <cellStyle name="표준 3 4 3 3 5 2" xfId="39945"/>
    <cellStyle name="표준 3 4 3 3 5 3" xfId="39946"/>
    <cellStyle name="표준 3 4 3 3 6" xfId="39947"/>
    <cellStyle name="표준 3 4 3 3 7" xfId="39948"/>
    <cellStyle name="표준 3 4 3 4" xfId="39949"/>
    <cellStyle name="표준 3 4 3 4 2" xfId="39950"/>
    <cellStyle name="표준 3 4 3 4 2 2" xfId="39951"/>
    <cellStyle name="표준 3 4 3 4 2 2 2" xfId="39952"/>
    <cellStyle name="표준 3 4 3 4 2 2 3" xfId="39953"/>
    <cellStyle name="표준 3 4 3 4 2 3" xfId="39954"/>
    <cellStyle name="표준 3 4 3 4 2 4" xfId="39955"/>
    <cellStyle name="표준 3 4 3 4 3" xfId="39956"/>
    <cellStyle name="표준 3 4 3 4 3 2" xfId="39957"/>
    <cellStyle name="표준 3 4 3 4 3 3" xfId="39958"/>
    <cellStyle name="표준 3 4 3 4 4" xfId="39959"/>
    <cellStyle name="표준 3 4 3 4 5" xfId="39960"/>
    <cellStyle name="표준 3 4 3 5" xfId="39961"/>
    <cellStyle name="표준 3 4 3 5 2" xfId="39962"/>
    <cellStyle name="표준 3 4 3 5 2 2" xfId="39963"/>
    <cellStyle name="표준 3 4 3 5 2 2 2" xfId="39964"/>
    <cellStyle name="표준 3 4 3 5 2 2 3" xfId="39965"/>
    <cellStyle name="표준 3 4 3 5 2 3" xfId="39966"/>
    <cellStyle name="표준 3 4 3 5 2 4" xfId="39967"/>
    <cellStyle name="표준 3 4 3 5 3" xfId="39968"/>
    <cellStyle name="표준 3 4 3 5 3 2" xfId="39969"/>
    <cellStyle name="표준 3 4 3 5 3 3" xfId="39970"/>
    <cellStyle name="표준 3 4 3 5 4" xfId="39971"/>
    <cellStyle name="표준 3 4 3 5 5" xfId="39972"/>
    <cellStyle name="표준 3 4 3 6" xfId="39973"/>
    <cellStyle name="표준 3 4 3 6 2" xfId="39974"/>
    <cellStyle name="표준 3 4 3 6 2 2" xfId="39975"/>
    <cellStyle name="표준 3 4 3 6 2 2 2" xfId="39976"/>
    <cellStyle name="표준 3 4 3 6 2 2 3" xfId="39977"/>
    <cellStyle name="표준 3 4 3 6 2 3" xfId="39978"/>
    <cellStyle name="표준 3 4 3 6 2 4" xfId="39979"/>
    <cellStyle name="표준 3 4 3 6 3" xfId="39980"/>
    <cellStyle name="표준 3 4 3 6 3 2" xfId="39981"/>
    <cellStyle name="표준 3 4 3 6 3 3" xfId="39982"/>
    <cellStyle name="표준 3 4 3 6 4" xfId="39983"/>
    <cellStyle name="표준 3 4 3 6 5" xfId="39984"/>
    <cellStyle name="표준 3 4 3 7" xfId="39985"/>
    <cellStyle name="표준 3 4 3 7 2" xfId="39986"/>
    <cellStyle name="표준 3 4 3 7 2 2" xfId="39987"/>
    <cellStyle name="표준 3 4 3 7 2 3" xfId="39988"/>
    <cellStyle name="표준 3 4 3 7 3" xfId="39989"/>
    <cellStyle name="표준 3 4 3 7 4" xfId="39990"/>
    <cellStyle name="표준 3 4 3 8" xfId="39991"/>
    <cellStyle name="표준 3 4 3 8 2" xfId="39992"/>
    <cellStyle name="표준 3 4 3 8 3" xfId="39993"/>
    <cellStyle name="표준 3 4 3 9" xfId="39994"/>
    <cellStyle name="표준 3 4 4" xfId="39995"/>
    <cellStyle name="표준 3 4 4 10" xfId="39996"/>
    <cellStyle name="표준 3 4 4 2" xfId="39997"/>
    <cellStyle name="표준 3 4 4 2 2" xfId="39998"/>
    <cellStyle name="표준 3 4 4 2 2 2" xfId="39999"/>
    <cellStyle name="표준 3 4 4 2 2 2 2" xfId="40000"/>
    <cellStyle name="표준 3 4 4 2 2 2 2 2" xfId="40001"/>
    <cellStyle name="표준 3 4 4 2 2 2 2 3" xfId="40002"/>
    <cellStyle name="표준 3 4 4 2 2 2 3" xfId="40003"/>
    <cellStyle name="표준 3 4 4 2 2 2 4" xfId="40004"/>
    <cellStyle name="표준 3 4 4 2 2 3" xfId="40005"/>
    <cellStyle name="표준 3 4 4 2 2 3 2" xfId="40006"/>
    <cellStyle name="표준 3 4 4 2 2 3 3" xfId="40007"/>
    <cellStyle name="표준 3 4 4 2 2 4" xfId="40008"/>
    <cellStyle name="표준 3 4 4 2 2 5" xfId="40009"/>
    <cellStyle name="표준 3 4 4 2 3" xfId="40010"/>
    <cellStyle name="표준 3 4 4 2 3 2" xfId="40011"/>
    <cellStyle name="표준 3 4 4 2 3 2 2" xfId="40012"/>
    <cellStyle name="표준 3 4 4 2 3 2 2 2" xfId="40013"/>
    <cellStyle name="표준 3 4 4 2 3 2 2 3" xfId="40014"/>
    <cellStyle name="표준 3 4 4 2 3 2 3" xfId="40015"/>
    <cellStyle name="표준 3 4 4 2 3 2 4" xfId="40016"/>
    <cellStyle name="표준 3 4 4 2 3 3" xfId="40017"/>
    <cellStyle name="표준 3 4 4 2 3 3 2" xfId="40018"/>
    <cellStyle name="표준 3 4 4 2 3 3 3" xfId="40019"/>
    <cellStyle name="표준 3 4 4 2 3 4" xfId="40020"/>
    <cellStyle name="표준 3 4 4 2 3 5" xfId="40021"/>
    <cellStyle name="표준 3 4 4 2 4" xfId="40022"/>
    <cellStyle name="표준 3 4 4 2 4 2" xfId="40023"/>
    <cellStyle name="표준 3 4 4 2 4 2 2" xfId="40024"/>
    <cellStyle name="표준 3 4 4 2 4 2 3" xfId="40025"/>
    <cellStyle name="표준 3 4 4 2 4 3" xfId="40026"/>
    <cellStyle name="표준 3 4 4 2 4 4" xfId="40027"/>
    <cellStyle name="표준 3 4 4 2 5" xfId="40028"/>
    <cellStyle name="표준 3 4 4 2 5 2" xfId="40029"/>
    <cellStyle name="표준 3 4 4 2 5 3" xfId="40030"/>
    <cellStyle name="표준 3 4 4 2 6" xfId="40031"/>
    <cellStyle name="표준 3 4 4 2 7" xfId="40032"/>
    <cellStyle name="표준 3 4 4 3" xfId="40033"/>
    <cellStyle name="표준 3 4 4 3 2" xfId="40034"/>
    <cellStyle name="표준 3 4 4 3 2 2" xfId="40035"/>
    <cellStyle name="표준 3 4 4 3 2 2 2" xfId="40036"/>
    <cellStyle name="표준 3 4 4 3 2 2 2 2" xfId="40037"/>
    <cellStyle name="표준 3 4 4 3 2 2 2 3" xfId="40038"/>
    <cellStyle name="표준 3 4 4 3 2 2 3" xfId="40039"/>
    <cellStyle name="표준 3 4 4 3 2 2 4" xfId="40040"/>
    <cellStyle name="표준 3 4 4 3 2 3" xfId="40041"/>
    <cellStyle name="표준 3 4 4 3 2 3 2" xfId="40042"/>
    <cellStyle name="표준 3 4 4 3 2 3 3" xfId="40043"/>
    <cellStyle name="표준 3 4 4 3 2 4" xfId="40044"/>
    <cellStyle name="표준 3 4 4 3 2 5" xfId="40045"/>
    <cellStyle name="표준 3 4 4 3 3" xfId="40046"/>
    <cellStyle name="표준 3 4 4 3 3 2" xfId="40047"/>
    <cellStyle name="표준 3 4 4 3 3 2 2" xfId="40048"/>
    <cellStyle name="표준 3 4 4 3 3 2 2 2" xfId="40049"/>
    <cellStyle name="표준 3 4 4 3 3 2 2 3" xfId="40050"/>
    <cellStyle name="표준 3 4 4 3 3 2 3" xfId="40051"/>
    <cellStyle name="표준 3 4 4 3 3 2 4" xfId="40052"/>
    <cellStyle name="표준 3 4 4 3 3 3" xfId="40053"/>
    <cellStyle name="표준 3 4 4 3 3 3 2" xfId="40054"/>
    <cellStyle name="표준 3 4 4 3 3 3 3" xfId="40055"/>
    <cellStyle name="표준 3 4 4 3 3 4" xfId="40056"/>
    <cellStyle name="표준 3 4 4 3 3 5" xfId="40057"/>
    <cellStyle name="표준 3 4 4 3 4" xfId="40058"/>
    <cellStyle name="표준 3 4 4 3 4 2" xfId="40059"/>
    <cellStyle name="표준 3 4 4 3 4 2 2" xfId="40060"/>
    <cellStyle name="표준 3 4 4 3 4 2 3" xfId="40061"/>
    <cellStyle name="표준 3 4 4 3 4 3" xfId="40062"/>
    <cellStyle name="표준 3 4 4 3 4 4" xfId="40063"/>
    <cellStyle name="표준 3 4 4 3 5" xfId="40064"/>
    <cellStyle name="표준 3 4 4 3 5 2" xfId="40065"/>
    <cellStyle name="표준 3 4 4 3 5 3" xfId="40066"/>
    <cellStyle name="표준 3 4 4 3 6" xfId="40067"/>
    <cellStyle name="표준 3 4 4 3 7" xfId="40068"/>
    <cellStyle name="표준 3 4 4 4" xfId="40069"/>
    <cellStyle name="표준 3 4 4 4 2" xfId="40070"/>
    <cellStyle name="표준 3 4 4 4 2 2" xfId="40071"/>
    <cellStyle name="표준 3 4 4 4 2 2 2" xfId="40072"/>
    <cellStyle name="표준 3 4 4 4 2 2 3" xfId="40073"/>
    <cellStyle name="표준 3 4 4 4 2 3" xfId="40074"/>
    <cellStyle name="표준 3 4 4 4 2 4" xfId="40075"/>
    <cellStyle name="표준 3 4 4 4 3" xfId="40076"/>
    <cellStyle name="표준 3 4 4 4 3 2" xfId="40077"/>
    <cellStyle name="표준 3 4 4 4 3 3" xfId="40078"/>
    <cellStyle name="표준 3 4 4 4 4" xfId="40079"/>
    <cellStyle name="표준 3 4 4 4 5" xfId="40080"/>
    <cellStyle name="표준 3 4 4 5" xfId="40081"/>
    <cellStyle name="표준 3 4 4 5 2" xfId="40082"/>
    <cellStyle name="표준 3 4 4 5 2 2" xfId="40083"/>
    <cellStyle name="표준 3 4 4 5 2 2 2" xfId="40084"/>
    <cellStyle name="표준 3 4 4 5 2 2 3" xfId="40085"/>
    <cellStyle name="표준 3 4 4 5 2 3" xfId="40086"/>
    <cellStyle name="표준 3 4 4 5 2 4" xfId="40087"/>
    <cellStyle name="표준 3 4 4 5 3" xfId="40088"/>
    <cellStyle name="표준 3 4 4 5 3 2" xfId="40089"/>
    <cellStyle name="표준 3 4 4 5 3 3" xfId="40090"/>
    <cellStyle name="표준 3 4 4 5 4" xfId="40091"/>
    <cellStyle name="표준 3 4 4 5 5" xfId="40092"/>
    <cellStyle name="표준 3 4 4 6" xfId="40093"/>
    <cellStyle name="표준 3 4 4 6 2" xfId="40094"/>
    <cellStyle name="표준 3 4 4 6 2 2" xfId="40095"/>
    <cellStyle name="표준 3 4 4 6 2 2 2" xfId="40096"/>
    <cellStyle name="표준 3 4 4 6 2 2 3" xfId="40097"/>
    <cellStyle name="표준 3 4 4 6 2 3" xfId="40098"/>
    <cellStyle name="표준 3 4 4 6 2 4" xfId="40099"/>
    <cellStyle name="표준 3 4 4 6 3" xfId="40100"/>
    <cellStyle name="표준 3 4 4 6 3 2" xfId="40101"/>
    <cellStyle name="표준 3 4 4 6 3 3" xfId="40102"/>
    <cellStyle name="표준 3 4 4 6 4" xfId="40103"/>
    <cellStyle name="표준 3 4 4 6 5" xfId="40104"/>
    <cellStyle name="표준 3 4 4 7" xfId="40105"/>
    <cellStyle name="표준 3 4 4 7 2" xfId="40106"/>
    <cellStyle name="표준 3 4 4 7 2 2" xfId="40107"/>
    <cellStyle name="표준 3 4 4 7 2 3" xfId="40108"/>
    <cellStyle name="표준 3 4 4 7 3" xfId="40109"/>
    <cellStyle name="표준 3 4 4 7 4" xfId="40110"/>
    <cellStyle name="표준 3 4 4 8" xfId="40111"/>
    <cellStyle name="표준 3 4 4 8 2" xfId="40112"/>
    <cellStyle name="표준 3 4 4 8 3" xfId="40113"/>
    <cellStyle name="표준 3 4 4 9" xfId="40114"/>
    <cellStyle name="표준 3 4 5" xfId="40115"/>
    <cellStyle name="표준 3 4 5 10" xfId="40116"/>
    <cellStyle name="표준 3 4 5 2" xfId="40117"/>
    <cellStyle name="표준 3 4 5 2 2" xfId="40118"/>
    <cellStyle name="표준 3 4 5 2 2 2" xfId="40119"/>
    <cellStyle name="표준 3 4 5 2 2 2 2" xfId="40120"/>
    <cellStyle name="표준 3 4 5 2 2 2 2 2" xfId="40121"/>
    <cellStyle name="표준 3 4 5 2 2 2 2 3" xfId="40122"/>
    <cellStyle name="표준 3 4 5 2 2 2 3" xfId="40123"/>
    <cellStyle name="표준 3 4 5 2 2 2 4" xfId="40124"/>
    <cellStyle name="표준 3 4 5 2 2 3" xfId="40125"/>
    <cellStyle name="표준 3 4 5 2 2 3 2" xfId="40126"/>
    <cellStyle name="표준 3 4 5 2 2 3 3" xfId="40127"/>
    <cellStyle name="표준 3 4 5 2 2 4" xfId="40128"/>
    <cellStyle name="표준 3 4 5 2 2 5" xfId="40129"/>
    <cellStyle name="표준 3 4 5 2 3" xfId="40130"/>
    <cellStyle name="표준 3 4 5 2 3 2" xfId="40131"/>
    <cellStyle name="표준 3 4 5 2 3 2 2" xfId="40132"/>
    <cellStyle name="표준 3 4 5 2 3 2 2 2" xfId="40133"/>
    <cellStyle name="표준 3 4 5 2 3 2 2 3" xfId="40134"/>
    <cellStyle name="표준 3 4 5 2 3 2 3" xfId="40135"/>
    <cellStyle name="표준 3 4 5 2 3 2 4" xfId="40136"/>
    <cellStyle name="표준 3 4 5 2 3 3" xfId="40137"/>
    <cellStyle name="표준 3 4 5 2 3 3 2" xfId="40138"/>
    <cellStyle name="표준 3 4 5 2 3 3 3" xfId="40139"/>
    <cellStyle name="표준 3 4 5 2 3 4" xfId="40140"/>
    <cellStyle name="표준 3 4 5 2 3 5" xfId="40141"/>
    <cellStyle name="표준 3 4 5 2 4" xfId="40142"/>
    <cellStyle name="표준 3 4 5 2 4 2" xfId="40143"/>
    <cellStyle name="표준 3 4 5 2 4 2 2" xfId="40144"/>
    <cellStyle name="표준 3 4 5 2 4 2 3" xfId="40145"/>
    <cellStyle name="표준 3 4 5 2 4 3" xfId="40146"/>
    <cellStyle name="표준 3 4 5 2 4 4" xfId="40147"/>
    <cellStyle name="표준 3 4 5 2 5" xfId="40148"/>
    <cellStyle name="표준 3 4 5 2 5 2" xfId="40149"/>
    <cellStyle name="표준 3 4 5 2 5 3" xfId="40150"/>
    <cellStyle name="표준 3 4 5 2 6" xfId="40151"/>
    <cellStyle name="표준 3 4 5 2 7" xfId="40152"/>
    <cellStyle name="표준 3 4 5 3" xfId="40153"/>
    <cellStyle name="표준 3 4 5 3 2" xfId="40154"/>
    <cellStyle name="표준 3 4 5 3 2 2" xfId="40155"/>
    <cellStyle name="표준 3 4 5 3 2 2 2" xfId="40156"/>
    <cellStyle name="표준 3 4 5 3 2 2 2 2" xfId="40157"/>
    <cellStyle name="표준 3 4 5 3 2 2 2 3" xfId="40158"/>
    <cellStyle name="표준 3 4 5 3 2 2 3" xfId="40159"/>
    <cellStyle name="표준 3 4 5 3 2 2 4" xfId="40160"/>
    <cellStyle name="표준 3 4 5 3 2 3" xfId="40161"/>
    <cellStyle name="표준 3 4 5 3 2 3 2" xfId="40162"/>
    <cellStyle name="표준 3 4 5 3 2 3 3" xfId="40163"/>
    <cellStyle name="표준 3 4 5 3 2 4" xfId="40164"/>
    <cellStyle name="표준 3 4 5 3 2 5" xfId="40165"/>
    <cellStyle name="표준 3 4 5 3 3" xfId="40166"/>
    <cellStyle name="표준 3 4 5 3 3 2" xfId="40167"/>
    <cellStyle name="표준 3 4 5 3 3 2 2" xfId="40168"/>
    <cellStyle name="표준 3 4 5 3 3 2 2 2" xfId="40169"/>
    <cellStyle name="표준 3 4 5 3 3 2 2 3" xfId="40170"/>
    <cellStyle name="표준 3 4 5 3 3 2 3" xfId="40171"/>
    <cellStyle name="표준 3 4 5 3 3 2 4" xfId="40172"/>
    <cellStyle name="표준 3 4 5 3 3 3" xfId="40173"/>
    <cellStyle name="표준 3 4 5 3 3 3 2" xfId="40174"/>
    <cellStyle name="표준 3 4 5 3 3 3 3" xfId="40175"/>
    <cellStyle name="표준 3 4 5 3 3 4" xfId="40176"/>
    <cellStyle name="표준 3 4 5 3 3 5" xfId="40177"/>
    <cellStyle name="표준 3 4 5 3 4" xfId="40178"/>
    <cellStyle name="표준 3 4 5 3 4 2" xfId="40179"/>
    <cellStyle name="표준 3 4 5 3 4 2 2" xfId="40180"/>
    <cellStyle name="표준 3 4 5 3 4 2 3" xfId="40181"/>
    <cellStyle name="표준 3 4 5 3 4 3" xfId="40182"/>
    <cellStyle name="표준 3 4 5 3 4 4" xfId="40183"/>
    <cellStyle name="표준 3 4 5 3 5" xfId="40184"/>
    <cellStyle name="표준 3 4 5 3 5 2" xfId="40185"/>
    <cellStyle name="표준 3 4 5 3 5 3" xfId="40186"/>
    <cellStyle name="표준 3 4 5 3 6" xfId="40187"/>
    <cellStyle name="표준 3 4 5 3 7" xfId="40188"/>
    <cellStyle name="표준 3 4 5 4" xfId="40189"/>
    <cellStyle name="표준 3 4 5 4 2" xfId="40190"/>
    <cellStyle name="표준 3 4 5 4 2 2" xfId="40191"/>
    <cellStyle name="표준 3 4 5 4 2 2 2" xfId="40192"/>
    <cellStyle name="표준 3 4 5 4 2 2 3" xfId="40193"/>
    <cellStyle name="표준 3 4 5 4 2 3" xfId="40194"/>
    <cellStyle name="표준 3 4 5 4 2 4" xfId="40195"/>
    <cellStyle name="표준 3 4 5 4 3" xfId="40196"/>
    <cellStyle name="표준 3 4 5 4 3 2" xfId="40197"/>
    <cellStyle name="표준 3 4 5 4 3 3" xfId="40198"/>
    <cellStyle name="표준 3 4 5 4 4" xfId="40199"/>
    <cellStyle name="표준 3 4 5 4 5" xfId="40200"/>
    <cellStyle name="표준 3 4 5 5" xfId="40201"/>
    <cellStyle name="표준 3 4 5 5 2" xfId="40202"/>
    <cellStyle name="표준 3 4 5 5 2 2" xfId="40203"/>
    <cellStyle name="표준 3 4 5 5 2 2 2" xfId="40204"/>
    <cellStyle name="표준 3 4 5 5 2 2 3" xfId="40205"/>
    <cellStyle name="표준 3 4 5 5 2 3" xfId="40206"/>
    <cellStyle name="표준 3 4 5 5 2 4" xfId="40207"/>
    <cellStyle name="표준 3 4 5 5 3" xfId="40208"/>
    <cellStyle name="표준 3 4 5 5 3 2" xfId="40209"/>
    <cellStyle name="표준 3 4 5 5 3 3" xfId="40210"/>
    <cellStyle name="표준 3 4 5 5 4" xfId="40211"/>
    <cellStyle name="표준 3 4 5 5 5" xfId="40212"/>
    <cellStyle name="표준 3 4 5 6" xfId="40213"/>
    <cellStyle name="표준 3 4 5 6 2" xfId="40214"/>
    <cellStyle name="표준 3 4 5 6 2 2" xfId="40215"/>
    <cellStyle name="표준 3 4 5 6 2 2 2" xfId="40216"/>
    <cellStyle name="표준 3 4 5 6 2 2 3" xfId="40217"/>
    <cellStyle name="표준 3 4 5 6 2 3" xfId="40218"/>
    <cellStyle name="표준 3 4 5 6 2 4" xfId="40219"/>
    <cellStyle name="표준 3 4 5 6 3" xfId="40220"/>
    <cellStyle name="표준 3 4 5 6 3 2" xfId="40221"/>
    <cellStyle name="표준 3 4 5 6 3 3" xfId="40222"/>
    <cellStyle name="표준 3 4 5 6 4" xfId="40223"/>
    <cellStyle name="표준 3 4 5 6 5" xfId="40224"/>
    <cellStyle name="표준 3 4 5 7" xfId="40225"/>
    <cellStyle name="표준 3 4 5 7 2" xfId="40226"/>
    <cellStyle name="표준 3 4 5 7 2 2" xfId="40227"/>
    <cellStyle name="표준 3 4 5 7 2 3" xfId="40228"/>
    <cellStyle name="표준 3 4 5 7 3" xfId="40229"/>
    <cellStyle name="표준 3 4 5 7 4" xfId="40230"/>
    <cellStyle name="표준 3 4 5 8" xfId="40231"/>
    <cellStyle name="표준 3 4 5 8 2" xfId="40232"/>
    <cellStyle name="표준 3 4 5 8 3" xfId="40233"/>
    <cellStyle name="표준 3 4 5 9" xfId="40234"/>
    <cellStyle name="표준 3 4 6" xfId="40235"/>
    <cellStyle name="표준 3 4 6 2" xfId="40236"/>
    <cellStyle name="표준 3 4 6 2 2" xfId="40237"/>
    <cellStyle name="표준 3 4 6 2 2 2" xfId="40238"/>
    <cellStyle name="표준 3 4 6 2 2 2 2" xfId="40239"/>
    <cellStyle name="표준 3 4 6 2 2 2 3" xfId="40240"/>
    <cellStyle name="표준 3 4 6 2 2 3" xfId="40241"/>
    <cellStyle name="표준 3 4 6 2 2 4" xfId="40242"/>
    <cellStyle name="표준 3 4 6 2 3" xfId="40243"/>
    <cellStyle name="표준 3 4 6 2 3 2" xfId="40244"/>
    <cellStyle name="표준 3 4 6 2 3 3" xfId="40245"/>
    <cellStyle name="표준 3 4 6 2 4" xfId="40246"/>
    <cellStyle name="표준 3 4 6 2 5" xfId="40247"/>
    <cellStyle name="표준 3 4 6 3" xfId="40248"/>
    <cellStyle name="표준 3 4 6 3 2" xfId="40249"/>
    <cellStyle name="표준 3 4 6 3 2 2" xfId="40250"/>
    <cellStyle name="표준 3 4 6 3 2 2 2" xfId="40251"/>
    <cellStyle name="표준 3 4 6 3 2 2 3" xfId="40252"/>
    <cellStyle name="표준 3 4 6 3 2 3" xfId="40253"/>
    <cellStyle name="표준 3 4 6 3 2 4" xfId="40254"/>
    <cellStyle name="표준 3 4 6 3 3" xfId="40255"/>
    <cellStyle name="표준 3 4 6 3 3 2" xfId="40256"/>
    <cellStyle name="표준 3 4 6 3 3 3" xfId="40257"/>
    <cellStyle name="표준 3 4 6 3 4" xfId="40258"/>
    <cellStyle name="표준 3 4 6 3 5" xfId="40259"/>
    <cellStyle name="표준 3 4 6 4" xfId="40260"/>
    <cellStyle name="표준 3 4 6 4 2" xfId="40261"/>
    <cellStyle name="표준 3 4 6 4 2 2" xfId="40262"/>
    <cellStyle name="표준 3 4 6 4 2 3" xfId="40263"/>
    <cellStyle name="표준 3 4 6 4 3" xfId="40264"/>
    <cellStyle name="표준 3 4 6 4 4" xfId="40265"/>
    <cellStyle name="표준 3 4 6 5" xfId="40266"/>
    <cellStyle name="표준 3 4 6 5 2" xfId="40267"/>
    <cellStyle name="표준 3 4 6 5 3" xfId="40268"/>
    <cellStyle name="표준 3 4 6 6" xfId="40269"/>
    <cellStyle name="표준 3 4 6 7" xfId="40270"/>
    <cellStyle name="표준 3 4 7" xfId="40271"/>
    <cellStyle name="표준 3 4 7 2" xfId="40272"/>
    <cellStyle name="표준 3 4 7 2 2" xfId="40273"/>
    <cellStyle name="표준 3 4 7 2 2 2" xfId="40274"/>
    <cellStyle name="표준 3 4 7 2 2 2 2" xfId="40275"/>
    <cellStyle name="표준 3 4 7 2 2 2 3" xfId="40276"/>
    <cellStyle name="표준 3 4 7 2 2 3" xfId="40277"/>
    <cellStyle name="표준 3 4 7 2 2 4" xfId="40278"/>
    <cellStyle name="표준 3 4 7 2 3" xfId="40279"/>
    <cellStyle name="표준 3 4 7 2 3 2" xfId="40280"/>
    <cellStyle name="표준 3 4 7 2 3 3" xfId="40281"/>
    <cellStyle name="표준 3 4 7 2 4" xfId="40282"/>
    <cellStyle name="표준 3 4 7 2 5" xfId="40283"/>
    <cellStyle name="표준 3 4 7 3" xfId="40284"/>
    <cellStyle name="표준 3 4 7 3 2" xfId="40285"/>
    <cellStyle name="표준 3 4 7 3 2 2" xfId="40286"/>
    <cellStyle name="표준 3 4 7 3 2 2 2" xfId="40287"/>
    <cellStyle name="표준 3 4 7 3 2 2 3" xfId="40288"/>
    <cellStyle name="표준 3 4 7 3 2 3" xfId="40289"/>
    <cellStyle name="표준 3 4 7 3 2 4" xfId="40290"/>
    <cellStyle name="표준 3 4 7 3 3" xfId="40291"/>
    <cellStyle name="표준 3 4 7 3 3 2" xfId="40292"/>
    <cellStyle name="표준 3 4 7 3 3 3" xfId="40293"/>
    <cellStyle name="표준 3 4 7 3 4" xfId="40294"/>
    <cellStyle name="표준 3 4 7 3 5" xfId="40295"/>
    <cellStyle name="표준 3 4 7 4" xfId="40296"/>
    <cellStyle name="표준 3 4 7 4 2" xfId="40297"/>
    <cellStyle name="표준 3 4 7 4 2 2" xfId="40298"/>
    <cellStyle name="표준 3 4 7 4 2 3" xfId="40299"/>
    <cellStyle name="표준 3 4 7 4 3" xfId="40300"/>
    <cellStyle name="표준 3 4 7 4 4" xfId="40301"/>
    <cellStyle name="표준 3 4 7 5" xfId="40302"/>
    <cellStyle name="표준 3 4 7 5 2" xfId="40303"/>
    <cellStyle name="표준 3 4 7 5 3" xfId="40304"/>
    <cellStyle name="표준 3 4 7 6" xfId="40305"/>
    <cellStyle name="표준 3 4 7 7" xfId="40306"/>
    <cellStyle name="표준 3 4 8" xfId="40307"/>
    <cellStyle name="표준 3 4 8 2" xfId="40308"/>
    <cellStyle name="표준 3 4 8 2 2" xfId="40309"/>
    <cellStyle name="표준 3 4 8 2 2 2" xfId="40310"/>
    <cellStyle name="표준 3 4 8 2 2 3" xfId="40311"/>
    <cellStyle name="표준 3 4 8 2 3" xfId="40312"/>
    <cellStyle name="표준 3 4 8 2 4" xfId="40313"/>
    <cellStyle name="표준 3 4 8 3" xfId="40314"/>
    <cellStyle name="표준 3 4 8 3 2" xfId="40315"/>
    <cellStyle name="표준 3 4 8 3 3" xfId="40316"/>
    <cellStyle name="표준 3 4 8 4" xfId="40317"/>
    <cellStyle name="표준 3 4 8 5" xfId="40318"/>
    <cellStyle name="표준 3 4 9" xfId="40319"/>
    <cellStyle name="표준 3 4 9 2" xfId="40320"/>
    <cellStyle name="표준 3 4 9 2 2" xfId="40321"/>
    <cellStyle name="표준 3 4 9 2 2 2" xfId="40322"/>
    <cellStyle name="표준 3 4 9 2 2 3" xfId="40323"/>
    <cellStyle name="표준 3 4 9 2 3" xfId="40324"/>
    <cellStyle name="표준 3 4 9 2 4" xfId="40325"/>
    <cellStyle name="표준 3 4 9 3" xfId="40326"/>
    <cellStyle name="표준 3 4 9 3 2" xfId="40327"/>
    <cellStyle name="표준 3 4 9 3 3" xfId="40328"/>
    <cellStyle name="표준 3 4 9 4" xfId="40329"/>
    <cellStyle name="표준 3 4 9 5" xfId="40330"/>
    <cellStyle name="표준 3 5" xfId="40331"/>
    <cellStyle name="표준 3 5 10" xfId="40332"/>
    <cellStyle name="표준 3 5 10 2" xfId="40333"/>
    <cellStyle name="표준 3 5 10 2 2" xfId="40334"/>
    <cellStyle name="표준 3 5 10 2 2 2" xfId="40335"/>
    <cellStyle name="표준 3 5 10 2 2 3" xfId="40336"/>
    <cellStyle name="표준 3 5 10 2 3" xfId="40337"/>
    <cellStyle name="표준 3 5 10 2 4" xfId="40338"/>
    <cellStyle name="표준 3 5 10 3" xfId="40339"/>
    <cellStyle name="표준 3 5 10 3 2" xfId="40340"/>
    <cellStyle name="표준 3 5 10 3 3" xfId="40341"/>
    <cellStyle name="표준 3 5 10 4" xfId="40342"/>
    <cellStyle name="표준 3 5 10 5" xfId="40343"/>
    <cellStyle name="표준 3 5 11" xfId="40344"/>
    <cellStyle name="표준 3 5 11 2" xfId="40345"/>
    <cellStyle name="표준 3 5 11 2 2" xfId="40346"/>
    <cellStyle name="표준 3 5 11 2 3" xfId="40347"/>
    <cellStyle name="표준 3 5 11 3" xfId="40348"/>
    <cellStyle name="표준 3 5 11 4" xfId="40349"/>
    <cellStyle name="표준 3 5 12" xfId="40350"/>
    <cellStyle name="표준 3 5 12 2" xfId="40351"/>
    <cellStyle name="표준 3 5 12 3" xfId="40352"/>
    <cellStyle name="표준 3 5 13" xfId="40353"/>
    <cellStyle name="표준 3 5 14" xfId="40354"/>
    <cellStyle name="표준 3 5 15" xfId="40355"/>
    <cellStyle name="표준 3 5 2" xfId="40356"/>
    <cellStyle name="표준 3 5 2 10" xfId="40357"/>
    <cellStyle name="표준 3 5 2 10 2" xfId="40358"/>
    <cellStyle name="표준 3 5 2 10 2 2" xfId="40359"/>
    <cellStyle name="표준 3 5 2 10 2 3" xfId="40360"/>
    <cellStyle name="표준 3 5 2 10 3" xfId="40361"/>
    <cellStyle name="표준 3 5 2 10 4" xfId="40362"/>
    <cellStyle name="표준 3 5 2 11" xfId="40363"/>
    <cellStyle name="표준 3 5 2 11 2" xfId="40364"/>
    <cellStyle name="표준 3 5 2 11 3" xfId="40365"/>
    <cellStyle name="표준 3 5 2 12" xfId="40366"/>
    <cellStyle name="표준 3 5 2 13" xfId="40367"/>
    <cellStyle name="표준 3 5 2 14" xfId="40368"/>
    <cellStyle name="표준 3 5 2 2" xfId="40369"/>
    <cellStyle name="표준 3 5 2 2 10" xfId="40370"/>
    <cellStyle name="표준 3 5 2 2 2" xfId="40371"/>
    <cellStyle name="표준 3 5 2 2 2 2" xfId="40372"/>
    <cellStyle name="표준 3 5 2 2 2 2 2" xfId="40373"/>
    <cellStyle name="표준 3 5 2 2 2 2 2 2" xfId="40374"/>
    <cellStyle name="표준 3 5 2 2 2 2 2 2 2" xfId="40375"/>
    <cellStyle name="표준 3 5 2 2 2 2 2 2 3" xfId="40376"/>
    <cellStyle name="표준 3 5 2 2 2 2 2 3" xfId="40377"/>
    <cellStyle name="표준 3 5 2 2 2 2 2 4" xfId="40378"/>
    <cellStyle name="표준 3 5 2 2 2 2 3" xfId="40379"/>
    <cellStyle name="표준 3 5 2 2 2 2 3 2" xfId="40380"/>
    <cellStyle name="표준 3 5 2 2 2 2 3 3" xfId="40381"/>
    <cellStyle name="표준 3 5 2 2 2 2 4" xfId="40382"/>
    <cellStyle name="표준 3 5 2 2 2 2 5" xfId="40383"/>
    <cellStyle name="표준 3 5 2 2 2 3" xfId="40384"/>
    <cellStyle name="표준 3 5 2 2 2 3 2" xfId="40385"/>
    <cellStyle name="표준 3 5 2 2 2 3 2 2" xfId="40386"/>
    <cellStyle name="표준 3 5 2 2 2 3 2 2 2" xfId="40387"/>
    <cellStyle name="표준 3 5 2 2 2 3 2 2 3" xfId="40388"/>
    <cellStyle name="표준 3 5 2 2 2 3 2 3" xfId="40389"/>
    <cellStyle name="표준 3 5 2 2 2 3 2 4" xfId="40390"/>
    <cellStyle name="표준 3 5 2 2 2 3 3" xfId="40391"/>
    <cellStyle name="표준 3 5 2 2 2 3 3 2" xfId="40392"/>
    <cellStyle name="표준 3 5 2 2 2 3 3 3" xfId="40393"/>
    <cellStyle name="표준 3 5 2 2 2 3 4" xfId="40394"/>
    <cellStyle name="표준 3 5 2 2 2 3 5" xfId="40395"/>
    <cellStyle name="표준 3 5 2 2 2 4" xfId="40396"/>
    <cellStyle name="표준 3 5 2 2 2 4 2" xfId="40397"/>
    <cellStyle name="표준 3 5 2 2 2 4 2 2" xfId="40398"/>
    <cellStyle name="표준 3 5 2 2 2 4 2 3" xfId="40399"/>
    <cellStyle name="표준 3 5 2 2 2 4 3" xfId="40400"/>
    <cellStyle name="표준 3 5 2 2 2 4 4" xfId="40401"/>
    <cellStyle name="표준 3 5 2 2 2 5" xfId="40402"/>
    <cellStyle name="표준 3 5 2 2 2 5 2" xfId="40403"/>
    <cellStyle name="표준 3 5 2 2 2 5 3" xfId="40404"/>
    <cellStyle name="표준 3 5 2 2 2 6" xfId="40405"/>
    <cellStyle name="표준 3 5 2 2 2 7" xfId="40406"/>
    <cellStyle name="표준 3 5 2 2 3" xfId="40407"/>
    <cellStyle name="표준 3 5 2 2 3 2" xfId="40408"/>
    <cellStyle name="표준 3 5 2 2 3 2 2" xfId="40409"/>
    <cellStyle name="표준 3 5 2 2 3 2 2 2" xfId="40410"/>
    <cellStyle name="표준 3 5 2 2 3 2 2 2 2" xfId="40411"/>
    <cellStyle name="표준 3 5 2 2 3 2 2 2 3" xfId="40412"/>
    <cellStyle name="표준 3 5 2 2 3 2 2 3" xfId="40413"/>
    <cellStyle name="표준 3 5 2 2 3 2 2 4" xfId="40414"/>
    <cellStyle name="표준 3 5 2 2 3 2 3" xfId="40415"/>
    <cellStyle name="표준 3 5 2 2 3 2 3 2" xfId="40416"/>
    <cellStyle name="표준 3 5 2 2 3 2 3 3" xfId="40417"/>
    <cellStyle name="표준 3 5 2 2 3 2 4" xfId="40418"/>
    <cellStyle name="표준 3 5 2 2 3 2 5" xfId="40419"/>
    <cellStyle name="표준 3 5 2 2 3 3" xfId="40420"/>
    <cellStyle name="표준 3 5 2 2 3 3 2" xfId="40421"/>
    <cellStyle name="표준 3 5 2 2 3 3 2 2" xfId="40422"/>
    <cellStyle name="표준 3 5 2 2 3 3 2 2 2" xfId="40423"/>
    <cellStyle name="표준 3 5 2 2 3 3 2 2 3" xfId="40424"/>
    <cellStyle name="표준 3 5 2 2 3 3 2 3" xfId="40425"/>
    <cellStyle name="표준 3 5 2 2 3 3 2 4" xfId="40426"/>
    <cellStyle name="표준 3 5 2 2 3 3 3" xfId="40427"/>
    <cellStyle name="표준 3 5 2 2 3 3 3 2" xfId="40428"/>
    <cellStyle name="표준 3 5 2 2 3 3 3 3" xfId="40429"/>
    <cellStyle name="표준 3 5 2 2 3 3 4" xfId="40430"/>
    <cellStyle name="표준 3 5 2 2 3 3 5" xfId="40431"/>
    <cellStyle name="표준 3 5 2 2 3 4" xfId="40432"/>
    <cellStyle name="표준 3 5 2 2 3 4 2" xfId="40433"/>
    <cellStyle name="표준 3 5 2 2 3 4 2 2" xfId="40434"/>
    <cellStyle name="표준 3 5 2 2 3 4 2 3" xfId="40435"/>
    <cellStyle name="표준 3 5 2 2 3 4 3" xfId="40436"/>
    <cellStyle name="표준 3 5 2 2 3 4 4" xfId="40437"/>
    <cellStyle name="표준 3 5 2 2 3 5" xfId="40438"/>
    <cellStyle name="표준 3 5 2 2 3 5 2" xfId="40439"/>
    <cellStyle name="표준 3 5 2 2 3 5 3" xfId="40440"/>
    <cellStyle name="표준 3 5 2 2 3 6" xfId="40441"/>
    <cellStyle name="표준 3 5 2 2 3 7" xfId="40442"/>
    <cellStyle name="표준 3 5 2 2 4" xfId="40443"/>
    <cellStyle name="표준 3 5 2 2 4 2" xfId="40444"/>
    <cellStyle name="표준 3 5 2 2 4 2 2" xfId="40445"/>
    <cellStyle name="표준 3 5 2 2 4 2 2 2" xfId="40446"/>
    <cellStyle name="표준 3 5 2 2 4 2 2 3" xfId="40447"/>
    <cellStyle name="표준 3 5 2 2 4 2 3" xfId="40448"/>
    <cellStyle name="표준 3 5 2 2 4 2 4" xfId="40449"/>
    <cellStyle name="표준 3 5 2 2 4 3" xfId="40450"/>
    <cellStyle name="표준 3 5 2 2 4 3 2" xfId="40451"/>
    <cellStyle name="표준 3 5 2 2 4 3 3" xfId="40452"/>
    <cellStyle name="표준 3 5 2 2 4 4" xfId="40453"/>
    <cellStyle name="표준 3 5 2 2 4 5" xfId="40454"/>
    <cellStyle name="표준 3 5 2 2 5" xfId="40455"/>
    <cellStyle name="표준 3 5 2 2 5 2" xfId="40456"/>
    <cellStyle name="표준 3 5 2 2 5 2 2" xfId="40457"/>
    <cellStyle name="표준 3 5 2 2 5 2 2 2" xfId="40458"/>
    <cellStyle name="표준 3 5 2 2 5 2 2 3" xfId="40459"/>
    <cellStyle name="표준 3 5 2 2 5 2 3" xfId="40460"/>
    <cellStyle name="표준 3 5 2 2 5 2 4" xfId="40461"/>
    <cellStyle name="표준 3 5 2 2 5 3" xfId="40462"/>
    <cellStyle name="표준 3 5 2 2 5 3 2" xfId="40463"/>
    <cellStyle name="표준 3 5 2 2 5 3 3" xfId="40464"/>
    <cellStyle name="표준 3 5 2 2 5 4" xfId="40465"/>
    <cellStyle name="표준 3 5 2 2 5 5" xfId="40466"/>
    <cellStyle name="표준 3 5 2 2 6" xfId="40467"/>
    <cellStyle name="표준 3 5 2 2 6 2" xfId="40468"/>
    <cellStyle name="표준 3 5 2 2 6 2 2" xfId="40469"/>
    <cellStyle name="표준 3 5 2 2 6 2 2 2" xfId="40470"/>
    <cellStyle name="표준 3 5 2 2 6 2 2 3" xfId="40471"/>
    <cellStyle name="표준 3 5 2 2 6 2 3" xfId="40472"/>
    <cellStyle name="표준 3 5 2 2 6 2 4" xfId="40473"/>
    <cellStyle name="표준 3 5 2 2 6 3" xfId="40474"/>
    <cellStyle name="표준 3 5 2 2 6 3 2" xfId="40475"/>
    <cellStyle name="표준 3 5 2 2 6 3 3" xfId="40476"/>
    <cellStyle name="표준 3 5 2 2 6 4" xfId="40477"/>
    <cellStyle name="표준 3 5 2 2 6 5" xfId="40478"/>
    <cellStyle name="표준 3 5 2 2 7" xfId="40479"/>
    <cellStyle name="표준 3 5 2 2 7 2" xfId="40480"/>
    <cellStyle name="표준 3 5 2 2 7 2 2" xfId="40481"/>
    <cellStyle name="표준 3 5 2 2 7 2 3" xfId="40482"/>
    <cellStyle name="표준 3 5 2 2 7 3" xfId="40483"/>
    <cellStyle name="표준 3 5 2 2 7 4" xfId="40484"/>
    <cellStyle name="표준 3 5 2 2 8" xfId="40485"/>
    <cellStyle name="표준 3 5 2 2 8 2" xfId="40486"/>
    <cellStyle name="표준 3 5 2 2 8 3" xfId="40487"/>
    <cellStyle name="표준 3 5 2 2 9" xfId="40488"/>
    <cellStyle name="표준 3 5 2 3" xfId="40489"/>
    <cellStyle name="표준 3 5 2 3 10" xfId="40490"/>
    <cellStyle name="표준 3 5 2 3 2" xfId="40491"/>
    <cellStyle name="표준 3 5 2 3 2 2" xfId="40492"/>
    <cellStyle name="표준 3 5 2 3 2 2 2" xfId="40493"/>
    <cellStyle name="표준 3 5 2 3 2 2 2 2" xfId="40494"/>
    <cellStyle name="표준 3 5 2 3 2 2 2 2 2" xfId="40495"/>
    <cellStyle name="표준 3 5 2 3 2 2 2 2 3" xfId="40496"/>
    <cellStyle name="표준 3 5 2 3 2 2 2 3" xfId="40497"/>
    <cellStyle name="표준 3 5 2 3 2 2 2 4" xfId="40498"/>
    <cellStyle name="표준 3 5 2 3 2 2 3" xfId="40499"/>
    <cellStyle name="표준 3 5 2 3 2 2 3 2" xfId="40500"/>
    <cellStyle name="표준 3 5 2 3 2 2 3 3" xfId="40501"/>
    <cellStyle name="표준 3 5 2 3 2 2 4" xfId="40502"/>
    <cellStyle name="표준 3 5 2 3 2 2 5" xfId="40503"/>
    <cellStyle name="표준 3 5 2 3 2 3" xfId="40504"/>
    <cellStyle name="표준 3 5 2 3 2 3 2" xfId="40505"/>
    <cellStyle name="표준 3 5 2 3 2 3 2 2" xfId="40506"/>
    <cellStyle name="표준 3 5 2 3 2 3 2 2 2" xfId="40507"/>
    <cellStyle name="표준 3 5 2 3 2 3 2 2 3" xfId="40508"/>
    <cellStyle name="표준 3 5 2 3 2 3 2 3" xfId="40509"/>
    <cellStyle name="표준 3 5 2 3 2 3 2 4" xfId="40510"/>
    <cellStyle name="표준 3 5 2 3 2 3 3" xfId="40511"/>
    <cellStyle name="표준 3 5 2 3 2 3 3 2" xfId="40512"/>
    <cellStyle name="표준 3 5 2 3 2 3 3 3" xfId="40513"/>
    <cellStyle name="표준 3 5 2 3 2 3 4" xfId="40514"/>
    <cellStyle name="표준 3 5 2 3 2 3 5" xfId="40515"/>
    <cellStyle name="표준 3 5 2 3 2 4" xfId="40516"/>
    <cellStyle name="표준 3 5 2 3 2 4 2" xfId="40517"/>
    <cellStyle name="표준 3 5 2 3 2 4 2 2" xfId="40518"/>
    <cellStyle name="표준 3 5 2 3 2 4 2 3" xfId="40519"/>
    <cellStyle name="표준 3 5 2 3 2 4 3" xfId="40520"/>
    <cellStyle name="표준 3 5 2 3 2 4 4" xfId="40521"/>
    <cellStyle name="표준 3 5 2 3 2 5" xfId="40522"/>
    <cellStyle name="표준 3 5 2 3 2 5 2" xfId="40523"/>
    <cellStyle name="표준 3 5 2 3 2 5 3" xfId="40524"/>
    <cellStyle name="표준 3 5 2 3 2 6" xfId="40525"/>
    <cellStyle name="표준 3 5 2 3 2 7" xfId="40526"/>
    <cellStyle name="표준 3 5 2 3 3" xfId="40527"/>
    <cellStyle name="표준 3 5 2 3 3 2" xfId="40528"/>
    <cellStyle name="표준 3 5 2 3 3 2 2" xfId="40529"/>
    <cellStyle name="표준 3 5 2 3 3 2 2 2" xfId="40530"/>
    <cellStyle name="표준 3 5 2 3 3 2 2 2 2" xfId="40531"/>
    <cellStyle name="표준 3 5 2 3 3 2 2 2 3" xfId="40532"/>
    <cellStyle name="표준 3 5 2 3 3 2 2 3" xfId="40533"/>
    <cellStyle name="표준 3 5 2 3 3 2 2 4" xfId="40534"/>
    <cellStyle name="표준 3 5 2 3 3 2 3" xfId="40535"/>
    <cellStyle name="표준 3 5 2 3 3 2 3 2" xfId="40536"/>
    <cellStyle name="표준 3 5 2 3 3 2 3 3" xfId="40537"/>
    <cellStyle name="표준 3 5 2 3 3 2 4" xfId="40538"/>
    <cellStyle name="표준 3 5 2 3 3 2 5" xfId="40539"/>
    <cellStyle name="표준 3 5 2 3 3 3" xfId="40540"/>
    <cellStyle name="표준 3 5 2 3 3 3 2" xfId="40541"/>
    <cellStyle name="표준 3 5 2 3 3 3 2 2" xfId="40542"/>
    <cellStyle name="표준 3 5 2 3 3 3 2 2 2" xfId="40543"/>
    <cellStyle name="표준 3 5 2 3 3 3 2 2 3" xfId="40544"/>
    <cellStyle name="표준 3 5 2 3 3 3 2 3" xfId="40545"/>
    <cellStyle name="표준 3 5 2 3 3 3 2 4" xfId="40546"/>
    <cellStyle name="표준 3 5 2 3 3 3 3" xfId="40547"/>
    <cellStyle name="표준 3 5 2 3 3 3 3 2" xfId="40548"/>
    <cellStyle name="표준 3 5 2 3 3 3 3 3" xfId="40549"/>
    <cellStyle name="표준 3 5 2 3 3 3 4" xfId="40550"/>
    <cellStyle name="표준 3 5 2 3 3 3 5" xfId="40551"/>
    <cellStyle name="표준 3 5 2 3 3 4" xfId="40552"/>
    <cellStyle name="표준 3 5 2 3 3 4 2" xfId="40553"/>
    <cellStyle name="표준 3 5 2 3 3 4 2 2" xfId="40554"/>
    <cellStyle name="표준 3 5 2 3 3 4 2 3" xfId="40555"/>
    <cellStyle name="표준 3 5 2 3 3 4 3" xfId="40556"/>
    <cellStyle name="표준 3 5 2 3 3 4 4" xfId="40557"/>
    <cellStyle name="표준 3 5 2 3 3 5" xfId="40558"/>
    <cellStyle name="표준 3 5 2 3 3 5 2" xfId="40559"/>
    <cellStyle name="표준 3 5 2 3 3 5 3" xfId="40560"/>
    <cellStyle name="표준 3 5 2 3 3 6" xfId="40561"/>
    <cellStyle name="표준 3 5 2 3 3 7" xfId="40562"/>
    <cellStyle name="표준 3 5 2 3 4" xfId="40563"/>
    <cellStyle name="표준 3 5 2 3 4 2" xfId="40564"/>
    <cellStyle name="표준 3 5 2 3 4 2 2" xfId="40565"/>
    <cellStyle name="표준 3 5 2 3 4 2 2 2" xfId="40566"/>
    <cellStyle name="표준 3 5 2 3 4 2 2 3" xfId="40567"/>
    <cellStyle name="표준 3 5 2 3 4 2 3" xfId="40568"/>
    <cellStyle name="표준 3 5 2 3 4 2 4" xfId="40569"/>
    <cellStyle name="표준 3 5 2 3 4 3" xfId="40570"/>
    <cellStyle name="표준 3 5 2 3 4 3 2" xfId="40571"/>
    <cellStyle name="표준 3 5 2 3 4 3 3" xfId="40572"/>
    <cellStyle name="표준 3 5 2 3 4 4" xfId="40573"/>
    <cellStyle name="표준 3 5 2 3 4 5" xfId="40574"/>
    <cellStyle name="표준 3 5 2 3 5" xfId="40575"/>
    <cellStyle name="표준 3 5 2 3 5 2" xfId="40576"/>
    <cellStyle name="표준 3 5 2 3 5 2 2" xfId="40577"/>
    <cellStyle name="표준 3 5 2 3 5 2 2 2" xfId="40578"/>
    <cellStyle name="표준 3 5 2 3 5 2 2 3" xfId="40579"/>
    <cellStyle name="표준 3 5 2 3 5 2 3" xfId="40580"/>
    <cellStyle name="표준 3 5 2 3 5 2 4" xfId="40581"/>
    <cellStyle name="표준 3 5 2 3 5 3" xfId="40582"/>
    <cellStyle name="표준 3 5 2 3 5 3 2" xfId="40583"/>
    <cellStyle name="표준 3 5 2 3 5 3 3" xfId="40584"/>
    <cellStyle name="표준 3 5 2 3 5 4" xfId="40585"/>
    <cellStyle name="표준 3 5 2 3 5 5" xfId="40586"/>
    <cellStyle name="표준 3 5 2 3 6" xfId="40587"/>
    <cellStyle name="표준 3 5 2 3 6 2" xfId="40588"/>
    <cellStyle name="표준 3 5 2 3 6 2 2" xfId="40589"/>
    <cellStyle name="표준 3 5 2 3 6 2 2 2" xfId="40590"/>
    <cellStyle name="표준 3 5 2 3 6 2 2 3" xfId="40591"/>
    <cellStyle name="표준 3 5 2 3 6 2 3" xfId="40592"/>
    <cellStyle name="표준 3 5 2 3 6 2 4" xfId="40593"/>
    <cellStyle name="표준 3 5 2 3 6 3" xfId="40594"/>
    <cellStyle name="표준 3 5 2 3 6 3 2" xfId="40595"/>
    <cellStyle name="표준 3 5 2 3 6 3 3" xfId="40596"/>
    <cellStyle name="표준 3 5 2 3 6 4" xfId="40597"/>
    <cellStyle name="표준 3 5 2 3 6 5" xfId="40598"/>
    <cellStyle name="표준 3 5 2 3 7" xfId="40599"/>
    <cellStyle name="표준 3 5 2 3 7 2" xfId="40600"/>
    <cellStyle name="표준 3 5 2 3 7 2 2" xfId="40601"/>
    <cellStyle name="표준 3 5 2 3 7 2 3" xfId="40602"/>
    <cellStyle name="표준 3 5 2 3 7 3" xfId="40603"/>
    <cellStyle name="표준 3 5 2 3 7 4" xfId="40604"/>
    <cellStyle name="표준 3 5 2 3 8" xfId="40605"/>
    <cellStyle name="표준 3 5 2 3 8 2" xfId="40606"/>
    <cellStyle name="표준 3 5 2 3 8 3" xfId="40607"/>
    <cellStyle name="표준 3 5 2 3 9" xfId="40608"/>
    <cellStyle name="표준 3 5 2 4" xfId="40609"/>
    <cellStyle name="표준 3 5 2 4 10" xfId="40610"/>
    <cellStyle name="표준 3 5 2 4 2" xfId="40611"/>
    <cellStyle name="표준 3 5 2 4 2 2" xfId="40612"/>
    <cellStyle name="표준 3 5 2 4 2 2 2" xfId="40613"/>
    <cellStyle name="표준 3 5 2 4 2 2 2 2" xfId="40614"/>
    <cellStyle name="표준 3 5 2 4 2 2 2 2 2" xfId="40615"/>
    <cellStyle name="표준 3 5 2 4 2 2 2 2 3" xfId="40616"/>
    <cellStyle name="표준 3 5 2 4 2 2 2 3" xfId="40617"/>
    <cellStyle name="표준 3 5 2 4 2 2 2 4" xfId="40618"/>
    <cellStyle name="표준 3 5 2 4 2 2 3" xfId="40619"/>
    <cellStyle name="표준 3 5 2 4 2 2 3 2" xfId="40620"/>
    <cellStyle name="표준 3 5 2 4 2 2 3 3" xfId="40621"/>
    <cellStyle name="표준 3 5 2 4 2 2 4" xfId="40622"/>
    <cellStyle name="표준 3 5 2 4 2 2 5" xfId="40623"/>
    <cellStyle name="표준 3 5 2 4 2 3" xfId="40624"/>
    <cellStyle name="표준 3 5 2 4 2 3 2" xfId="40625"/>
    <cellStyle name="표준 3 5 2 4 2 3 2 2" xfId="40626"/>
    <cellStyle name="표준 3 5 2 4 2 3 2 2 2" xfId="40627"/>
    <cellStyle name="표준 3 5 2 4 2 3 2 2 3" xfId="40628"/>
    <cellStyle name="표준 3 5 2 4 2 3 2 3" xfId="40629"/>
    <cellStyle name="표준 3 5 2 4 2 3 2 4" xfId="40630"/>
    <cellStyle name="표준 3 5 2 4 2 3 3" xfId="40631"/>
    <cellStyle name="표준 3 5 2 4 2 3 3 2" xfId="40632"/>
    <cellStyle name="표준 3 5 2 4 2 3 3 3" xfId="40633"/>
    <cellStyle name="표준 3 5 2 4 2 3 4" xfId="40634"/>
    <cellStyle name="표준 3 5 2 4 2 3 5" xfId="40635"/>
    <cellStyle name="표준 3 5 2 4 2 4" xfId="40636"/>
    <cellStyle name="표준 3 5 2 4 2 4 2" xfId="40637"/>
    <cellStyle name="표준 3 5 2 4 2 4 2 2" xfId="40638"/>
    <cellStyle name="표준 3 5 2 4 2 4 2 3" xfId="40639"/>
    <cellStyle name="표준 3 5 2 4 2 4 3" xfId="40640"/>
    <cellStyle name="표준 3 5 2 4 2 4 4" xfId="40641"/>
    <cellStyle name="표준 3 5 2 4 2 5" xfId="40642"/>
    <cellStyle name="표준 3 5 2 4 2 5 2" xfId="40643"/>
    <cellStyle name="표준 3 5 2 4 2 5 3" xfId="40644"/>
    <cellStyle name="표준 3 5 2 4 2 6" xfId="40645"/>
    <cellStyle name="표준 3 5 2 4 2 7" xfId="40646"/>
    <cellStyle name="표준 3 5 2 4 3" xfId="40647"/>
    <cellStyle name="표준 3 5 2 4 3 2" xfId="40648"/>
    <cellStyle name="표준 3 5 2 4 3 2 2" xfId="40649"/>
    <cellStyle name="표준 3 5 2 4 3 2 2 2" xfId="40650"/>
    <cellStyle name="표준 3 5 2 4 3 2 2 2 2" xfId="40651"/>
    <cellStyle name="표준 3 5 2 4 3 2 2 2 3" xfId="40652"/>
    <cellStyle name="표준 3 5 2 4 3 2 2 3" xfId="40653"/>
    <cellStyle name="표준 3 5 2 4 3 2 2 4" xfId="40654"/>
    <cellStyle name="표준 3 5 2 4 3 2 3" xfId="40655"/>
    <cellStyle name="표준 3 5 2 4 3 2 3 2" xfId="40656"/>
    <cellStyle name="표준 3 5 2 4 3 2 3 3" xfId="40657"/>
    <cellStyle name="표준 3 5 2 4 3 2 4" xfId="40658"/>
    <cellStyle name="표준 3 5 2 4 3 2 5" xfId="40659"/>
    <cellStyle name="표준 3 5 2 4 3 3" xfId="40660"/>
    <cellStyle name="표준 3 5 2 4 3 3 2" xfId="40661"/>
    <cellStyle name="표준 3 5 2 4 3 3 2 2" xfId="40662"/>
    <cellStyle name="표준 3 5 2 4 3 3 2 2 2" xfId="40663"/>
    <cellStyle name="표준 3 5 2 4 3 3 2 2 3" xfId="40664"/>
    <cellStyle name="표준 3 5 2 4 3 3 2 3" xfId="40665"/>
    <cellStyle name="표준 3 5 2 4 3 3 2 4" xfId="40666"/>
    <cellStyle name="표준 3 5 2 4 3 3 3" xfId="40667"/>
    <cellStyle name="표준 3 5 2 4 3 3 3 2" xfId="40668"/>
    <cellStyle name="표준 3 5 2 4 3 3 3 3" xfId="40669"/>
    <cellStyle name="표준 3 5 2 4 3 3 4" xfId="40670"/>
    <cellStyle name="표준 3 5 2 4 3 3 5" xfId="40671"/>
    <cellStyle name="표준 3 5 2 4 3 4" xfId="40672"/>
    <cellStyle name="표준 3 5 2 4 3 4 2" xfId="40673"/>
    <cellStyle name="표준 3 5 2 4 3 4 2 2" xfId="40674"/>
    <cellStyle name="표준 3 5 2 4 3 4 2 3" xfId="40675"/>
    <cellStyle name="표준 3 5 2 4 3 4 3" xfId="40676"/>
    <cellStyle name="표준 3 5 2 4 3 4 4" xfId="40677"/>
    <cellStyle name="표준 3 5 2 4 3 5" xfId="40678"/>
    <cellStyle name="표준 3 5 2 4 3 5 2" xfId="40679"/>
    <cellStyle name="표준 3 5 2 4 3 5 3" xfId="40680"/>
    <cellStyle name="표준 3 5 2 4 3 6" xfId="40681"/>
    <cellStyle name="표준 3 5 2 4 3 7" xfId="40682"/>
    <cellStyle name="표준 3 5 2 4 4" xfId="40683"/>
    <cellStyle name="표준 3 5 2 4 4 2" xfId="40684"/>
    <cellStyle name="표준 3 5 2 4 4 2 2" xfId="40685"/>
    <cellStyle name="표준 3 5 2 4 4 2 2 2" xfId="40686"/>
    <cellStyle name="표준 3 5 2 4 4 2 2 3" xfId="40687"/>
    <cellStyle name="표준 3 5 2 4 4 2 3" xfId="40688"/>
    <cellStyle name="표준 3 5 2 4 4 2 4" xfId="40689"/>
    <cellStyle name="표준 3 5 2 4 4 3" xfId="40690"/>
    <cellStyle name="표준 3 5 2 4 4 3 2" xfId="40691"/>
    <cellStyle name="표준 3 5 2 4 4 3 3" xfId="40692"/>
    <cellStyle name="표준 3 5 2 4 4 4" xfId="40693"/>
    <cellStyle name="표준 3 5 2 4 4 5" xfId="40694"/>
    <cellStyle name="표준 3 5 2 4 5" xfId="40695"/>
    <cellStyle name="표준 3 5 2 4 5 2" xfId="40696"/>
    <cellStyle name="표준 3 5 2 4 5 2 2" xfId="40697"/>
    <cellStyle name="표준 3 5 2 4 5 2 2 2" xfId="40698"/>
    <cellStyle name="표준 3 5 2 4 5 2 2 3" xfId="40699"/>
    <cellStyle name="표준 3 5 2 4 5 2 3" xfId="40700"/>
    <cellStyle name="표준 3 5 2 4 5 2 4" xfId="40701"/>
    <cellStyle name="표준 3 5 2 4 5 3" xfId="40702"/>
    <cellStyle name="표준 3 5 2 4 5 3 2" xfId="40703"/>
    <cellStyle name="표준 3 5 2 4 5 3 3" xfId="40704"/>
    <cellStyle name="표준 3 5 2 4 5 4" xfId="40705"/>
    <cellStyle name="표준 3 5 2 4 5 5" xfId="40706"/>
    <cellStyle name="표준 3 5 2 4 6" xfId="40707"/>
    <cellStyle name="표준 3 5 2 4 6 2" xfId="40708"/>
    <cellStyle name="표준 3 5 2 4 6 2 2" xfId="40709"/>
    <cellStyle name="표준 3 5 2 4 6 2 2 2" xfId="40710"/>
    <cellStyle name="표준 3 5 2 4 6 2 2 3" xfId="40711"/>
    <cellStyle name="표준 3 5 2 4 6 2 3" xfId="40712"/>
    <cellStyle name="표준 3 5 2 4 6 2 4" xfId="40713"/>
    <cellStyle name="표준 3 5 2 4 6 3" xfId="40714"/>
    <cellStyle name="표준 3 5 2 4 6 3 2" xfId="40715"/>
    <cellStyle name="표준 3 5 2 4 6 3 3" xfId="40716"/>
    <cellStyle name="표준 3 5 2 4 6 4" xfId="40717"/>
    <cellStyle name="표준 3 5 2 4 6 5" xfId="40718"/>
    <cellStyle name="표준 3 5 2 4 7" xfId="40719"/>
    <cellStyle name="표준 3 5 2 4 7 2" xfId="40720"/>
    <cellStyle name="표준 3 5 2 4 7 2 2" xfId="40721"/>
    <cellStyle name="표준 3 5 2 4 7 2 3" xfId="40722"/>
    <cellStyle name="표준 3 5 2 4 7 3" xfId="40723"/>
    <cellStyle name="표준 3 5 2 4 7 4" xfId="40724"/>
    <cellStyle name="표준 3 5 2 4 8" xfId="40725"/>
    <cellStyle name="표준 3 5 2 4 8 2" xfId="40726"/>
    <cellStyle name="표준 3 5 2 4 8 3" xfId="40727"/>
    <cellStyle name="표준 3 5 2 4 9" xfId="40728"/>
    <cellStyle name="표준 3 5 2 5" xfId="40729"/>
    <cellStyle name="표준 3 5 2 5 2" xfId="40730"/>
    <cellStyle name="표준 3 5 2 5 2 2" xfId="40731"/>
    <cellStyle name="표준 3 5 2 5 2 2 2" xfId="40732"/>
    <cellStyle name="표준 3 5 2 5 2 2 2 2" xfId="40733"/>
    <cellStyle name="표준 3 5 2 5 2 2 2 3" xfId="40734"/>
    <cellStyle name="표준 3 5 2 5 2 2 3" xfId="40735"/>
    <cellStyle name="표준 3 5 2 5 2 2 4" xfId="40736"/>
    <cellStyle name="표준 3 5 2 5 2 3" xfId="40737"/>
    <cellStyle name="표준 3 5 2 5 2 3 2" xfId="40738"/>
    <cellStyle name="표준 3 5 2 5 2 3 3" xfId="40739"/>
    <cellStyle name="표준 3 5 2 5 2 4" xfId="40740"/>
    <cellStyle name="표준 3 5 2 5 2 5" xfId="40741"/>
    <cellStyle name="표준 3 5 2 5 3" xfId="40742"/>
    <cellStyle name="표준 3 5 2 5 3 2" xfId="40743"/>
    <cellStyle name="표준 3 5 2 5 3 2 2" xfId="40744"/>
    <cellStyle name="표준 3 5 2 5 3 2 2 2" xfId="40745"/>
    <cellStyle name="표준 3 5 2 5 3 2 2 3" xfId="40746"/>
    <cellStyle name="표준 3 5 2 5 3 2 3" xfId="40747"/>
    <cellStyle name="표준 3 5 2 5 3 2 4" xfId="40748"/>
    <cellStyle name="표준 3 5 2 5 3 3" xfId="40749"/>
    <cellStyle name="표준 3 5 2 5 3 3 2" xfId="40750"/>
    <cellStyle name="표준 3 5 2 5 3 3 3" xfId="40751"/>
    <cellStyle name="표준 3 5 2 5 3 4" xfId="40752"/>
    <cellStyle name="표준 3 5 2 5 3 5" xfId="40753"/>
    <cellStyle name="표준 3 5 2 5 4" xfId="40754"/>
    <cellStyle name="표준 3 5 2 5 4 2" xfId="40755"/>
    <cellStyle name="표준 3 5 2 5 4 2 2" xfId="40756"/>
    <cellStyle name="표준 3 5 2 5 4 2 3" xfId="40757"/>
    <cellStyle name="표준 3 5 2 5 4 3" xfId="40758"/>
    <cellStyle name="표준 3 5 2 5 4 4" xfId="40759"/>
    <cellStyle name="표준 3 5 2 5 5" xfId="40760"/>
    <cellStyle name="표준 3 5 2 5 5 2" xfId="40761"/>
    <cellStyle name="표준 3 5 2 5 5 3" xfId="40762"/>
    <cellStyle name="표준 3 5 2 5 6" xfId="40763"/>
    <cellStyle name="표준 3 5 2 5 7" xfId="40764"/>
    <cellStyle name="표준 3 5 2 6" xfId="40765"/>
    <cellStyle name="표준 3 5 2 6 2" xfId="40766"/>
    <cellStyle name="표준 3 5 2 6 2 2" xfId="40767"/>
    <cellStyle name="표준 3 5 2 6 2 2 2" xfId="40768"/>
    <cellStyle name="표준 3 5 2 6 2 2 2 2" xfId="40769"/>
    <cellStyle name="표준 3 5 2 6 2 2 2 3" xfId="40770"/>
    <cellStyle name="표준 3 5 2 6 2 2 3" xfId="40771"/>
    <cellStyle name="표준 3 5 2 6 2 2 4" xfId="40772"/>
    <cellStyle name="표준 3 5 2 6 2 3" xfId="40773"/>
    <cellStyle name="표준 3 5 2 6 2 3 2" xfId="40774"/>
    <cellStyle name="표준 3 5 2 6 2 3 3" xfId="40775"/>
    <cellStyle name="표준 3 5 2 6 2 4" xfId="40776"/>
    <cellStyle name="표준 3 5 2 6 2 5" xfId="40777"/>
    <cellStyle name="표준 3 5 2 6 3" xfId="40778"/>
    <cellStyle name="표준 3 5 2 6 3 2" xfId="40779"/>
    <cellStyle name="표준 3 5 2 6 3 2 2" xfId="40780"/>
    <cellStyle name="표준 3 5 2 6 3 2 2 2" xfId="40781"/>
    <cellStyle name="표준 3 5 2 6 3 2 2 3" xfId="40782"/>
    <cellStyle name="표준 3 5 2 6 3 2 3" xfId="40783"/>
    <cellStyle name="표준 3 5 2 6 3 2 4" xfId="40784"/>
    <cellStyle name="표준 3 5 2 6 3 3" xfId="40785"/>
    <cellStyle name="표준 3 5 2 6 3 3 2" xfId="40786"/>
    <cellStyle name="표준 3 5 2 6 3 3 3" xfId="40787"/>
    <cellStyle name="표준 3 5 2 6 3 4" xfId="40788"/>
    <cellStyle name="표준 3 5 2 6 3 5" xfId="40789"/>
    <cellStyle name="표준 3 5 2 6 4" xfId="40790"/>
    <cellStyle name="표준 3 5 2 6 4 2" xfId="40791"/>
    <cellStyle name="표준 3 5 2 6 4 2 2" xfId="40792"/>
    <cellStyle name="표준 3 5 2 6 4 2 3" xfId="40793"/>
    <cellStyle name="표준 3 5 2 6 4 3" xfId="40794"/>
    <cellStyle name="표준 3 5 2 6 4 4" xfId="40795"/>
    <cellStyle name="표준 3 5 2 6 5" xfId="40796"/>
    <cellStyle name="표준 3 5 2 6 5 2" xfId="40797"/>
    <cellStyle name="표준 3 5 2 6 5 3" xfId="40798"/>
    <cellStyle name="표준 3 5 2 6 6" xfId="40799"/>
    <cellStyle name="표준 3 5 2 6 7" xfId="40800"/>
    <cellStyle name="표준 3 5 2 7" xfId="40801"/>
    <cellStyle name="표준 3 5 2 7 2" xfId="40802"/>
    <cellStyle name="표준 3 5 2 7 2 2" xfId="40803"/>
    <cellStyle name="표준 3 5 2 7 2 2 2" xfId="40804"/>
    <cellStyle name="표준 3 5 2 7 2 2 3" xfId="40805"/>
    <cellStyle name="표준 3 5 2 7 2 3" xfId="40806"/>
    <cellStyle name="표준 3 5 2 7 2 4" xfId="40807"/>
    <cellStyle name="표준 3 5 2 7 3" xfId="40808"/>
    <cellStyle name="표준 3 5 2 7 3 2" xfId="40809"/>
    <cellStyle name="표준 3 5 2 7 3 3" xfId="40810"/>
    <cellStyle name="표준 3 5 2 7 4" xfId="40811"/>
    <cellStyle name="표준 3 5 2 7 5" xfId="40812"/>
    <cellStyle name="표준 3 5 2 8" xfId="40813"/>
    <cellStyle name="표준 3 5 2 8 2" xfId="40814"/>
    <cellStyle name="표준 3 5 2 8 2 2" xfId="40815"/>
    <cellStyle name="표준 3 5 2 8 2 2 2" xfId="40816"/>
    <cellStyle name="표준 3 5 2 8 2 2 3" xfId="40817"/>
    <cellStyle name="표준 3 5 2 8 2 3" xfId="40818"/>
    <cellStyle name="표준 3 5 2 8 2 4" xfId="40819"/>
    <cellStyle name="표준 3 5 2 8 3" xfId="40820"/>
    <cellStyle name="표준 3 5 2 8 3 2" xfId="40821"/>
    <cellStyle name="표준 3 5 2 8 3 3" xfId="40822"/>
    <cellStyle name="표준 3 5 2 8 4" xfId="40823"/>
    <cellStyle name="표준 3 5 2 8 5" xfId="40824"/>
    <cellStyle name="표준 3 5 2 9" xfId="40825"/>
    <cellStyle name="표준 3 5 2 9 2" xfId="40826"/>
    <cellStyle name="표준 3 5 2 9 2 2" xfId="40827"/>
    <cellStyle name="표준 3 5 2 9 2 2 2" xfId="40828"/>
    <cellStyle name="표준 3 5 2 9 2 2 3" xfId="40829"/>
    <cellStyle name="표준 3 5 2 9 2 3" xfId="40830"/>
    <cellStyle name="표준 3 5 2 9 2 4" xfId="40831"/>
    <cellStyle name="표준 3 5 2 9 3" xfId="40832"/>
    <cellStyle name="표준 3 5 2 9 3 2" xfId="40833"/>
    <cellStyle name="표준 3 5 2 9 3 3" xfId="40834"/>
    <cellStyle name="표준 3 5 2 9 4" xfId="40835"/>
    <cellStyle name="표준 3 5 2 9 5" xfId="40836"/>
    <cellStyle name="표준 3 5 3" xfId="40837"/>
    <cellStyle name="표준 3 5 3 10" xfId="40838"/>
    <cellStyle name="표준 3 5 3 2" xfId="40839"/>
    <cellStyle name="표준 3 5 3 2 2" xfId="40840"/>
    <cellStyle name="표준 3 5 3 2 2 2" xfId="40841"/>
    <cellStyle name="표준 3 5 3 2 2 2 2" xfId="40842"/>
    <cellStyle name="표준 3 5 3 2 2 2 2 2" xfId="40843"/>
    <cellStyle name="표준 3 5 3 2 2 2 2 3" xfId="40844"/>
    <cellStyle name="표준 3 5 3 2 2 2 3" xfId="40845"/>
    <cellStyle name="표준 3 5 3 2 2 2 4" xfId="40846"/>
    <cellStyle name="표준 3 5 3 2 2 3" xfId="40847"/>
    <cellStyle name="표준 3 5 3 2 2 3 2" xfId="40848"/>
    <cellStyle name="표준 3 5 3 2 2 3 3" xfId="40849"/>
    <cellStyle name="표준 3 5 3 2 2 4" xfId="40850"/>
    <cellStyle name="표준 3 5 3 2 2 5" xfId="40851"/>
    <cellStyle name="표준 3 5 3 2 3" xfId="40852"/>
    <cellStyle name="표준 3 5 3 2 3 2" xfId="40853"/>
    <cellStyle name="표준 3 5 3 2 3 2 2" xfId="40854"/>
    <cellStyle name="표준 3 5 3 2 3 2 2 2" xfId="40855"/>
    <cellStyle name="표준 3 5 3 2 3 2 2 3" xfId="40856"/>
    <cellStyle name="표준 3 5 3 2 3 2 3" xfId="40857"/>
    <cellStyle name="표준 3 5 3 2 3 2 4" xfId="40858"/>
    <cellStyle name="표준 3 5 3 2 3 3" xfId="40859"/>
    <cellStyle name="표준 3 5 3 2 3 3 2" xfId="40860"/>
    <cellStyle name="표준 3 5 3 2 3 3 3" xfId="40861"/>
    <cellStyle name="표준 3 5 3 2 3 4" xfId="40862"/>
    <cellStyle name="표준 3 5 3 2 3 5" xfId="40863"/>
    <cellStyle name="표준 3 5 3 2 4" xfId="40864"/>
    <cellStyle name="표준 3 5 3 2 4 2" xfId="40865"/>
    <cellStyle name="표준 3 5 3 2 4 2 2" xfId="40866"/>
    <cellStyle name="표준 3 5 3 2 4 2 3" xfId="40867"/>
    <cellStyle name="표준 3 5 3 2 4 3" xfId="40868"/>
    <cellStyle name="표준 3 5 3 2 4 4" xfId="40869"/>
    <cellStyle name="표준 3 5 3 2 5" xfId="40870"/>
    <cellStyle name="표준 3 5 3 2 5 2" xfId="40871"/>
    <cellStyle name="표준 3 5 3 2 5 3" xfId="40872"/>
    <cellStyle name="표준 3 5 3 2 6" xfId="40873"/>
    <cellStyle name="표준 3 5 3 2 7" xfId="40874"/>
    <cellStyle name="표준 3 5 3 3" xfId="40875"/>
    <cellStyle name="표준 3 5 3 3 2" xfId="40876"/>
    <cellStyle name="표준 3 5 3 3 2 2" xfId="40877"/>
    <cellStyle name="표준 3 5 3 3 2 2 2" xfId="40878"/>
    <cellStyle name="표준 3 5 3 3 2 2 2 2" xfId="40879"/>
    <cellStyle name="표준 3 5 3 3 2 2 2 3" xfId="40880"/>
    <cellStyle name="표준 3 5 3 3 2 2 3" xfId="40881"/>
    <cellStyle name="표준 3 5 3 3 2 2 4" xfId="40882"/>
    <cellStyle name="표준 3 5 3 3 2 3" xfId="40883"/>
    <cellStyle name="표준 3 5 3 3 2 3 2" xfId="40884"/>
    <cellStyle name="표준 3 5 3 3 2 3 3" xfId="40885"/>
    <cellStyle name="표준 3 5 3 3 2 4" xfId="40886"/>
    <cellStyle name="표준 3 5 3 3 2 5" xfId="40887"/>
    <cellStyle name="표준 3 5 3 3 3" xfId="40888"/>
    <cellStyle name="표준 3 5 3 3 3 2" xfId="40889"/>
    <cellStyle name="표준 3 5 3 3 3 2 2" xfId="40890"/>
    <cellStyle name="표준 3 5 3 3 3 2 2 2" xfId="40891"/>
    <cellStyle name="표준 3 5 3 3 3 2 2 3" xfId="40892"/>
    <cellStyle name="표준 3 5 3 3 3 2 3" xfId="40893"/>
    <cellStyle name="표준 3 5 3 3 3 2 4" xfId="40894"/>
    <cellStyle name="표준 3 5 3 3 3 3" xfId="40895"/>
    <cellStyle name="표준 3 5 3 3 3 3 2" xfId="40896"/>
    <cellStyle name="표준 3 5 3 3 3 3 3" xfId="40897"/>
    <cellStyle name="표준 3 5 3 3 3 4" xfId="40898"/>
    <cellStyle name="표준 3 5 3 3 3 5" xfId="40899"/>
    <cellStyle name="표준 3 5 3 3 4" xfId="40900"/>
    <cellStyle name="표준 3 5 3 3 4 2" xfId="40901"/>
    <cellStyle name="표준 3 5 3 3 4 2 2" xfId="40902"/>
    <cellStyle name="표준 3 5 3 3 4 2 3" xfId="40903"/>
    <cellStyle name="표준 3 5 3 3 4 3" xfId="40904"/>
    <cellStyle name="표준 3 5 3 3 4 4" xfId="40905"/>
    <cellStyle name="표준 3 5 3 3 5" xfId="40906"/>
    <cellStyle name="표준 3 5 3 3 5 2" xfId="40907"/>
    <cellStyle name="표준 3 5 3 3 5 3" xfId="40908"/>
    <cellStyle name="표준 3 5 3 3 6" xfId="40909"/>
    <cellStyle name="표준 3 5 3 3 7" xfId="40910"/>
    <cellStyle name="표준 3 5 3 4" xfId="40911"/>
    <cellStyle name="표준 3 5 3 4 2" xfId="40912"/>
    <cellStyle name="표준 3 5 3 4 2 2" xfId="40913"/>
    <cellStyle name="표준 3 5 3 4 2 2 2" xfId="40914"/>
    <cellStyle name="표준 3 5 3 4 2 2 3" xfId="40915"/>
    <cellStyle name="표준 3 5 3 4 2 3" xfId="40916"/>
    <cellStyle name="표준 3 5 3 4 2 4" xfId="40917"/>
    <cellStyle name="표준 3 5 3 4 3" xfId="40918"/>
    <cellStyle name="표준 3 5 3 4 3 2" xfId="40919"/>
    <cellStyle name="표준 3 5 3 4 3 3" xfId="40920"/>
    <cellStyle name="표준 3 5 3 4 4" xfId="40921"/>
    <cellStyle name="표준 3 5 3 4 5" xfId="40922"/>
    <cellStyle name="표준 3 5 3 5" xfId="40923"/>
    <cellStyle name="표준 3 5 3 5 2" xfId="40924"/>
    <cellStyle name="표준 3 5 3 5 2 2" xfId="40925"/>
    <cellStyle name="표준 3 5 3 5 2 2 2" xfId="40926"/>
    <cellStyle name="표준 3 5 3 5 2 2 3" xfId="40927"/>
    <cellStyle name="표준 3 5 3 5 2 3" xfId="40928"/>
    <cellStyle name="표준 3 5 3 5 2 4" xfId="40929"/>
    <cellStyle name="표준 3 5 3 5 3" xfId="40930"/>
    <cellStyle name="표준 3 5 3 5 3 2" xfId="40931"/>
    <cellStyle name="표준 3 5 3 5 3 3" xfId="40932"/>
    <cellStyle name="표준 3 5 3 5 4" xfId="40933"/>
    <cellStyle name="표준 3 5 3 5 5" xfId="40934"/>
    <cellStyle name="표준 3 5 3 6" xfId="40935"/>
    <cellStyle name="표준 3 5 3 6 2" xfId="40936"/>
    <cellStyle name="표준 3 5 3 6 2 2" xfId="40937"/>
    <cellStyle name="표준 3 5 3 6 2 2 2" xfId="40938"/>
    <cellStyle name="표준 3 5 3 6 2 2 3" xfId="40939"/>
    <cellStyle name="표준 3 5 3 6 2 3" xfId="40940"/>
    <cellStyle name="표준 3 5 3 6 2 4" xfId="40941"/>
    <cellStyle name="표준 3 5 3 6 3" xfId="40942"/>
    <cellStyle name="표준 3 5 3 6 3 2" xfId="40943"/>
    <cellStyle name="표준 3 5 3 6 3 3" xfId="40944"/>
    <cellStyle name="표준 3 5 3 6 4" xfId="40945"/>
    <cellStyle name="표준 3 5 3 6 5" xfId="40946"/>
    <cellStyle name="표준 3 5 3 7" xfId="40947"/>
    <cellStyle name="표준 3 5 3 7 2" xfId="40948"/>
    <cellStyle name="표준 3 5 3 7 2 2" xfId="40949"/>
    <cellStyle name="표준 3 5 3 7 2 3" xfId="40950"/>
    <cellStyle name="표준 3 5 3 7 3" xfId="40951"/>
    <cellStyle name="표준 3 5 3 7 4" xfId="40952"/>
    <cellStyle name="표준 3 5 3 8" xfId="40953"/>
    <cellStyle name="표준 3 5 3 8 2" xfId="40954"/>
    <cellStyle name="표준 3 5 3 8 3" xfId="40955"/>
    <cellStyle name="표준 3 5 3 9" xfId="40956"/>
    <cellStyle name="표준 3 5 4" xfId="40957"/>
    <cellStyle name="표준 3 5 4 10" xfId="40958"/>
    <cellStyle name="표준 3 5 4 2" xfId="40959"/>
    <cellStyle name="표준 3 5 4 2 2" xfId="40960"/>
    <cellStyle name="표준 3 5 4 2 2 2" xfId="40961"/>
    <cellStyle name="표준 3 5 4 2 2 2 2" xfId="40962"/>
    <cellStyle name="표준 3 5 4 2 2 2 2 2" xfId="40963"/>
    <cellStyle name="표준 3 5 4 2 2 2 2 3" xfId="40964"/>
    <cellStyle name="표준 3 5 4 2 2 2 3" xfId="40965"/>
    <cellStyle name="표준 3 5 4 2 2 2 4" xfId="40966"/>
    <cellStyle name="표준 3 5 4 2 2 3" xfId="40967"/>
    <cellStyle name="표준 3 5 4 2 2 3 2" xfId="40968"/>
    <cellStyle name="표준 3 5 4 2 2 3 3" xfId="40969"/>
    <cellStyle name="표준 3 5 4 2 2 4" xfId="40970"/>
    <cellStyle name="표준 3 5 4 2 2 5" xfId="40971"/>
    <cellStyle name="표준 3 5 4 2 3" xfId="40972"/>
    <cellStyle name="표준 3 5 4 2 3 2" xfId="40973"/>
    <cellStyle name="표준 3 5 4 2 3 2 2" xfId="40974"/>
    <cellStyle name="표준 3 5 4 2 3 2 2 2" xfId="40975"/>
    <cellStyle name="표준 3 5 4 2 3 2 2 3" xfId="40976"/>
    <cellStyle name="표준 3 5 4 2 3 2 3" xfId="40977"/>
    <cellStyle name="표준 3 5 4 2 3 2 4" xfId="40978"/>
    <cellStyle name="표준 3 5 4 2 3 3" xfId="40979"/>
    <cellStyle name="표준 3 5 4 2 3 3 2" xfId="40980"/>
    <cellStyle name="표준 3 5 4 2 3 3 3" xfId="40981"/>
    <cellStyle name="표준 3 5 4 2 3 4" xfId="40982"/>
    <cellStyle name="표준 3 5 4 2 3 5" xfId="40983"/>
    <cellStyle name="표준 3 5 4 2 4" xfId="40984"/>
    <cellStyle name="표준 3 5 4 2 4 2" xfId="40985"/>
    <cellStyle name="표준 3 5 4 2 4 2 2" xfId="40986"/>
    <cellStyle name="표준 3 5 4 2 4 2 3" xfId="40987"/>
    <cellStyle name="표준 3 5 4 2 4 3" xfId="40988"/>
    <cellStyle name="표준 3 5 4 2 4 4" xfId="40989"/>
    <cellStyle name="표준 3 5 4 2 5" xfId="40990"/>
    <cellStyle name="표준 3 5 4 2 5 2" xfId="40991"/>
    <cellStyle name="표준 3 5 4 2 5 3" xfId="40992"/>
    <cellStyle name="표준 3 5 4 2 6" xfId="40993"/>
    <cellStyle name="표준 3 5 4 2 7" xfId="40994"/>
    <cellStyle name="표준 3 5 4 3" xfId="40995"/>
    <cellStyle name="표준 3 5 4 3 2" xfId="40996"/>
    <cellStyle name="표준 3 5 4 3 2 2" xfId="40997"/>
    <cellStyle name="표준 3 5 4 3 2 2 2" xfId="40998"/>
    <cellStyle name="표준 3 5 4 3 2 2 2 2" xfId="40999"/>
    <cellStyle name="표준 3 5 4 3 2 2 2 3" xfId="41000"/>
    <cellStyle name="표준 3 5 4 3 2 2 3" xfId="41001"/>
    <cellStyle name="표준 3 5 4 3 2 2 4" xfId="41002"/>
    <cellStyle name="표준 3 5 4 3 2 3" xfId="41003"/>
    <cellStyle name="표준 3 5 4 3 2 3 2" xfId="41004"/>
    <cellStyle name="표준 3 5 4 3 2 3 3" xfId="41005"/>
    <cellStyle name="표준 3 5 4 3 2 4" xfId="41006"/>
    <cellStyle name="표준 3 5 4 3 2 5" xfId="41007"/>
    <cellStyle name="표준 3 5 4 3 3" xfId="41008"/>
    <cellStyle name="표준 3 5 4 3 3 2" xfId="41009"/>
    <cellStyle name="표준 3 5 4 3 3 2 2" xfId="41010"/>
    <cellStyle name="표준 3 5 4 3 3 2 2 2" xfId="41011"/>
    <cellStyle name="표준 3 5 4 3 3 2 2 3" xfId="41012"/>
    <cellStyle name="표준 3 5 4 3 3 2 3" xfId="41013"/>
    <cellStyle name="표준 3 5 4 3 3 2 4" xfId="41014"/>
    <cellStyle name="표준 3 5 4 3 3 3" xfId="41015"/>
    <cellStyle name="표준 3 5 4 3 3 3 2" xfId="41016"/>
    <cellStyle name="표준 3 5 4 3 3 3 3" xfId="41017"/>
    <cellStyle name="표준 3 5 4 3 3 4" xfId="41018"/>
    <cellStyle name="표준 3 5 4 3 3 5" xfId="41019"/>
    <cellStyle name="표준 3 5 4 3 4" xfId="41020"/>
    <cellStyle name="표준 3 5 4 3 4 2" xfId="41021"/>
    <cellStyle name="표준 3 5 4 3 4 2 2" xfId="41022"/>
    <cellStyle name="표준 3 5 4 3 4 2 3" xfId="41023"/>
    <cellStyle name="표준 3 5 4 3 4 3" xfId="41024"/>
    <cellStyle name="표준 3 5 4 3 4 4" xfId="41025"/>
    <cellStyle name="표준 3 5 4 3 5" xfId="41026"/>
    <cellStyle name="표준 3 5 4 3 5 2" xfId="41027"/>
    <cellStyle name="표준 3 5 4 3 5 3" xfId="41028"/>
    <cellStyle name="표준 3 5 4 3 6" xfId="41029"/>
    <cellStyle name="표준 3 5 4 3 7" xfId="41030"/>
    <cellStyle name="표준 3 5 4 4" xfId="41031"/>
    <cellStyle name="표준 3 5 4 4 2" xfId="41032"/>
    <cellStyle name="표준 3 5 4 4 2 2" xfId="41033"/>
    <cellStyle name="표준 3 5 4 4 2 2 2" xfId="41034"/>
    <cellStyle name="표준 3 5 4 4 2 2 3" xfId="41035"/>
    <cellStyle name="표준 3 5 4 4 2 3" xfId="41036"/>
    <cellStyle name="표준 3 5 4 4 2 4" xfId="41037"/>
    <cellStyle name="표준 3 5 4 4 3" xfId="41038"/>
    <cellStyle name="표준 3 5 4 4 3 2" xfId="41039"/>
    <cellStyle name="표준 3 5 4 4 3 3" xfId="41040"/>
    <cellStyle name="표준 3 5 4 4 4" xfId="41041"/>
    <cellStyle name="표준 3 5 4 4 5" xfId="41042"/>
    <cellStyle name="표준 3 5 4 5" xfId="41043"/>
    <cellStyle name="표준 3 5 4 5 2" xfId="41044"/>
    <cellStyle name="표준 3 5 4 5 2 2" xfId="41045"/>
    <cellStyle name="표준 3 5 4 5 2 2 2" xfId="41046"/>
    <cellStyle name="표준 3 5 4 5 2 2 3" xfId="41047"/>
    <cellStyle name="표준 3 5 4 5 2 3" xfId="41048"/>
    <cellStyle name="표준 3 5 4 5 2 4" xfId="41049"/>
    <cellStyle name="표준 3 5 4 5 3" xfId="41050"/>
    <cellStyle name="표준 3 5 4 5 3 2" xfId="41051"/>
    <cellStyle name="표준 3 5 4 5 3 3" xfId="41052"/>
    <cellStyle name="표준 3 5 4 5 4" xfId="41053"/>
    <cellStyle name="표준 3 5 4 5 5" xfId="41054"/>
    <cellStyle name="표준 3 5 4 6" xfId="41055"/>
    <cellStyle name="표준 3 5 4 6 2" xfId="41056"/>
    <cellStyle name="표준 3 5 4 6 2 2" xfId="41057"/>
    <cellStyle name="표준 3 5 4 6 2 2 2" xfId="41058"/>
    <cellStyle name="표준 3 5 4 6 2 2 3" xfId="41059"/>
    <cellStyle name="표준 3 5 4 6 2 3" xfId="41060"/>
    <cellStyle name="표준 3 5 4 6 2 4" xfId="41061"/>
    <cellStyle name="표준 3 5 4 6 3" xfId="41062"/>
    <cellStyle name="표준 3 5 4 6 3 2" xfId="41063"/>
    <cellStyle name="표준 3 5 4 6 3 3" xfId="41064"/>
    <cellStyle name="표준 3 5 4 6 4" xfId="41065"/>
    <cellStyle name="표준 3 5 4 6 5" xfId="41066"/>
    <cellStyle name="표준 3 5 4 7" xfId="41067"/>
    <cellStyle name="표준 3 5 4 7 2" xfId="41068"/>
    <cellStyle name="표준 3 5 4 7 2 2" xfId="41069"/>
    <cellStyle name="표준 3 5 4 7 2 3" xfId="41070"/>
    <cellStyle name="표준 3 5 4 7 3" xfId="41071"/>
    <cellStyle name="표준 3 5 4 7 4" xfId="41072"/>
    <cellStyle name="표준 3 5 4 8" xfId="41073"/>
    <cellStyle name="표준 3 5 4 8 2" xfId="41074"/>
    <cellStyle name="표준 3 5 4 8 3" xfId="41075"/>
    <cellStyle name="표준 3 5 4 9" xfId="41076"/>
    <cellStyle name="표준 3 5 5" xfId="41077"/>
    <cellStyle name="표준 3 5 5 10" xfId="41078"/>
    <cellStyle name="표준 3 5 5 2" xfId="41079"/>
    <cellStyle name="표준 3 5 5 2 2" xfId="41080"/>
    <cellStyle name="표준 3 5 5 2 2 2" xfId="41081"/>
    <cellStyle name="표준 3 5 5 2 2 2 2" xfId="41082"/>
    <cellStyle name="표준 3 5 5 2 2 2 2 2" xfId="41083"/>
    <cellStyle name="표준 3 5 5 2 2 2 2 3" xfId="41084"/>
    <cellStyle name="표준 3 5 5 2 2 2 3" xfId="41085"/>
    <cellStyle name="표준 3 5 5 2 2 2 4" xfId="41086"/>
    <cellStyle name="표준 3 5 5 2 2 3" xfId="41087"/>
    <cellStyle name="표준 3 5 5 2 2 3 2" xfId="41088"/>
    <cellStyle name="표준 3 5 5 2 2 3 3" xfId="41089"/>
    <cellStyle name="표준 3 5 5 2 2 4" xfId="41090"/>
    <cellStyle name="표준 3 5 5 2 2 5" xfId="41091"/>
    <cellStyle name="표준 3 5 5 2 3" xfId="41092"/>
    <cellStyle name="표준 3 5 5 2 3 2" xfId="41093"/>
    <cellStyle name="표준 3 5 5 2 3 2 2" xfId="41094"/>
    <cellStyle name="표준 3 5 5 2 3 2 2 2" xfId="41095"/>
    <cellStyle name="표준 3 5 5 2 3 2 2 3" xfId="41096"/>
    <cellStyle name="표준 3 5 5 2 3 2 3" xfId="41097"/>
    <cellStyle name="표준 3 5 5 2 3 2 4" xfId="41098"/>
    <cellStyle name="표준 3 5 5 2 3 3" xfId="41099"/>
    <cellStyle name="표준 3 5 5 2 3 3 2" xfId="41100"/>
    <cellStyle name="표준 3 5 5 2 3 3 3" xfId="41101"/>
    <cellStyle name="표준 3 5 5 2 3 4" xfId="41102"/>
    <cellStyle name="표준 3 5 5 2 3 5" xfId="41103"/>
    <cellStyle name="표준 3 5 5 2 4" xfId="41104"/>
    <cellStyle name="표준 3 5 5 2 4 2" xfId="41105"/>
    <cellStyle name="표준 3 5 5 2 4 2 2" xfId="41106"/>
    <cellStyle name="표준 3 5 5 2 4 2 3" xfId="41107"/>
    <cellStyle name="표준 3 5 5 2 4 3" xfId="41108"/>
    <cellStyle name="표준 3 5 5 2 4 4" xfId="41109"/>
    <cellStyle name="표준 3 5 5 2 5" xfId="41110"/>
    <cellStyle name="표준 3 5 5 2 5 2" xfId="41111"/>
    <cellStyle name="표준 3 5 5 2 5 3" xfId="41112"/>
    <cellStyle name="표준 3 5 5 2 6" xfId="41113"/>
    <cellStyle name="표준 3 5 5 2 7" xfId="41114"/>
    <cellStyle name="표준 3 5 5 3" xfId="41115"/>
    <cellStyle name="표준 3 5 5 3 2" xfId="41116"/>
    <cellStyle name="표준 3 5 5 3 2 2" xfId="41117"/>
    <cellStyle name="표준 3 5 5 3 2 2 2" xfId="41118"/>
    <cellStyle name="표준 3 5 5 3 2 2 2 2" xfId="41119"/>
    <cellStyle name="표준 3 5 5 3 2 2 2 3" xfId="41120"/>
    <cellStyle name="표준 3 5 5 3 2 2 3" xfId="41121"/>
    <cellStyle name="표준 3 5 5 3 2 2 4" xfId="41122"/>
    <cellStyle name="표준 3 5 5 3 2 3" xfId="41123"/>
    <cellStyle name="표준 3 5 5 3 2 3 2" xfId="41124"/>
    <cellStyle name="표준 3 5 5 3 2 3 3" xfId="41125"/>
    <cellStyle name="표준 3 5 5 3 2 4" xfId="41126"/>
    <cellStyle name="표준 3 5 5 3 2 5" xfId="41127"/>
    <cellStyle name="표준 3 5 5 3 3" xfId="41128"/>
    <cellStyle name="표준 3 5 5 3 3 2" xfId="41129"/>
    <cellStyle name="표준 3 5 5 3 3 2 2" xfId="41130"/>
    <cellStyle name="표준 3 5 5 3 3 2 2 2" xfId="41131"/>
    <cellStyle name="표준 3 5 5 3 3 2 2 3" xfId="41132"/>
    <cellStyle name="표준 3 5 5 3 3 2 3" xfId="41133"/>
    <cellStyle name="표준 3 5 5 3 3 2 4" xfId="41134"/>
    <cellStyle name="표준 3 5 5 3 3 3" xfId="41135"/>
    <cellStyle name="표준 3 5 5 3 3 3 2" xfId="41136"/>
    <cellStyle name="표준 3 5 5 3 3 3 3" xfId="41137"/>
    <cellStyle name="표준 3 5 5 3 3 4" xfId="41138"/>
    <cellStyle name="표준 3 5 5 3 3 5" xfId="41139"/>
    <cellStyle name="표준 3 5 5 3 4" xfId="41140"/>
    <cellStyle name="표준 3 5 5 3 4 2" xfId="41141"/>
    <cellStyle name="표준 3 5 5 3 4 2 2" xfId="41142"/>
    <cellStyle name="표준 3 5 5 3 4 2 3" xfId="41143"/>
    <cellStyle name="표준 3 5 5 3 4 3" xfId="41144"/>
    <cellStyle name="표준 3 5 5 3 4 4" xfId="41145"/>
    <cellStyle name="표준 3 5 5 3 5" xfId="41146"/>
    <cellStyle name="표준 3 5 5 3 5 2" xfId="41147"/>
    <cellStyle name="표준 3 5 5 3 5 3" xfId="41148"/>
    <cellStyle name="표준 3 5 5 3 6" xfId="41149"/>
    <cellStyle name="표준 3 5 5 3 7" xfId="41150"/>
    <cellStyle name="표준 3 5 5 4" xfId="41151"/>
    <cellStyle name="표준 3 5 5 4 2" xfId="41152"/>
    <cellStyle name="표준 3 5 5 4 2 2" xfId="41153"/>
    <cellStyle name="표준 3 5 5 4 2 2 2" xfId="41154"/>
    <cellStyle name="표준 3 5 5 4 2 2 3" xfId="41155"/>
    <cellStyle name="표준 3 5 5 4 2 3" xfId="41156"/>
    <cellStyle name="표준 3 5 5 4 2 4" xfId="41157"/>
    <cellStyle name="표준 3 5 5 4 3" xfId="41158"/>
    <cellStyle name="표준 3 5 5 4 3 2" xfId="41159"/>
    <cellStyle name="표준 3 5 5 4 3 3" xfId="41160"/>
    <cellStyle name="표준 3 5 5 4 4" xfId="41161"/>
    <cellStyle name="표준 3 5 5 4 5" xfId="41162"/>
    <cellStyle name="표준 3 5 5 5" xfId="41163"/>
    <cellStyle name="표준 3 5 5 5 2" xfId="41164"/>
    <cellStyle name="표준 3 5 5 5 2 2" xfId="41165"/>
    <cellStyle name="표준 3 5 5 5 2 2 2" xfId="41166"/>
    <cellStyle name="표준 3 5 5 5 2 2 3" xfId="41167"/>
    <cellStyle name="표준 3 5 5 5 2 3" xfId="41168"/>
    <cellStyle name="표준 3 5 5 5 2 4" xfId="41169"/>
    <cellStyle name="표준 3 5 5 5 3" xfId="41170"/>
    <cellStyle name="표준 3 5 5 5 3 2" xfId="41171"/>
    <cellStyle name="표준 3 5 5 5 3 3" xfId="41172"/>
    <cellStyle name="표준 3 5 5 5 4" xfId="41173"/>
    <cellStyle name="표준 3 5 5 5 5" xfId="41174"/>
    <cellStyle name="표준 3 5 5 6" xfId="41175"/>
    <cellStyle name="표준 3 5 5 6 2" xfId="41176"/>
    <cellStyle name="표준 3 5 5 6 2 2" xfId="41177"/>
    <cellStyle name="표준 3 5 5 6 2 2 2" xfId="41178"/>
    <cellStyle name="표준 3 5 5 6 2 2 3" xfId="41179"/>
    <cellStyle name="표준 3 5 5 6 2 3" xfId="41180"/>
    <cellStyle name="표준 3 5 5 6 2 4" xfId="41181"/>
    <cellStyle name="표준 3 5 5 6 3" xfId="41182"/>
    <cellStyle name="표준 3 5 5 6 3 2" xfId="41183"/>
    <cellStyle name="표준 3 5 5 6 3 3" xfId="41184"/>
    <cellStyle name="표준 3 5 5 6 4" xfId="41185"/>
    <cellStyle name="표준 3 5 5 6 5" xfId="41186"/>
    <cellStyle name="표준 3 5 5 7" xfId="41187"/>
    <cellStyle name="표준 3 5 5 7 2" xfId="41188"/>
    <cellStyle name="표준 3 5 5 7 2 2" xfId="41189"/>
    <cellStyle name="표준 3 5 5 7 2 3" xfId="41190"/>
    <cellStyle name="표준 3 5 5 7 3" xfId="41191"/>
    <cellStyle name="표준 3 5 5 7 4" xfId="41192"/>
    <cellStyle name="표준 3 5 5 8" xfId="41193"/>
    <cellStyle name="표준 3 5 5 8 2" xfId="41194"/>
    <cellStyle name="표준 3 5 5 8 3" xfId="41195"/>
    <cellStyle name="표준 3 5 5 9" xfId="41196"/>
    <cellStyle name="표준 3 5 6" xfId="41197"/>
    <cellStyle name="표준 3 5 6 2" xfId="41198"/>
    <cellStyle name="표준 3 5 6 2 2" xfId="41199"/>
    <cellStyle name="표준 3 5 6 2 2 2" xfId="41200"/>
    <cellStyle name="표준 3 5 6 2 2 2 2" xfId="41201"/>
    <cellStyle name="표준 3 5 6 2 2 2 3" xfId="41202"/>
    <cellStyle name="표준 3 5 6 2 2 3" xfId="41203"/>
    <cellStyle name="표준 3 5 6 2 2 4" xfId="41204"/>
    <cellStyle name="표준 3 5 6 2 3" xfId="41205"/>
    <cellStyle name="표준 3 5 6 2 3 2" xfId="41206"/>
    <cellStyle name="표준 3 5 6 2 3 3" xfId="41207"/>
    <cellStyle name="표준 3 5 6 2 4" xfId="41208"/>
    <cellStyle name="표준 3 5 6 2 5" xfId="41209"/>
    <cellStyle name="표준 3 5 6 3" xfId="41210"/>
    <cellStyle name="표준 3 5 6 3 2" xfId="41211"/>
    <cellStyle name="표준 3 5 6 3 2 2" xfId="41212"/>
    <cellStyle name="표준 3 5 6 3 2 2 2" xfId="41213"/>
    <cellStyle name="표준 3 5 6 3 2 2 3" xfId="41214"/>
    <cellStyle name="표준 3 5 6 3 2 3" xfId="41215"/>
    <cellStyle name="표준 3 5 6 3 2 4" xfId="41216"/>
    <cellStyle name="표준 3 5 6 3 3" xfId="41217"/>
    <cellStyle name="표준 3 5 6 3 3 2" xfId="41218"/>
    <cellStyle name="표준 3 5 6 3 3 3" xfId="41219"/>
    <cellStyle name="표준 3 5 6 3 4" xfId="41220"/>
    <cellStyle name="표준 3 5 6 3 5" xfId="41221"/>
    <cellStyle name="표준 3 5 6 4" xfId="41222"/>
    <cellStyle name="표준 3 5 6 4 2" xfId="41223"/>
    <cellStyle name="표준 3 5 6 4 2 2" xfId="41224"/>
    <cellStyle name="표준 3 5 6 4 2 3" xfId="41225"/>
    <cellStyle name="표준 3 5 6 4 3" xfId="41226"/>
    <cellStyle name="표준 3 5 6 4 4" xfId="41227"/>
    <cellStyle name="표준 3 5 6 5" xfId="41228"/>
    <cellStyle name="표준 3 5 6 5 2" xfId="41229"/>
    <cellStyle name="표준 3 5 6 5 3" xfId="41230"/>
    <cellStyle name="표준 3 5 6 6" xfId="41231"/>
    <cellStyle name="표준 3 5 6 7" xfId="41232"/>
    <cellStyle name="표준 3 5 7" xfId="41233"/>
    <cellStyle name="표준 3 5 7 2" xfId="41234"/>
    <cellStyle name="표준 3 5 7 2 2" xfId="41235"/>
    <cellStyle name="표준 3 5 7 2 2 2" xfId="41236"/>
    <cellStyle name="표준 3 5 7 2 2 2 2" xfId="41237"/>
    <cellStyle name="표준 3 5 7 2 2 2 3" xfId="41238"/>
    <cellStyle name="표준 3 5 7 2 2 3" xfId="41239"/>
    <cellStyle name="표준 3 5 7 2 2 4" xfId="41240"/>
    <cellStyle name="표준 3 5 7 2 3" xfId="41241"/>
    <cellStyle name="표준 3 5 7 2 3 2" xfId="41242"/>
    <cellStyle name="표준 3 5 7 2 3 3" xfId="41243"/>
    <cellStyle name="표준 3 5 7 2 4" xfId="41244"/>
    <cellStyle name="표준 3 5 7 2 5" xfId="41245"/>
    <cellStyle name="표준 3 5 7 3" xfId="41246"/>
    <cellStyle name="표준 3 5 7 3 2" xfId="41247"/>
    <cellStyle name="표준 3 5 7 3 2 2" xfId="41248"/>
    <cellStyle name="표준 3 5 7 3 2 2 2" xfId="41249"/>
    <cellStyle name="표준 3 5 7 3 2 2 3" xfId="41250"/>
    <cellStyle name="표준 3 5 7 3 2 3" xfId="41251"/>
    <cellStyle name="표준 3 5 7 3 2 4" xfId="41252"/>
    <cellStyle name="표준 3 5 7 3 3" xfId="41253"/>
    <cellStyle name="표준 3 5 7 3 3 2" xfId="41254"/>
    <cellStyle name="표준 3 5 7 3 3 3" xfId="41255"/>
    <cellStyle name="표준 3 5 7 3 4" xfId="41256"/>
    <cellStyle name="표준 3 5 7 3 5" xfId="41257"/>
    <cellStyle name="표준 3 5 7 4" xfId="41258"/>
    <cellStyle name="표준 3 5 7 4 2" xfId="41259"/>
    <cellStyle name="표준 3 5 7 4 2 2" xfId="41260"/>
    <cellStyle name="표준 3 5 7 4 2 3" xfId="41261"/>
    <cellStyle name="표준 3 5 7 4 3" xfId="41262"/>
    <cellStyle name="표준 3 5 7 4 4" xfId="41263"/>
    <cellStyle name="표준 3 5 7 5" xfId="41264"/>
    <cellStyle name="표준 3 5 7 5 2" xfId="41265"/>
    <cellStyle name="표준 3 5 7 5 3" xfId="41266"/>
    <cellStyle name="표준 3 5 7 6" xfId="41267"/>
    <cellStyle name="표준 3 5 7 7" xfId="41268"/>
    <cellStyle name="표준 3 5 8" xfId="41269"/>
    <cellStyle name="표준 3 5 8 2" xfId="41270"/>
    <cellStyle name="표준 3 5 8 2 2" xfId="41271"/>
    <cellStyle name="표준 3 5 8 2 2 2" xfId="41272"/>
    <cellStyle name="표준 3 5 8 2 2 3" xfId="41273"/>
    <cellStyle name="표준 3 5 8 2 3" xfId="41274"/>
    <cellStyle name="표준 3 5 8 2 4" xfId="41275"/>
    <cellStyle name="표준 3 5 8 3" xfId="41276"/>
    <cellStyle name="표준 3 5 8 3 2" xfId="41277"/>
    <cellStyle name="표준 3 5 8 3 3" xfId="41278"/>
    <cellStyle name="표준 3 5 8 4" xfId="41279"/>
    <cellStyle name="표준 3 5 8 5" xfId="41280"/>
    <cellStyle name="표준 3 5 9" xfId="41281"/>
    <cellStyle name="표준 3 5 9 2" xfId="41282"/>
    <cellStyle name="표준 3 5 9 2 2" xfId="41283"/>
    <cellStyle name="표준 3 5 9 2 2 2" xfId="41284"/>
    <cellStyle name="표준 3 5 9 2 2 3" xfId="41285"/>
    <cellStyle name="표준 3 5 9 2 3" xfId="41286"/>
    <cellStyle name="표준 3 5 9 2 4" xfId="41287"/>
    <cellStyle name="표준 3 5 9 3" xfId="41288"/>
    <cellStyle name="표준 3 5 9 3 2" xfId="41289"/>
    <cellStyle name="표준 3 5 9 3 3" xfId="41290"/>
    <cellStyle name="표준 3 5 9 4" xfId="41291"/>
    <cellStyle name="표준 3 5 9 5" xfId="41292"/>
    <cellStyle name="표준 3 6" xfId="41293"/>
    <cellStyle name="표준 3 6 10" xfId="41294"/>
    <cellStyle name="표준 3 6 10 2" xfId="41295"/>
    <cellStyle name="표준 3 6 10 2 2" xfId="41296"/>
    <cellStyle name="표준 3 6 10 2 3" xfId="41297"/>
    <cellStyle name="표준 3 6 10 3" xfId="41298"/>
    <cellStyle name="표준 3 6 10 4" xfId="41299"/>
    <cellStyle name="표준 3 6 11" xfId="41300"/>
    <cellStyle name="표준 3 6 11 2" xfId="41301"/>
    <cellStyle name="표준 3 6 11 3" xfId="41302"/>
    <cellStyle name="표준 3 6 12" xfId="41303"/>
    <cellStyle name="표준 3 6 13" xfId="41304"/>
    <cellStyle name="표준 3 6 14" xfId="41305"/>
    <cellStyle name="표준 3 6 2" xfId="41306"/>
    <cellStyle name="표준 3 6 2 10" xfId="41307"/>
    <cellStyle name="표준 3 6 2 2" xfId="41308"/>
    <cellStyle name="표준 3 6 2 2 2" xfId="41309"/>
    <cellStyle name="표준 3 6 2 2 2 2" xfId="41310"/>
    <cellStyle name="표준 3 6 2 2 2 2 2" xfId="41311"/>
    <cellStyle name="표준 3 6 2 2 2 2 2 2" xfId="41312"/>
    <cellStyle name="표준 3 6 2 2 2 2 2 3" xfId="41313"/>
    <cellStyle name="표준 3 6 2 2 2 2 3" xfId="41314"/>
    <cellStyle name="표준 3 6 2 2 2 2 4" xfId="41315"/>
    <cellStyle name="표준 3 6 2 2 2 3" xfId="41316"/>
    <cellStyle name="표준 3 6 2 2 2 3 2" xfId="41317"/>
    <cellStyle name="표준 3 6 2 2 2 3 3" xfId="41318"/>
    <cellStyle name="표준 3 6 2 2 2 4" xfId="41319"/>
    <cellStyle name="표준 3 6 2 2 2 5" xfId="41320"/>
    <cellStyle name="표준 3 6 2 2 3" xfId="41321"/>
    <cellStyle name="표준 3 6 2 2 3 2" xfId="41322"/>
    <cellStyle name="표준 3 6 2 2 3 2 2" xfId="41323"/>
    <cellStyle name="표준 3 6 2 2 3 2 2 2" xfId="41324"/>
    <cellStyle name="표준 3 6 2 2 3 2 2 3" xfId="41325"/>
    <cellStyle name="표준 3 6 2 2 3 2 3" xfId="41326"/>
    <cellStyle name="표준 3 6 2 2 3 2 4" xfId="41327"/>
    <cellStyle name="표준 3 6 2 2 3 3" xfId="41328"/>
    <cellStyle name="표준 3 6 2 2 3 3 2" xfId="41329"/>
    <cellStyle name="표준 3 6 2 2 3 3 3" xfId="41330"/>
    <cellStyle name="표준 3 6 2 2 3 4" xfId="41331"/>
    <cellStyle name="표준 3 6 2 2 3 5" xfId="41332"/>
    <cellStyle name="표준 3 6 2 2 4" xfId="41333"/>
    <cellStyle name="표준 3 6 2 2 4 2" xfId="41334"/>
    <cellStyle name="표준 3 6 2 2 4 2 2" xfId="41335"/>
    <cellStyle name="표준 3 6 2 2 4 2 3" xfId="41336"/>
    <cellStyle name="표준 3 6 2 2 4 3" xfId="41337"/>
    <cellStyle name="표준 3 6 2 2 4 4" xfId="41338"/>
    <cellStyle name="표준 3 6 2 2 5" xfId="41339"/>
    <cellStyle name="표준 3 6 2 2 5 2" xfId="41340"/>
    <cellStyle name="표준 3 6 2 2 5 3" xfId="41341"/>
    <cellStyle name="표준 3 6 2 2 6" xfId="41342"/>
    <cellStyle name="표준 3 6 2 2 7" xfId="41343"/>
    <cellStyle name="표준 3 6 2 3" xfId="41344"/>
    <cellStyle name="표준 3 6 2 3 2" xfId="41345"/>
    <cellStyle name="표준 3 6 2 3 2 2" xfId="41346"/>
    <cellStyle name="표준 3 6 2 3 2 2 2" xfId="41347"/>
    <cellStyle name="표준 3 6 2 3 2 2 2 2" xfId="41348"/>
    <cellStyle name="표준 3 6 2 3 2 2 2 3" xfId="41349"/>
    <cellStyle name="표준 3 6 2 3 2 2 3" xfId="41350"/>
    <cellStyle name="표준 3 6 2 3 2 2 4" xfId="41351"/>
    <cellStyle name="표준 3 6 2 3 2 3" xfId="41352"/>
    <cellStyle name="표준 3 6 2 3 2 3 2" xfId="41353"/>
    <cellStyle name="표준 3 6 2 3 2 3 3" xfId="41354"/>
    <cellStyle name="표준 3 6 2 3 2 4" xfId="41355"/>
    <cellStyle name="표준 3 6 2 3 2 5" xfId="41356"/>
    <cellStyle name="표준 3 6 2 3 3" xfId="41357"/>
    <cellStyle name="표준 3 6 2 3 3 2" xfId="41358"/>
    <cellStyle name="표준 3 6 2 3 3 2 2" xfId="41359"/>
    <cellStyle name="표준 3 6 2 3 3 2 2 2" xfId="41360"/>
    <cellStyle name="표준 3 6 2 3 3 2 2 3" xfId="41361"/>
    <cellStyle name="표준 3 6 2 3 3 2 3" xfId="41362"/>
    <cellStyle name="표준 3 6 2 3 3 2 4" xfId="41363"/>
    <cellStyle name="표준 3 6 2 3 3 3" xfId="41364"/>
    <cellStyle name="표준 3 6 2 3 3 3 2" xfId="41365"/>
    <cellStyle name="표준 3 6 2 3 3 3 3" xfId="41366"/>
    <cellStyle name="표준 3 6 2 3 3 4" xfId="41367"/>
    <cellStyle name="표준 3 6 2 3 3 5" xfId="41368"/>
    <cellStyle name="표준 3 6 2 3 4" xfId="41369"/>
    <cellStyle name="표준 3 6 2 3 4 2" xfId="41370"/>
    <cellStyle name="표준 3 6 2 3 4 2 2" xfId="41371"/>
    <cellStyle name="표준 3 6 2 3 4 2 3" xfId="41372"/>
    <cellStyle name="표준 3 6 2 3 4 3" xfId="41373"/>
    <cellStyle name="표준 3 6 2 3 4 4" xfId="41374"/>
    <cellStyle name="표준 3 6 2 3 5" xfId="41375"/>
    <cellStyle name="표준 3 6 2 3 5 2" xfId="41376"/>
    <cellStyle name="표준 3 6 2 3 5 3" xfId="41377"/>
    <cellStyle name="표준 3 6 2 3 6" xfId="41378"/>
    <cellStyle name="표준 3 6 2 3 7" xfId="41379"/>
    <cellStyle name="표준 3 6 2 4" xfId="41380"/>
    <cellStyle name="표준 3 6 2 4 2" xfId="41381"/>
    <cellStyle name="표준 3 6 2 4 2 2" xfId="41382"/>
    <cellStyle name="표준 3 6 2 4 2 2 2" xfId="41383"/>
    <cellStyle name="표준 3 6 2 4 2 2 3" xfId="41384"/>
    <cellStyle name="표준 3 6 2 4 2 3" xfId="41385"/>
    <cellStyle name="표준 3 6 2 4 2 4" xfId="41386"/>
    <cellStyle name="표준 3 6 2 4 3" xfId="41387"/>
    <cellStyle name="표준 3 6 2 4 3 2" xfId="41388"/>
    <cellStyle name="표준 3 6 2 4 3 3" xfId="41389"/>
    <cellStyle name="표준 3 6 2 4 4" xfId="41390"/>
    <cellStyle name="표준 3 6 2 4 5" xfId="41391"/>
    <cellStyle name="표준 3 6 2 5" xfId="41392"/>
    <cellStyle name="표준 3 6 2 5 2" xfId="41393"/>
    <cellStyle name="표준 3 6 2 5 2 2" xfId="41394"/>
    <cellStyle name="표준 3 6 2 5 2 2 2" xfId="41395"/>
    <cellStyle name="표준 3 6 2 5 2 2 3" xfId="41396"/>
    <cellStyle name="표준 3 6 2 5 2 3" xfId="41397"/>
    <cellStyle name="표준 3 6 2 5 2 4" xfId="41398"/>
    <cellStyle name="표준 3 6 2 5 3" xfId="41399"/>
    <cellStyle name="표준 3 6 2 5 3 2" xfId="41400"/>
    <cellStyle name="표준 3 6 2 5 3 3" xfId="41401"/>
    <cellStyle name="표준 3 6 2 5 4" xfId="41402"/>
    <cellStyle name="표준 3 6 2 5 5" xfId="41403"/>
    <cellStyle name="표준 3 6 2 6" xfId="41404"/>
    <cellStyle name="표준 3 6 2 6 2" xfId="41405"/>
    <cellStyle name="표준 3 6 2 6 2 2" xfId="41406"/>
    <cellStyle name="표준 3 6 2 6 2 2 2" xfId="41407"/>
    <cellStyle name="표준 3 6 2 6 2 2 3" xfId="41408"/>
    <cellStyle name="표준 3 6 2 6 2 3" xfId="41409"/>
    <cellStyle name="표준 3 6 2 6 2 4" xfId="41410"/>
    <cellStyle name="표준 3 6 2 6 3" xfId="41411"/>
    <cellStyle name="표준 3 6 2 6 3 2" xfId="41412"/>
    <cellStyle name="표준 3 6 2 6 3 3" xfId="41413"/>
    <cellStyle name="표준 3 6 2 6 4" xfId="41414"/>
    <cellStyle name="표준 3 6 2 6 5" xfId="41415"/>
    <cellStyle name="표준 3 6 2 7" xfId="41416"/>
    <cellStyle name="표준 3 6 2 7 2" xfId="41417"/>
    <cellStyle name="표준 3 6 2 7 2 2" xfId="41418"/>
    <cellStyle name="표준 3 6 2 7 2 3" xfId="41419"/>
    <cellStyle name="표준 3 6 2 7 3" xfId="41420"/>
    <cellStyle name="표준 3 6 2 7 4" xfId="41421"/>
    <cellStyle name="표준 3 6 2 8" xfId="41422"/>
    <cellStyle name="표준 3 6 2 8 2" xfId="41423"/>
    <cellStyle name="표준 3 6 2 8 3" xfId="41424"/>
    <cellStyle name="표준 3 6 2 9" xfId="41425"/>
    <cellStyle name="표준 3 6 3" xfId="41426"/>
    <cellStyle name="표준 3 6 3 10" xfId="41427"/>
    <cellStyle name="표준 3 6 3 2" xfId="41428"/>
    <cellStyle name="표준 3 6 3 2 2" xfId="41429"/>
    <cellStyle name="표준 3 6 3 2 2 2" xfId="41430"/>
    <cellStyle name="표준 3 6 3 2 2 2 2" xfId="41431"/>
    <cellStyle name="표준 3 6 3 2 2 2 2 2" xfId="41432"/>
    <cellStyle name="표준 3 6 3 2 2 2 2 3" xfId="41433"/>
    <cellStyle name="표준 3 6 3 2 2 2 3" xfId="41434"/>
    <cellStyle name="표준 3 6 3 2 2 2 4" xfId="41435"/>
    <cellStyle name="표준 3 6 3 2 2 3" xfId="41436"/>
    <cellStyle name="표준 3 6 3 2 2 3 2" xfId="41437"/>
    <cellStyle name="표준 3 6 3 2 2 3 3" xfId="41438"/>
    <cellStyle name="표준 3 6 3 2 2 4" xfId="41439"/>
    <cellStyle name="표준 3 6 3 2 2 5" xfId="41440"/>
    <cellStyle name="표준 3 6 3 2 3" xfId="41441"/>
    <cellStyle name="표준 3 6 3 2 3 2" xfId="41442"/>
    <cellStyle name="표준 3 6 3 2 3 2 2" xfId="41443"/>
    <cellStyle name="표준 3 6 3 2 3 2 2 2" xfId="41444"/>
    <cellStyle name="표준 3 6 3 2 3 2 2 3" xfId="41445"/>
    <cellStyle name="표준 3 6 3 2 3 2 3" xfId="41446"/>
    <cellStyle name="표준 3 6 3 2 3 2 4" xfId="41447"/>
    <cellStyle name="표준 3 6 3 2 3 3" xfId="41448"/>
    <cellStyle name="표준 3 6 3 2 3 3 2" xfId="41449"/>
    <cellStyle name="표준 3 6 3 2 3 3 3" xfId="41450"/>
    <cellStyle name="표준 3 6 3 2 3 4" xfId="41451"/>
    <cellStyle name="표준 3 6 3 2 3 5" xfId="41452"/>
    <cellStyle name="표준 3 6 3 2 4" xfId="41453"/>
    <cellStyle name="표준 3 6 3 2 4 2" xfId="41454"/>
    <cellStyle name="표준 3 6 3 2 4 2 2" xfId="41455"/>
    <cellStyle name="표준 3 6 3 2 4 2 3" xfId="41456"/>
    <cellStyle name="표준 3 6 3 2 4 3" xfId="41457"/>
    <cellStyle name="표준 3 6 3 2 4 4" xfId="41458"/>
    <cellStyle name="표준 3 6 3 2 5" xfId="41459"/>
    <cellStyle name="표준 3 6 3 2 5 2" xfId="41460"/>
    <cellStyle name="표준 3 6 3 2 5 3" xfId="41461"/>
    <cellStyle name="표준 3 6 3 2 6" xfId="41462"/>
    <cellStyle name="표준 3 6 3 2 7" xfId="41463"/>
    <cellStyle name="표준 3 6 3 3" xfId="41464"/>
    <cellStyle name="표준 3 6 3 3 2" xfId="41465"/>
    <cellStyle name="표준 3 6 3 3 2 2" xfId="41466"/>
    <cellStyle name="표준 3 6 3 3 2 2 2" xfId="41467"/>
    <cellStyle name="표준 3 6 3 3 2 2 2 2" xfId="41468"/>
    <cellStyle name="표준 3 6 3 3 2 2 2 3" xfId="41469"/>
    <cellStyle name="표준 3 6 3 3 2 2 3" xfId="41470"/>
    <cellStyle name="표준 3 6 3 3 2 2 4" xfId="41471"/>
    <cellStyle name="표준 3 6 3 3 2 3" xfId="41472"/>
    <cellStyle name="표준 3 6 3 3 2 3 2" xfId="41473"/>
    <cellStyle name="표준 3 6 3 3 2 3 3" xfId="41474"/>
    <cellStyle name="표준 3 6 3 3 2 4" xfId="41475"/>
    <cellStyle name="표준 3 6 3 3 2 5" xfId="41476"/>
    <cellStyle name="표준 3 6 3 3 3" xfId="41477"/>
    <cellStyle name="표준 3 6 3 3 3 2" xfId="41478"/>
    <cellStyle name="표준 3 6 3 3 3 2 2" xfId="41479"/>
    <cellStyle name="표준 3 6 3 3 3 2 2 2" xfId="41480"/>
    <cellStyle name="표준 3 6 3 3 3 2 2 3" xfId="41481"/>
    <cellStyle name="표준 3 6 3 3 3 2 3" xfId="41482"/>
    <cellStyle name="표준 3 6 3 3 3 2 4" xfId="41483"/>
    <cellStyle name="표준 3 6 3 3 3 3" xfId="41484"/>
    <cellStyle name="표준 3 6 3 3 3 3 2" xfId="41485"/>
    <cellStyle name="표준 3 6 3 3 3 3 3" xfId="41486"/>
    <cellStyle name="표준 3 6 3 3 3 4" xfId="41487"/>
    <cellStyle name="표준 3 6 3 3 3 5" xfId="41488"/>
    <cellStyle name="표준 3 6 3 3 4" xfId="41489"/>
    <cellStyle name="표준 3 6 3 3 4 2" xfId="41490"/>
    <cellStyle name="표준 3 6 3 3 4 2 2" xfId="41491"/>
    <cellStyle name="표준 3 6 3 3 4 2 3" xfId="41492"/>
    <cellStyle name="표준 3 6 3 3 4 3" xfId="41493"/>
    <cellStyle name="표준 3 6 3 3 4 4" xfId="41494"/>
    <cellStyle name="표준 3 6 3 3 5" xfId="41495"/>
    <cellStyle name="표준 3 6 3 3 5 2" xfId="41496"/>
    <cellStyle name="표준 3 6 3 3 5 3" xfId="41497"/>
    <cellStyle name="표준 3 6 3 3 6" xfId="41498"/>
    <cellStyle name="표준 3 6 3 3 7" xfId="41499"/>
    <cellStyle name="표준 3 6 3 4" xfId="41500"/>
    <cellStyle name="표준 3 6 3 4 2" xfId="41501"/>
    <cellStyle name="표준 3 6 3 4 2 2" xfId="41502"/>
    <cellStyle name="표준 3 6 3 4 2 2 2" xfId="41503"/>
    <cellStyle name="표준 3 6 3 4 2 2 3" xfId="41504"/>
    <cellStyle name="표준 3 6 3 4 2 3" xfId="41505"/>
    <cellStyle name="표준 3 6 3 4 2 4" xfId="41506"/>
    <cellStyle name="표준 3 6 3 4 3" xfId="41507"/>
    <cellStyle name="표준 3 6 3 4 3 2" xfId="41508"/>
    <cellStyle name="표준 3 6 3 4 3 3" xfId="41509"/>
    <cellStyle name="표준 3 6 3 4 4" xfId="41510"/>
    <cellStyle name="표준 3 6 3 4 5" xfId="41511"/>
    <cellStyle name="표준 3 6 3 5" xfId="41512"/>
    <cellStyle name="표준 3 6 3 5 2" xfId="41513"/>
    <cellStyle name="표준 3 6 3 5 2 2" xfId="41514"/>
    <cellStyle name="표준 3 6 3 5 2 2 2" xfId="41515"/>
    <cellStyle name="표준 3 6 3 5 2 2 3" xfId="41516"/>
    <cellStyle name="표준 3 6 3 5 2 3" xfId="41517"/>
    <cellStyle name="표준 3 6 3 5 2 4" xfId="41518"/>
    <cellStyle name="표준 3 6 3 5 3" xfId="41519"/>
    <cellStyle name="표준 3 6 3 5 3 2" xfId="41520"/>
    <cellStyle name="표준 3 6 3 5 3 3" xfId="41521"/>
    <cellStyle name="표준 3 6 3 5 4" xfId="41522"/>
    <cellStyle name="표준 3 6 3 5 5" xfId="41523"/>
    <cellStyle name="표준 3 6 3 6" xfId="41524"/>
    <cellStyle name="표준 3 6 3 6 2" xfId="41525"/>
    <cellStyle name="표준 3 6 3 6 2 2" xfId="41526"/>
    <cellStyle name="표준 3 6 3 6 2 2 2" xfId="41527"/>
    <cellStyle name="표준 3 6 3 6 2 2 3" xfId="41528"/>
    <cellStyle name="표준 3 6 3 6 2 3" xfId="41529"/>
    <cellStyle name="표준 3 6 3 6 2 4" xfId="41530"/>
    <cellStyle name="표준 3 6 3 6 3" xfId="41531"/>
    <cellStyle name="표준 3 6 3 6 3 2" xfId="41532"/>
    <cellStyle name="표준 3 6 3 6 3 3" xfId="41533"/>
    <cellStyle name="표준 3 6 3 6 4" xfId="41534"/>
    <cellStyle name="표준 3 6 3 6 5" xfId="41535"/>
    <cellStyle name="표준 3 6 3 7" xfId="41536"/>
    <cellStyle name="표준 3 6 3 7 2" xfId="41537"/>
    <cellStyle name="표준 3 6 3 7 2 2" xfId="41538"/>
    <cellStyle name="표준 3 6 3 7 2 3" xfId="41539"/>
    <cellStyle name="표준 3 6 3 7 3" xfId="41540"/>
    <cellStyle name="표준 3 6 3 7 4" xfId="41541"/>
    <cellStyle name="표준 3 6 3 8" xfId="41542"/>
    <cellStyle name="표준 3 6 3 8 2" xfId="41543"/>
    <cellStyle name="표준 3 6 3 8 3" xfId="41544"/>
    <cellStyle name="표준 3 6 3 9" xfId="41545"/>
    <cellStyle name="표준 3 6 4" xfId="41546"/>
    <cellStyle name="표준 3 6 4 10" xfId="41547"/>
    <cellStyle name="표준 3 6 4 2" xfId="41548"/>
    <cellStyle name="표준 3 6 4 2 2" xfId="41549"/>
    <cellStyle name="표준 3 6 4 2 2 2" xfId="41550"/>
    <cellStyle name="표준 3 6 4 2 2 2 2" xfId="41551"/>
    <cellStyle name="표준 3 6 4 2 2 2 2 2" xfId="41552"/>
    <cellStyle name="표준 3 6 4 2 2 2 2 3" xfId="41553"/>
    <cellStyle name="표준 3 6 4 2 2 2 3" xfId="41554"/>
    <cellStyle name="표준 3 6 4 2 2 2 4" xfId="41555"/>
    <cellStyle name="표준 3 6 4 2 2 3" xfId="41556"/>
    <cellStyle name="표준 3 6 4 2 2 3 2" xfId="41557"/>
    <cellStyle name="표준 3 6 4 2 2 3 3" xfId="41558"/>
    <cellStyle name="표준 3 6 4 2 2 4" xfId="41559"/>
    <cellStyle name="표준 3 6 4 2 2 5" xfId="41560"/>
    <cellStyle name="표준 3 6 4 2 3" xfId="41561"/>
    <cellStyle name="표준 3 6 4 2 3 2" xfId="41562"/>
    <cellStyle name="표준 3 6 4 2 3 2 2" xfId="41563"/>
    <cellStyle name="표준 3 6 4 2 3 2 2 2" xfId="41564"/>
    <cellStyle name="표준 3 6 4 2 3 2 2 3" xfId="41565"/>
    <cellStyle name="표준 3 6 4 2 3 2 3" xfId="41566"/>
    <cellStyle name="표준 3 6 4 2 3 2 4" xfId="41567"/>
    <cellStyle name="표준 3 6 4 2 3 3" xfId="41568"/>
    <cellStyle name="표준 3 6 4 2 3 3 2" xfId="41569"/>
    <cellStyle name="표준 3 6 4 2 3 3 3" xfId="41570"/>
    <cellStyle name="표준 3 6 4 2 3 4" xfId="41571"/>
    <cellStyle name="표준 3 6 4 2 3 5" xfId="41572"/>
    <cellStyle name="표준 3 6 4 2 4" xfId="41573"/>
    <cellStyle name="표준 3 6 4 2 4 2" xfId="41574"/>
    <cellStyle name="표준 3 6 4 2 4 2 2" xfId="41575"/>
    <cellStyle name="표준 3 6 4 2 4 2 3" xfId="41576"/>
    <cellStyle name="표준 3 6 4 2 4 3" xfId="41577"/>
    <cellStyle name="표준 3 6 4 2 4 4" xfId="41578"/>
    <cellStyle name="표준 3 6 4 2 5" xfId="41579"/>
    <cellStyle name="표준 3 6 4 2 5 2" xfId="41580"/>
    <cellStyle name="표준 3 6 4 2 5 3" xfId="41581"/>
    <cellStyle name="표준 3 6 4 2 6" xfId="41582"/>
    <cellStyle name="표준 3 6 4 2 7" xfId="41583"/>
    <cellStyle name="표준 3 6 4 3" xfId="41584"/>
    <cellStyle name="표준 3 6 4 3 2" xfId="41585"/>
    <cellStyle name="표준 3 6 4 3 2 2" xfId="41586"/>
    <cellStyle name="표준 3 6 4 3 2 2 2" xfId="41587"/>
    <cellStyle name="표준 3 6 4 3 2 2 2 2" xfId="41588"/>
    <cellStyle name="표준 3 6 4 3 2 2 2 3" xfId="41589"/>
    <cellStyle name="표준 3 6 4 3 2 2 3" xfId="41590"/>
    <cellStyle name="표준 3 6 4 3 2 2 4" xfId="41591"/>
    <cellStyle name="표준 3 6 4 3 2 3" xfId="41592"/>
    <cellStyle name="표준 3 6 4 3 2 3 2" xfId="41593"/>
    <cellStyle name="표준 3 6 4 3 2 3 3" xfId="41594"/>
    <cellStyle name="표준 3 6 4 3 2 4" xfId="41595"/>
    <cellStyle name="표준 3 6 4 3 2 5" xfId="41596"/>
    <cellStyle name="표준 3 6 4 3 3" xfId="41597"/>
    <cellStyle name="표준 3 6 4 3 3 2" xfId="41598"/>
    <cellStyle name="표준 3 6 4 3 3 2 2" xfId="41599"/>
    <cellStyle name="표준 3 6 4 3 3 2 2 2" xfId="41600"/>
    <cellStyle name="표준 3 6 4 3 3 2 2 3" xfId="41601"/>
    <cellStyle name="표준 3 6 4 3 3 2 3" xfId="41602"/>
    <cellStyle name="표준 3 6 4 3 3 2 4" xfId="41603"/>
    <cellStyle name="표준 3 6 4 3 3 3" xfId="41604"/>
    <cellStyle name="표준 3 6 4 3 3 3 2" xfId="41605"/>
    <cellStyle name="표준 3 6 4 3 3 3 3" xfId="41606"/>
    <cellStyle name="표준 3 6 4 3 3 4" xfId="41607"/>
    <cellStyle name="표준 3 6 4 3 3 5" xfId="41608"/>
    <cellStyle name="표준 3 6 4 3 4" xfId="41609"/>
    <cellStyle name="표준 3 6 4 3 4 2" xfId="41610"/>
    <cellStyle name="표준 3 6 4 3 4 2 2" xfId="41611"/>
    <cellStyle name="표준 3 6 4 3 4 2 3" xfId="41612"/>
    <cellStyle name="표준 3 6 4 3 4 3" xfId="41613"/>
    <cellStyle name="표준 3 6 4 3 4 4" xfId="41614"/>
    <cellStyle name="표준 3 6 4 3 5" xfId="41615"/>
    <cellStyle name="표준 3 6 4 3 5 2" xfId="41616"/>
    <cellStyle name="표준 3 6 4 3 5 3" xfId="41617"/>
    <cellStyle name="표준 3 6 4 3 6" xfId="41618"/>
    <cellStyle name="표준 3 6 4 3 7" xfId="41619"/>
    <cellStyle name="표준 3 6 4 4" xfId="41620"/>
    <cellStyle name="표준 3 6 4 4 2" xfId="41621"/>
    <cellStyle name="표준 3 6 4 4 2 2" xfId="41622"/>
    <cellStyle name="표준 3 6 4 4 2 2 2" xfId="41623"/>
    <cellStyle name="표준 3 6 4 4 2 2 3" xfId="41624"/>
    <cellStyle name="표준 3 6 4 4 2 3" xfId="41625"/>
    <cellStyle name="표준 3 6 4 4 2 4" xfId="41626"/>
    <cellStyle name="표준 3 6 4 4 3" xfId="41627"/>
    <cellStyle name="표준 3 6 4 4 3 2" xfId="41628"/>
    <cellStyle name="표준 3 6 4 4 3 3" xfId="41629"/>
    <cellStyle name="표준 3 6 4 4 4" xfId="41630"/>
    <cellStyle name="표준 3 6 4 4 5" xfId="41631"/>
    <cellStyle name="표준 3 6 4 5" xfId="41632"/>
    <cellStyle name="표준 3 6 4 5 2" xfId="41633"/>
    <cellStyle name="표준 3 6 4 5 2 2" xfId="41634"/>
    <cellStyle name="표준 3 6 4 5 2 2 2" xfId="41635"/>
    <cellStyle name="표준 3 6 4 5 2 2 3" xfId="41636"/>
    <cellStyle name="표준 3 6 4 5 2 3" xfId="41637"/>
    <cellStyle name="표준 3 6 4 5 2 4" xfId="41638"/>
    <cellStyle name="표준 3 6 4 5 3" xfId="41639"/>
    <cellStyle name="표준 3 6 4 5 3 2" xfId="41640"/>
    <cellStyle name="표준 3 6 4 5 3 3" xfId="41641"/>
    <cellStyle name="표준 3 6 4 5 4" xfId="41642"/>
    <cellStyle name="표준 3 6 4 5 5" xfId="41643"/>
    <cellStyle name="표준 3 6 4 6" xfId="41644"/>
    <cellStyle name="표준 3 6 4 6 2" xfId="41645"/>
    <cellStyle name="표준 3 6 4 6 2 2" xfId="41646"/>
    <cellStyle name="표준 3 6 4 6 2 2 2" xfId="41647"/>
    <cellStyle name="표준 3 6 4 6 2 2 3" xfId="41648"/>
    <cellStyle name="표준 3 6 4 6 2 3" xfId="41649"/>
    <cellStyle name="표준 3 6 4 6 2 4" xfId="41650"/>
    <cellStyle name="표준 3 6 4 6 3" xfId="41651"/>
    <cellStyle name="표준 3 6 4 6 3 2" xfId="41652"/>
    <cellStyle name="표준 3 6 4 6 3 3" xfId="41653"/>
    <cellStyle name="표준 3 6 4 6 4" xfId="41654"/>
    <cellStyle name="표준 3 6 4 6 5" xfId="41655"/>
    <cellStyle name="표준 3 6 4 7" xfId="41656"/>
    <cellStyle name="표준 3 6 4 7 2" xfId="41657"/>
    <cellStyle name="표준 3 6 4 7 2 2" xfId="41658"/>
    <cellStyle name="표준 3 6 4 7 2 3" xfId="41659"/>
    <cellStyle name="표준 3 6 4 7 3" xfId="41660"/>
    <cellStyle name="표준 3 6 4 7 4" xfId="41661"/>
    <cellStyle name="표준 3 6 4 8" xfId="41662"/>
    <cellStyle name="표준 3 6 4 8 2" xfId="41663"/>
    <cellStyle name="표준 3 6 4 8 3" xfId="41664"/>
    <cellStyle name="표준 3 6 4 9" xfId="41665"/>
    <cellStyle name="표준 3 6 5" xfId="41666"/>
    <cellStyle name="표준 3 6 5 2" xfId="41667"/>
    <cellStyle name="표준 3 6 5 2 2" xfId="41668"/>
    <cellStyle name="표준 3 6 5 2 2 2" xfId="41669"/>
    <cellStyle name="표준 3 6 5 2 2 2 2" xfId="41670"/>
    <cellStyle name="표준 3 6 5 2 2 2 3" xfId="41671"/>
    <cellStyle name="표준 3 6 5 2 2 3" xfId="41672"/>
    <cellStyle name="표준 3 6 5 2 2 4" xfId="41673"/>
    <cellStyle name="표준 3 6 5 2 3" xfId="41674"/>
    <cellStyle name="표준 3 6 5 2 3 2" xfId="41675"/>
    <cellStyle name="표준 3 6 5 2 3 3" xfId="41676"/>
    <cellStyle name="표준 3 6 5 2 4" xfId="41677"/>
    <cellStyle name="표준 3 6 5 2 5" xfId="41678"/>
    <cellStyle name="표준 3 6 5 3" xfId="41679"/>
    <cellStyle name="표준 3 6 5 3 2" xfId="41680"/>
    <cellStyle name="표준 3 6 5 3 2 2" xfId="41681"/>
    <cellStyle name="표준 3 6 5 3 2 2 2" xfId="41682"/>
    <cellStyle name="표준 3 6 5 3 2 2 3" xfId="41683"/>
    <cellStyle name="표준 3 6 5 3 2 3" xfId="41684"/>
    <cellStyle name="표준 3 6 5 3 2 4" xfId="41685"/>
    <cellStyle name="표준 3 6 5 3 3" xfId="41686"/>
    <cellStyle name="표준 3 6 5 3 3 2" xfId="41687"/>
    <cellStyle name="표준 3 6 5 3 3 3" xfId="41688"/>
    <cellStyle name="표준 3 6 5 3 4" xfId="41689"/>
    <cellStyle name="표준 3 6 5 3 5" xfId="41690"/>
    <cellStyle name="표준 3 6 5 4" xfId="41691"/>
    <cellStyle name="표준 3 6 5 4 2" xfId="41692"/>
    <cellStyle name="표준 3 6 5 4 2 2" xfId="41693"/>
    <cellStyle name="표준 3 6 5 4 2 3" xfId="41694"/>
    <cellStyle name="표준 3 6 5 4 3" xfId="41695"/>
    <cellStyle name="표준 3 6 5 4 4" xfId="41696"/>
    <cellStyle name="표준 3 6 5 5" xfId="41697"/>
    <cellStyle name="표준 3 6 5 5 2" xfId="41698"/>
    <cellStyle name="표준 3 6 5 5 3" xfId="41699"/>
    <cellStyle name="표준 3 6 5 6" xfId="41700"/>
    <cellStyle name="표준 3 6 5 7" xfId="41701"/>
    <cellStyle name="표준 3 6 6" xfId="41702"/>
    <cellStyle name="표준 3 6 6 2" xfId="41703"/>
    <cellStyle name="표준 3 6 6 2 2" xfId="41704"/>
    <cellStyle name="표준 3 6 6 2 2 2" xfId="41705"/>
    <cellStyle name="표준 3 6 6 2 2 2 2" xfId="41706"/>
    <cellStyle name="표준 3 6 6 2 2 2 3" xfId="41707"/>
    <cellStyle name="표준 3 6 6 2 2 3" xfId="41708"/>
    <cellStyle name="표준 3 6 6 2 2 4" xfId="41709"/>
    <cellStyle name="표준 3 6 6 2 3" xfId="41710"/>
    <cellStyle name="표준 3 6 6 2 3 2" xfId="41711"/>
    <cellStyle name="표준 3 6 6 2 3 3" xfId="41712"/>
    <cellStyle name="표준 3 6 6 2 4" xfId="41713"/>
    <cellStyle name="표준 3 6 6 2 5" xfId="41714"/>
    <cellStyle name="표준 3 6 6 3" xfId="41715"/>
    <cellStyle name="표준 3 6 6 3 2" xfId="41716"/>
    <cellStyle name="표준 3 6 6 3 2 2" xfId="41717"/>
    <cellStyle name="표준 3 6 6 3 2 2 2" xfId="41718"/>
    <cellStyle name="표준 3 6 6 3 2 2 3" xfId="41719"/>
    <cellStyle name="표준 3 6 6 3 2 3" xfId="41720"/>
    <cellStyle name="표준 3 6 6 3 2 4" xfId="41721"/>
    <cellStyle name="표준 3 6 6 3 3" xfId="41722"/>
    <cellStyle name="표준 3 6 6 3 3 2" xfId="41723"/>
    <cellStyle name="표준 3 6 6 3 3 3" xfId="41724"/>
    <cellStyle name="표준 3 6 6 3 4" xfId="41725"/>
    <cellStyle name="표준 3 6 6 3 5" xfId="41726"/>
    <cellStyle name="표준 3 6 6 4" xfId="41727"/>
    <cellStyle name="표준 3 6 6 4 2" xfId="41728"/>
    <cellStyle name="표준 3 6 6 4 2 2" xfId="41729"/>
    <cellStyle name="표준 3 6 6 4 2 3" xfId="41730"/>
    <cellStyle name="표준 3 6 6 4 3" xfId="41731"/>
    <cellStyle name="표준 3 6 6 4 4" xfId="41732"/>
    <cellStyle name="표준 3 6 6 5" xfId="41733"/>
    <cellStyle name="표준 3 6 6 5 2" xfId="41734"/>
    <cellStyle name="표준 3 6 6 5 3" xfId="41735"/>
    <cellStyle name="표준 3 6 6 6" xfId="41736"/>
    <cellStyle name="표준 3 6 6 7" xfId="41737"/>
    <cellStyle name="표준 3 6 7" xfId="41738"/>
    <cellStyle name="표준 3 6 7 2" xfId="41739"/>
    <cellStyle name="표준 3 6 7 2 2" xfId="41740"/>
    <cellStyle name="표준 3 6 7 2 2 2" xfId="41741"/>
    <cellStyle name="표준 3 6 7 2 2 3" xfId="41742"/>
    <cellStyle name="표준 3 6 7 2 3" xfId="41743"/>
    <cellStyle name="표준 3 6 7 2 4" xfId="41744"/>
    <cellStyle name="표준 3 6 7 3" xfId="41745"/>
    <cellStyle name="표준 3 6 7 3 2" xfId="41746"/>
    <cellStyle name="표준 3 6 7 3 3" xfId="41747"/>
    <cellStyle name="표준 3 6 7 4" xfId="41748"/>
    <cellStyle name="표준 3 6 7 5" xfId="41749"/>
    <cellStyle name="표준 3 6 8" xfId="41750"/>
    <cellStyle name="표준 3 6 8 2" xfId="41751"/>
    <cellStyle name="표준 3 6 8 2 2" xfId="41752"/>
    <cellStyle name="표준 3 6 8 2 2 2" xfId="41753"/>
    <cellStyle name="표준 3 6 8 2 2 3" xfId="41754"/>
    <cellStyle name="표준 3 6 8 2 3" xfId="41755"/>
    <cellStyle name="표준 3 6 8 2 4" xfId="41756"/>
    <cellStyle name="표준 3 6 8 3" xfId="41757"/>
    <cellStyle name="표준 3 6 8 3 2" xfId="41758"/>
    <cellStyle name="표준 3 6 8 3 3" xfId="41759"/>
    <cellStyle name="표준 3 6 8 4" xfId="41760"/>
    <cellStyle name="표준 3 6 8 5" xfId="41761"/>
    <cellStyle name="표준 3 6 9" xfId="41762"/>
    <cellStyle name="표준 3 6 9 2" xfId="41763"/>
    <cellStyle name="표준 3 6 9 2 2" xfId="41764"/>
    <cellStyle name="표준 3 6 9 2 2 2" xfId="41765"/>
    <cellStyle name="표준 3 6 9 2 2 3" xfId="41766"/>
    <cellStyle name="표준 3 6 9 2 3" xfId="41767"/>
    <cellStyle name="표준 3 6 9 2 4" xfId="41768"/>
    <cellStyle name="표준 3 6 9 3" xfId="41769"/>
    <cellStyle name="표준 3 6 9 3 2" xfId="41770"/>
    <cellStyle name="표준 3 6 9 3 3" xfId="41771"/>
    <cellStyle name="표준 3 6 9 4" xfId="41772"/>
    <cellStyle name="표준 3 6 9 5" xfId="41773"/>
    <cellStyle name="표준 3 7" xfId="41774"/>
    <cellStyle name="표준 3 7 10" xfId="41775"/>
    <cellStyle name="표준 3 7 11" xfId="41776"/>
    <cellStyle name="표준 3 7 2" xfId="41777"/>
    <cellStyle name="표준 3 7 2 2" xfId="41778"/>
    <cellStyle name="표준 3 7 2 2 2" xfId="41779"/>
    <cellStyle name="표준 3 7 2 2 2 2" xfId="41780"/>
    <cellStyle name="표준 3 7 2 2 2 2 2" xfId="41781"/>
    <cellStyle name="표준 3 7 2 2 2 2 3" xfId="41782"/>
    <cellStyle name="표준 3 7 2 2 2 3" xfId="41783"/>
    <cellStyle name="표준 3 7 2 2 2 4" xfId="41784"/>
    <cellStyle name="표준 3 7 2 2 3" xfId="41785"/>
    <cellStyle name="표준 3 7 2 2 3 2" xfId="41786"/>
    <cellStyle name="표준 3 7 2 2 3 3" xfId="41787"/>
    <cellStyle name="표준 3 7 2 2 4" xfId="41788"/>
    <cellStyle name="표준 3 7 2 2 5" xfId="41789"/>
    <cellStyle name="표준 3 7 2 3" xfId="41790"/>
    <cellStyle name="표준 3 7 2 3 2" xfId="41791"/>
    <cellStyle name="표준 3 7 2 3 2 2" xfId="41792"/>
    <cellStyle name="표준 3 7 2 3 2 2 2" xfId="41793"/>
    <cellStyle name="표준 3 7 2 3 2 2 3" xfId="41794"/>
    <cellStyle name="표준 3 7 2 3 2 3" xfId="41795"/>
    <cellStyle name="표준 3 7 2 3 2 4" xfId="41796"/>
    <cellStyle name="표준 3 7 2 3 3" xfId="41797"/>
    <cellStyle name="표준 3 7 2 3 3 2" xfId="41798"/>
    <cellStyle name="표준 3 7 2 3 3 3" xfId="41799"/>
    <cellStyle name="표준 3 7 2 3 4" xfId="41800"/>
    <cellStyle name="표준 3 7 2 3 5" xfId="41801"/>
    <cellStyle name="표준 3 7 2 4" xfId="41802"/>
    <cellStyle name="표준 3 7 2 4 2" xfId="41803"/>
    <cellStyle name="표준 3 7 2 4 2 2" xfId="41804"/>
    <cellStyle name="표준 3 7 2 4 2 3" xfId="41805"/>
    <cellStyle name="표준 3 7 2 4 3" xfId="41806"/>
    <cellStyle name="표준 3 7 2 4 4" xfId="41807"/>
    <cellStyle name="표준 3 7 2 5" xfId="41808"/>
    <cellStyle name="표준 3 7 2 5 2" xfId="41809"/>
    <cellStyle name="표준 3 7 2 5 3" xfId="41810"/>
    <cellStyle name="표준 3 7 2 6" xfId="41811"/>
    <cellStyle name="표준 3 7 2 7" xfId="41812"/>
    <cellStyle name="표준 3 7 3" xfId="41813"/>
    <cellStyle name="표준 3 7 3 2" xfId="41814"/>
    <cellStyle name="표준 3 7 3 2 2" xfId="41815"/>
    <cellStyle name="표준 3 7 3 2 2 2" xfId="41816"/>
    <cellStyle name="표준 3 7 3 2 2 2 2" xfId="41817"/>
    <cellStyle name="표준 3 7 3 2 2 2 3" xfId="41818"/>
    <cellStyle name="표준 3 7 3 2 2 3" xfId="41819"/>
    <cellStyle name="표준 3 7 3 2 2 4" xfId="41820"/>
    <cellStyle name="표준 3 7 3 2 3" xfId="41821"/>
    <cellStyle name="표준 3 7 3 2 3 2" xfId="41822"/>
    <cellStyle name="표준 3 7 3 2 3 3" xfId="41823"/>
    <cellStyle name="표준 3 7 3 2 4" xfId="41824"/>
    <cellStyle name="표준 3 7 3 2 5" xfId="41825"/>
    <cellStyle name="표준 3 7 3 3" xfId="41826"/>
    <cellStyle name="표준 3 7 3 3 2" xfId="41827"/>
    <cellStyle name="표준 3 7 3 3 2 2" xfId="41828"/>
    <cellStyle name="표준 3 7 3 3 2 2 2" xfId="41829"/>
    <cellStyle name="표준 3 7 3 3 2 2 3" xfId="41830"/>
    <cellStyle name="표준 3 7 3 3 2 3" xfId="41831"/>
    <cellStyle name="표준 3 7 3 3 2 4" xfId="41832"/>
    <cellStyle name="표준 3 7 3 3 3" xfId="41833"/>
    <cellStyle name="표준 3 7 3 3 3 2" xfId="41834"/>
    <cellStyle name="표준 3 7 3 3 3 3" xfId="41835"/>
    <cellStyle name="표준 3 7 3 3 4" xfId="41836"/>
    <cellStyle name="표준 3 7 3 3 5" xfId="41837"/>
    <cellStyle name="표준 3 7 3 4" xfId="41838"/>
    <cellStyle name="표준 3 7 3 4 2" xfId="41839"/>
    <cellStyle name="표준 3 7 3 4 2 2" xfId="41840"/>
    <cellStyle name="표준 3 7 3 4 2 3" xfId="41841"/>
    <cellStyle name="표준 3 7 3 4 3" xfId="41842"/>
    <cellStyle name="표준 3 7 3 4 4" xfId="41843"/>
    <cellStyle name="표준 3 7 3 5" xfId="41844"/>
    <cellStyle name="표준 3 7 3 5 2" xfId="41845"/>
    <cellStyle name="표준 3 7 3 5 3" xfId="41846"/>
    <cellStyle name="표준 3 7 3 6" xfId="41847"/>
    <cellStyle name="표준 3 7 3 7" xfId="41848"/>
    <cellStyle name="표준 3 7 4" xfId="41849"/>
    <cellStyle name="표준 3 7 4 2" xfId="41850"/>
    <cellStyle name="표준 3 7 4 2 2" xfId="41851"/>
    <cellStyle name="표준 3 7 4 2 2 2" xfId="41852"/>
    <cellStyle name="표준 3 7 4 2 2 3" xfId="41853"/>
    <cellStyle name="표준 3 7 4 2 3" xfId="41854"/>
    <cellStyle name="표준 3 7 4 2 4" xfId="41855"/>
    <cellStyle name="표준 3 7 4 3" xfId="41856"/>
    <cellStyle name="표준 3 7 4 3 2" xfId="41857"/>
    <cellStyle name="표준 3 7 4 3 3" xfId="41858"/>
    <cellStyle name="표준 3 7 4 4" xfId="41859"/>
    <cellStyle name="표준 3 7 4 5" xfId="41860"/>
    <cellStyle name="표준 3 7 5" xfId="41861"/>
    <cellStyle name="표준 3 7 5 2" xfId="41862"/>
    <cellStyle name="표준 3 7 5 2 2" xfId="41863"/>
    <cellStyle name="표준 3 7 5 2 2 2" xfId="41864"/>
    <cellStyle name="표준 3 7 5 2 2 3" xfId="41865"/>
    <cellStyle name="표준 3 7 5 2 3" xfId="41866"/>
    <cellStyle name="표준 3 7 5 2 4" xfId="41867"/>
    <cellStyle name="표준 3 7 5 3" xfId="41868"/>
    <cellStyle name="표준 3 7 5 3 2" xfId="41869"/>
    <cellStyle name="표준 3 7 5 3 3" xfId="41870"/>
    <cellStyle name="표준 3 7 5 4" xfId="41871"/>
    <cellStyle name="표준 3 7 5 5" xfId="41872"/>
    <cellStyle name="표준 3 7 6" xfId="41873"/>
    <cellStyle name="표준 3 7 6 2" xfId="41874"/>
    <cellStyle name="표준 3 7 6 2 2" xfId="41875"/>
    <cellStyle name="표준 3 7 6 2 2 2" xfId="41876"/>
    <cellStyle name="표준 3 7 6 2 2 3" xfId="41877"/>
    <cellStyle name="표준 3 7 6 2 3" xfId="41878"/>
    <cellStyle name="표준 3 7 6 2 4" xfId="41879"/>
    <cellStyle name="표준 3 7 6 3" xfId="41880"/>
    <cellStyle name="표준 3 7 6 3 2" xfId="41881"/>
    <cellStyle name="표준 3 7 6 3 3" xfId="41882"/>
    <cellStyle name="표준 3 7 6 4" xfId="41883"/>
    <cellStyle name="표준 3 7 6 5" xfId="41884"/>
    <cellStyle name="표준 3 7 7" xfId="41885"/>
    <cellStyle name="표준 3 7 7 2" xfId="41886"/>
    <cellStyle name="표준 3 7 7 2 2" xfId="41887"/>
    <cellStyle name="표준 3 7 7 2 3" xfId="41888"/>
    <cellStyle name="표준 3 7 7 3" xfId="41889"/>
    <cellStyle name="표준 3 7 7 4" xfId="41890"/>
    <cellStyle name="표준 3 7 8" xfId="41891"/>
    <cellStyle name="표준 3 7 8 2" xfId="41892"/>
    <cellStyle name="표준 3 7 8 3" xfId="41893"/>
    <cellStyle name="표준 3 7 9" xfId="41894"/>
    <cellStyle name="표준 3 8" xfId="41895"/>
    <cellStyle name="표준 3 8 10" xfId="41896"/>
    <cellStyle name="표준 3 8 11" xfId="41897"/>
    <cellStyle name="표준 3 8 2" xfId="41898"/>
    <cellStyle name="표준 3 8 2 2" xfId="41899"/>
    <cellStyle name="표준 3 8 2 2 2" xfId="41900"/>
    <cellStyle name="표준 3 8 2 2 2 2" xfId="41901"/>
    <cellStyle name="표준 3 8 2 2 2 2 2" xfId="41902"/>
    <cellStyle name="표준 3 8 2 2 2 2 3" xfId="41903"/>
    <cellStyle name="표준 3 8 2 2 2 3" xfId="41904"/>
    <cellStyle name="표준 3 8 2 2 2 4" xfId="41905"/>
    <cellStyle name="표준 3 8 2 2 3" xfId="41906"/>
    <cellStyle name="표준 3 8 2 2 3 2" xfId="41907"/>
    <cellStyle name="표준 3 8 2 2 3 3" xfId="41908"/>
    <cellStyle name="표준 3 8 2 2 4" xfId="41909"/>
    <cellStyle name="표준 3 8 2 2 5" xfId="41910"/>
    <cellStyle name="표준 3 8 2 3" xfId="41911"/>
    <cellStyle name="표준 3 8 2 3 2" xfId="41912"/>
    <cellStyle name="표준 3 8 2 3 2 2" xfId="41913"/>
    <cellStyle name="표준 3 8 2 3 2 2 2" xfId="41914"/>
    <cellStyle name="표준 3 8 2 3 2 2 3" xfId="41915"/>
    <cellStyle name="표준 3 8 2 3 2 3" xfId="41916"/>
    <cellStyle name="표준 3 8 2 3 2 4" xfId="41917"/>
    <cellStyle name="표준 3 8 2 3 3" xfId="41918"/>
    <cellStyle name="표준 3 8 2 3 3 2" xfId="41919"/>
    <cellStyle name="표준 3 8 2 3 3 3" xfId="41920"/>
    <cellStyle name="표준 3 8 2 3 4" xfId="41921"/>
    <cellStyle name="표준 3 8 2 3 5" xfId="41922"/>
    <cellStyle name="표준 3 8 2 4" xfId="41923"/>
    <cellStyle name="표준 3 8 2 4 2" xfId="41924"/>
    <cellStyle name="표준 3 8 2 4 2 2" xfId="41925"/>
    <cellStyle name="표준 3 8 2 4 2 3" xfId="41926"/>
    <cellStyle name="표준 3 8 2 4 3" xfId="41927"/>
    <cellStyle name="표준 3 8 2 4 4" xfId="41928"/>
    <cellStyle name="표준 3 8 2 5" xfId="41929"/>
    <cellStyle name="표준 3 8 2 5 2" xfId="41930"/>
    <cellStyle name="표준 3 8 2 5 3" xfId="41931"/>
    <cellStyle name="표준 3 8 2 6" xfId="41932"/>
    <cellStyle name="표준 3 8 2 7" xfId="41933"/>
    <cellStyle name="표준 3 8 3" xfId="41934"/>
    <cellStyle name="표준 3 8 3 2" xfId="41935"/>
    <cellStyle name="표준 3 8 3 2 2" xfId="41936"/>
    <cellStyle name="표준 3 8 3 2 2 2" xfId="41937"/>
    <cellStyle name="표준 3 8 3 2 2 2 2" xfId="41938"/>
    <cellStyle name="표준 3 8 3 2 2 2 3" xfId="41939"/>
    <cellStyle name="표준 3 8 3 2 2 3" xfId="41940"/>
    <cellStyle name="표준 3 8 3 2 2 4" xfId="41941"/>
    <cellStyle name="표준 3 8 3 2 3" xfId="41942"/>
    <cellStyle name="표준 3 8 3 2 3 2" xfId="41943"/>
    <cellStyle name="표준 3 8 3 2 3 3" xfId="41944"/>
    <cellStyle name="표준 3 8 3 2 4" xfId="41945"/>
    <cellStyle name="표준 3 8 3 2 5" xfId="41946"/>
    <cellStyle name="표준 3 8 3 3" xfId="41947"/>
    <cellStyle name="표준 3 8 3 3 2" xfId="41948"/>
    <cellStyle name="표준 3 8 3 3 2 2" xfId="41949"/>
    <cellStyle name="표준 3 8 3 3 2 2 2" xfId="41950"/>
    <cellStyle name="표준 3 8 3 3 2 2 3" xfId="41951"/>
    <cellStyle name="표준 3 8 3 3 2 3" xfId="41952"/>
    <cellStyle name="표준 3 8 3 3 2 4" xfId="41953"/>
    <cellStyle name="표준 3 8 3 3 3" xfId="41954"/>
    <cellStyle name="표준 3 8 3 3 3 2" xfId="41955"/>
    <cellStyle name="표준 3 8 3 3 3 3" xfId="41956"/>
    <cellStyle name="표준 3 8 3 3 4" xfId="41957"/>
    <cellStyle name="표준 3 8 3 3 5" xfId="41958"/>
    <cellStyle name="표준 3 8 3 4" xfId="41959"/>
    <cellStyle name="표준 3 8 3 4 2" xfId="41960"/>
    <cellStyle name="표준 3 8 3 4 2 2" xfId="41961"/>
    <cellStyle name="표준 3 8 3 4 2 3" xfId="41962"/>
    <cellStyle name="표준 3 8 3 4 3" xfId="41963"/>
    <cellStyle name="표준 3 8 3 4 4" xfId="41964"/>
    <cellStyle name="표준 3 8 3 5" xfId="41965"/>
    <cellStyle name="표준 3 8 3 5 2" xfId="41966"/>
    <cellStyle name="표준 3 8 3 5 3" xfId="41967"/>
    <cellStyle name="표준 3 8 3 6" xfId="41968"/>
    <cellStyle name="표준 3 8 3 7" xfId="41969"/>
    <cellStyle name="표준 3 8 4" xfId="41970"/>
    <cellStyle name="표준 3 8 4 2" xfId="41971"/>
    <cellStyle name="표준 3 8 4 2 2" xfId="41972"/>
    <cellStyle name="표준 3 8 4 2 2 2" xfId="41973"/>
    <cellStyle name="표준 3 8 4 2 2 3" xfId="41974"/>
    <cellStyle name="표준 3 8 4 2 3" xfId="41975"/>
    <cellStyle name="표준 3 8 4 2 4" xfId="41976"/>
    <cellStyle name="표준 3 8 4 3" xfId="41977"/>
    <cellStyle name="표준 3 8 4 3 2" xfId="41978"/>
    <cellStyle name="표준 3 8 4 3 3" xfId="41979"/>
    <cellStyle name="표준 3 8 4 4" xfId="41980"/>
    <cellStyle name="표준 3 8 4 5" xfId="41981"/>
    <cellStyle name="표준 3 8 5" xfId="41982"/>
    <cellStyle name="표준 3 8 5 2" xfId="41983"/>
    <cellStyle name="표준 3 8 5 2 2" xfId="41984"/>
    <cellStyle name="표준 3 8 5 2 2 2" xfId="41985"/>
    <cellStyle name="표준 3 8 5 2 2 3" xfId="41986"/>
    <cellStyle name="표준 3 8 5 2 3" xfId="41987"/>
    <cellStyle name="표준 3 8 5 2 4" xfId="41988"/>
    <cellStyle name="표준 3 8 5 3" xfId="41989"/>
    <cellStyle name="표준 3 8 5 3 2" xfId="41990"/>
    <cellStyle name="표준 3 8 5 3 3" xfId="41991"/>
    <cellStyle name="표준 3 8 5 4" xfId="41992"/>
    <cellStyle name="표준 3 8 5 5" xfId="41993"/>
    <cellStyle name="표준 3 8 6" xfId="41994"/>
    <cellStyle name="표준 3 8 6 2" xfId="41995"/>
    <cellStyle name="표준 3 8 6 2 2" xfId="41996"/>
    <cellStyle name="표준 3 8 6 2 2 2" xfId="41997"/>
    <cellStyle name="표준 3 8 6 2 2 3" xfId="41998"/>
    <cellStyle name="표준 3 8 6 2 3" xfId="41999"/>
    <cellStyle name="표준 3 8 6 2 4" xfId="42000"/>
    <cellStyle name="표준 3 8 6 3" xfId="42001"/>
    <cellStyle name="표준 3 8 6 3 2" xfId="42002"/>
    <cellStyle name="표준 3 8 6 3 3" xfId="42003"/>
    <cellStyle name="표준 3 8 6 4" xfId="42004"/>
    <cellStyle name="표준 3 8 6 5" xfId="42005"/>
    <cellStyle name="표준 3 8 7" xfId="42006"/>
    <cellStyle name="표준 3 8 7 2" xfId="42007"/>
    <cellStyle name="표준 3 8 7 2 2" xfId="42008"/>
    <cellStyle name="표준 3 8 7 2 3" xfId="42009"/>
    <cellStyle name="표준 3 8 7 3" xfId="42010"/>
    <cellStyle name="표준 3 8 7 4" xfId="42011"/>
    <cellStyle name="표준 3 8 8" xfId="42012"/>
    <cellStyle name="표준 3 8 8 2" xfId="42013"/>
    <cellStyle name="표준 3 8 8 3" xfId="42014"/>
    <cellStyle name="표준 3 8 9" xfId="42015"/>
    <cellStyle name="표준 3 9" xfId="42016"/>
    <cellStyle name="표준 3 9 10" xfId="42017"/>
    <cellStyle name="표준 3 9 11" xfId="42018"/>
    <cellStyle name="표준 3 9 2" xfId="42019"/>
    <cellStyle name="표준 3 9 2 2" xfId="42020"/>
    <cellStyle name="표준 3 9 2 2 2" xfId="42021"/>
    <cellStyle name="표준 3 9 2 2 2 2" xfId="42022"/>
    <cellStyle name="표준 3 9 2 2 2 2 2" xfId="42023"/>
    <cellStyle name="표준 3 9 2 2 2 2 3" xfId="42024"/>
    <cellStyle name="표준 3 9 2 2 2 3" xfId="42025"/>
    <cellStyle name="표준 3 9 2 2 2 4" xfId="42026"/>
    <cellStyle name="표준 3 9 2 2 3" xfId="42027"/>
    <cellStyle name="표준 3 9 2 2 3 2" xfId="42028"/>
    <cellStyle name="표준 3 9 2 2 3 3" xfId="42029"/>
    <cellStyle name="표준 3 9 2 2 4" xfId="42030"/>
    <cellStyle name="표준 3 9 2 2 5" xfId="42031"/>
    <cellStyle name="표준 3 9 2 3" xfId="42032"/>
    <cellStyle name="표준 3 9 2 3 2" xfId="42033"/>
    <cellStyle name="표준 3 9 2 3 2 2" xfId="42034"/>
    <cellStyle name="표준 3 9 2 3 2 2 2" xfId="42035"/>
    <cellStyle name="표준 3 9 2 3 2 2 3" xfId="42036"/>
    <cellStyle name="표준 3 9 2 3 2 3" xfId="42037"/>
    <cellStyle name="표준 3 9 2 3 2 4" xfId="42038"/>
    <cellStyle name="표준 3 9 2 3 3" xfId="42039"/>
    <cellStyle name="표준 3 9 2 3 3 2" xfId="42040"/>
    <cellStyle name="표준 3 9 2 3 3 3" xfId="42041"/>
    <cellStyle name="표준 3 9 2 3 4" xfId="42042"/>
    <cellStyle name="표준 3 9 2 3 5" xfId="42043"/>
    <cellStyle name="표준 3 9 2 4" xfId="42044"/>
    <cellStyle name="표준 3 9 2 4 2" xfId="42045"/>
    <cellStyle name="표준 3 9 2 4 2 2" xfId="42046"/>
    <cellStyle name="표준 3 9 2 4 2 3" xfId="42047"/>
    <cellStyle name="표준 3 9 2 4 3" xfId="42048"/>
    <cellStyle name="표준 3 9 2 4 4" xfId="42049"/>
    <cellStyle name="표준 3 9 2 5" xfId="42050"/>
    <cellStyle name="표준 3 9 2 5 2" xfId="42051"/>
    <cellStyle name="표준 3 9 2 5 3" xfId="42052"/>
    <cellStyle name="표준 3 9 2 6" xfId="42053"/>
    <cellStyle name="표준 3 9 2 7" xfId="42054"/>
    <cellStyle name="표준 3 9 3" xfId="42055"/>
    <cellStyle name="표준 3 9 3 2" xfId="42056"/>
    <cellStyle name="표준 3 9 3 2 2" xfId="42057"/>
    <cellStyle name="표준 3 9 3 2 2 2" xfId="42058"/>
    <cellStyle name="표준 3 9 3 2 2 2 2" xfId="42059"/>
    <cellStyle name="표준 3 9 3 2 2 2 3" xfId="42060"/>
    <cellStyle name="표준 3 9 3 2 2 3" xfId="42061"/>
    <cellStyle name="표준 3 9 3 2 2 4" xfId="42062"/>
    <cellStyle name="표준 3 9 3 2 3" xfId="42063"/>
    <cellStyle name="표준 3 9 3 2 3 2" xfId="42064"/>
    <cellStyle name="표준 3 9 3 2 3 3" xfId="42065"/>
    <cellStyle name="표준 3 9 3 2 4" xfId="42066"/>
    <cellStyle name="표준 3 9 3 2 5" xfId="42067"/>
    <cellStyle name="표준 3 9 3 3" xfId="42068"/>
    <cellStyle name="표준 3 9 3 3 2" xfId="42069"/>
    <cellStyle name="표준 3 9 3 3 2 2" xfId="42070"/>
    <cellStyle name="표준 3 9 3 3 2 2 2" xfId="42071"/>
    <cellStyle name="표준 3 9 3 3 2 2 3" xfId="42072"/>
    <cellStyle name="표준 3 9 3 3 2 3" xfId="42073"/>
    <cellStyle name="표준 3 9 3 3 2 4" xfId="42074"/>
    <cellStyle name="표준 3 9 3 3 3" xfId="42075"/>
    <cellStyle name="표준 3 9 3 3 3 2" xfId="42076"/>
    <cellStyle name="표준 3 9 3 3 3 3" xfId="42077"/>
    <cellStyle name="표준 3 9 3 3 4" xfId="42078"/>
    <cellStyle name="표준 3 9 3 3 5" xfId="42079"/>
    <cellStyle name="표준 3 9 3 4" xfId="42080"/>
    <cellStyle name="표준 3 9 3 4 2" xfId="42081"/>
    <cellStyle name="표준 3 9 3 4 2 2" xfId="42082"/>
    <cellStyle name="표준 3 9 3 4 2 3" xfId="42083"/>
    <cellStyle name="표준 3 9 3 4 3" xfId="42084"/>
    <cellStyle name="표준 3 9 3 4 4" xfId="42085"/>
    <cellStyle name="표준 3 9 3 5" xfId="42086"/>
    <cellStyle name="표준 3 9 3 5 2" xfId="42087"/>
    <cellStyle name="표준 3 9 3 5 3" xfId="42088"/>
    <cellStyle name="표준 3 9 3 6" xfId="42089"/>
    <cellStyle name="표준 3 9 3 7" xfId="42090"/>
    <cellStyle name="표준 3 9 4" xfId="42091"/>
    <cellStyle name="표준 3 9 4 2" xfId="42092"/>
    <cellStyle name="표준 3 9 4 2 2" xfId="42093"/>
    <cellStyle name="표준 3 9 4 2 2 2" xfId="42094"/>
    <cellStyle name="표준 3 9 4 2 2 3" xfId="42095"/>
    <cellStyle name="표준 3 9 4 2 3" xfId="42096"/>
    <cellStyle name="표준 3 9 4 2 4" xfId="42097"/>
    <cellStyle name="표준 3 9 4 3" xfId="42098"/>
    <cellStyle name="표준 3 9 4 3 2" xfId="42099"/>
    <cellStyle name="표준 3 9 4 3 3" xfId="42100"/>
    <cellStyle name="표준 3 9 4 4" xfId="42101"/>
    <cellStyle name="표준 3 9 4 5" xfId="42102"/>
    <cellStyle name="표준 3 9 5" xfId="42103"/>
    <cellStyle name="표준 3 9 5 2" xfId="42104"/>
    <cellStyle name="표준 3 9 5 2 2" xfId="42105"/>
    <cellStyle name="표준 3 9 5 2 2 2" xfId="42106"/>
    <cellStyle name="표준 3 9 5 2 2 3" xfId="42107"/>
    <cellStyle name="표준 3 9 5 2 3" xfId="42108"/>
    <cellStyle name="표준 3 9 5 2 4" xfId="42109"/>
    <cellStyle name="표준 3 9 5 3" xfId="42110"/>
    <cellStyle name="표준 3 9 5 3 2" xfId="42111"/>
    <cellStyle name="표준 3 9 5 3 3" xfId="42112"/>
    <cellStyle name="표준 3 9 5 4" xfId="42113"/>
    <cellStyle name="표준 3 9 5 5" xfId="42114"/>
    <cellStyle name="표준 3 9 6" xfId="42115"/>
    <cellStyle name="표준 3 9 6 2" xfId="42116"/>
    <cellStyle name="표준 3 9 6 2 2" xfId="42117"/>
    <cellStyle name="표준 3 9 6 2 2 2" xfId="42118"/>
    <cellStyle name="표준 3 9 6 2 2 3" xfId="42119"/>
    <cellStyle name="표준 3 9 6 2 3" xfId="42120"/>
    <cellStyle name="표준 3 9 6 2 4" xfId="42121"/>
    <cellStyle name="표준 3 9 6 3" xfId="42122"/>
    <cellStyle name="표준 3 9 6 3 2" xfId="42123"/>
    <cellStyle name="표준 3 9 6 3 3" xfId="42124"/>
    <cellStyle name="표준 3 9 6 4" xfId="42125"/>
    <cellStyle name="표준 3 9 6 5" xfId="42126"/>
    <cellStyle name="표준 3 9 7" xfId="42127"/>
    <cellStyle name="표준 3 9 7 2" xfId="42128"/>
    <cellStyle name="표준 3 9 7 2 2" xfId="42129"/>
    <cellStyle name="표준 3 9 7 2 3" xfId="42130"/>
    <cellStyle name="표준 3 9 7 3" xfId="42131"/>
    <cellStyle name="표준 3 9 7 4" xfId="42132"/>
    <cellStyle name="표준 3 9 8" xfId="42133"/>
    <cellStyle name="표준 3 9 8 2" xfId="42134"/>
    <cellStyle name="표준 3 9 8 3" xfId="42135"/>
    <cellStyle name="표준 3 9 9" xfId="42136"/>
    <cellStyle name="표준 3_Sheet3" xfId="42137"/>
    <cellStyle name="표준 30" xfId="42138"/>
    <cellStyle name="표준 30 2" xfId="42139"/>
    <cellStyle name="표준 31" xfId="42140"/>
    <cellStyle name="표준 31 2" xfId="42141"/>
    <cellStyle name="표준 32" xfId="42142"/>
    <cellStyle name="표준 32 2" xfId="42143"/>
    <cellStyle name="표준 32 2 2" xfId="42144"/>
    <cellStyle name="표준 32 2 3" xfId="42145"/>
    <cellStyle name="표준 32 2 3 2" xfId="42146"/>
    <cellStyle name="표준 32 2 3 2 2" xfId="42147"/>
    <cellStyle name="표준 32 2 3 2 3" xfId="42148"/>
    <cellStyle name="표준 32 2 3 3" xfId="42149"/>
    <cellStyle name="표준 32 2 3 4" xfId="42150"/>
    <cellStyle name="표준 32 2 3 5" xfId="42151"/>
    <cellStyle name="표준 32 3" xfId="42152"/>
    <cellStyle name="표준 32 3 2" xfId="42153"/>
    <cellStyle name="표준 32 3 2 2" xfId="42154"/>
    <cellStyle name="표준 32 3 2 3" xfId="42155"/>
    <cellStyle name="표준 32 3 3" xfId="42156"/>
    <cellStyle name="표준 32 3 4" xfId="42157"/>
    <cellStyle name="표준 32 3 5" xfId="42158"/>
    <cellStyle name="표준 33" xfId="42159"/>
    <cellStyle name="표준 33 2" xfId="42160"/>
    <cellStyle name="표준 34" xfId="42161"/>
    <cellStyle name="표준 34 2" xfId="42162"/>
    <cellStyle name="표준 34 2 2" xfId="42163"/>
    <cellStyle name="표준 34 2 2 2" xfId="42164"/>
    <cellStyle name="표준 34 2 2 3" xfId="42165"/>
    <cellStyle name="표준 34 2 3" xfId="42166"/>
    <cellStyle name="표준 34 2 4" xfId="42167"/>
    <cellStyle name="표준 34 2 5" xfId="42168"/>
    <cellStyle name="표준 35" xfId="42169"/>
    <cellStyle name="표준 35 2" xfId="42170"/>
    <cellStyle name="표준 35 2 2" xfId="42171"/>
    <cellStyle name="표준 35 2 3" xfId="42172"/>
    <cellStyle name="표준 35 3" xfId="42173"/>
    <cellStyle name="표준 35 4" xfId="42174"/>
    <cellStyle name="표준 35 5" xfId="42175"/>
    <cellStyle name="표준 36" xfId="42176"/>
    <cellStyle name="표준 36 2" xfId="42177"/>
    <cellStyle name="표준 36 3" xfId="42178"/>
    <cellStyle name="표준 36 3 2" xfId="42179"/>
    <cellStyle name="표준 37" xfId="42180"/>
    <cellStyle name="표준 37 2" xfId="42181"/>
    <cellStyle name="표준 38" xfId="42182"/>
    <cellStyle name="표준 38 2" xfId="42183"/>
    <cellStyle name="표준 39" xfId="42184"/>
    <cellStyle name="표준 39 2" xfId="42185"/>
    <cellStyle name="표준 4" xfId="42186"/>
    <cellStyle name="표준 4 10" xfId="42187"/>
    <cellStyle name="표준 4 10 2" xfId="42188"/>
    <cellStyle name="표준 4 10 3" xfId="42189"/>
    <cellStyle name="표준 4 11" xfId="42190"/>
    <cellStyle name="표준 4 11 2" xfId="42191"/>
    <cellStyle name="표준 4 12" xfId="42192"/>
    <cellStyle name="표준 4 12 2" xfId="42193"/>
    <cellStyle name="표준 4 13" xfId="42194"/>
    <cellStyle name="표준 4 13 2" xfId="42195"/>
    <cellStyle name="표준 4 14" xfId="42196"/>
    <cellStyle name="표준 4 14 2" xfId="42197"/>
    <cellStyle name="표준 4 15" xfId="42198"/>
    <cellStyle name="표준 4 15 2" xfId="42199"/>
    <cellStyle name="표준 4 16" xfId="42200"/>
    <cellStyle name="표준 4 16 2" xfId="42201"/>
    <cellStyle name="표준 4 17" xfId="42202"/>
    <cellStyle name="표준 4 17 2" xfId="42203"/>
    <cellStyle name="표준 4 18" xfId="42204"/>
    <cellStyle name="표준 4 18 2" xfId="42205"/>
    <cellStyle name="표준 4 19" xfId="42206"/>
    <cellStyle name="표준 4 19 2" xfId="42207"/>
    <cellStyle name="표준 4 2" xfId="42208"/>
    <cellStyle name="표준 4 2 10" xfId="42209"/>
    <cellStyle name="표준 4 2 10 2" xfId="42210"/>
    <cellStyle name="표준 4 2 10 2 2" xfId="42211"/>
    <cellStyle name="표준 4 2 10 2 2 2" xfId="42212"/>
    <cellStyle name="표준 4 2 10 2 2 3" xfId="42213"/>
    <cellStyle name="표준 4 2 10 2 3" xfId="42214"/>
    <cellStyle name="표준 4 2 10 2 4" xfId="42215"/>
    <cellStyle name="표준 4 2 10 2 5" xfId="42216"/>
    <cellStyle name="표준 4 2 10 3" xfId="42217"/>
    <cellStyle name="표준 4 2 11" xfId="42218"/>
    <cellStyle name="표준 4 2 12" xfId="42219"/>
    <cellStyle name="표준 4 2 13" xfId="42220"/>
    <cellStyle name="표준 4 2 14" xfId="42221"/>
    <cellStyle name="표준 4 2 15" xfId="42222"/>
    <cellStyle name="표준 4 2 16" xfId="42223"/>
    <cellStyle name="표준 4 2 17" xfId="42224"/>
    <cellStyle name="표준 4 2 18" xfId="42225"/>
    <cellStyle name="표준 4 2 19" xfId="42226"/>
    <cellStyle name="표준 4 2 2" xfId="42227"/>
    <cellStyle name="표준 4 2 2 10" xfId="42228"/>
    <cellStyle name="표준 4 2 2 11" xfId="42229"/>
    <cellStyle name="표준 4 2 2 12" xfId="42230"/>
    <cellStyle name="표준 4 2 2 13" xfId="42231"/>
    <cellStyle name="표준 4 2 2 14" xfId="42232"/>
    <cellStyle name="표준 4 2 2 15" xfId="42233"/>
    <cellStyle name="표준 4 2 2 16" xfId="42234"/>
    <cellStyle name="표준 4 2 2 17" xfId="42235"/>
    <cellStyle name="표준 4 2 2 18" xfId="42236"/>
    <cellStyle name="표준 4 2 2 19" xfId="42237"/>
    <cellStyle name="표준 4 2 2 2" xfId="42238"/>
    <cellStyle name="표준 4 2 2 2 10" xfId="42239"/>
    <cellStyle name="표준 4 2 2 2 11" xfId="42240"/>
    <cellStyle name="표준 4 2 2 2 12" xfId="42241"/>
    <cellStyle name="표준 4 2 2 2 13" xfId="42242"/>
    <cellStyle name="표준 4 2 2 2 14" xfId="42243"/>
    <cellStyle name="표준 4 2 2 2 15" xfId="42244"/>
    <cellStyle name="표준 4 2 2 2 16" xfId="42245"/>
    <cellStyle name="표준 4 2 2 2 17" xfId="42246"/>
    <cellStyle name="표준 4 2 2 2 18" xfId="42247"/>
    <cellStyle name="표준 4 2 2 2 19" xfId="42248"/>
    <cellStyle name="표준 4 2 2 2 2" xfId="42249"/>
    <cellStyle name="표준 4 2 2 2 2 10" xfId="42250"/>
    <cellStyle name="표준 4 2 2 2 2 11" xfId="42251"/>
    <cellStyle name="표준 4 2 2 2 2 12" xfId="42252"/>
    <cellStyle name="표준 4 2 2 2 2 13" xfId="42253"/>
    <cellStyle name="표준 4 2 2 2 2 14" xfId="42254"/>
    <cellStyle name="표준 4 2 2 2 2 15" xfId="42255"/>
    <cellStyle name="표준 4 2 2 2 2 16" xfId="42256"/>
    <cellStyle name="표준 4 2 2 2 2 17" xfId="42257"/>
    <cellStyle name="표준 4 2 2 2 2 18" xfId="42258"/>
    <cellStyle name="표준 4 2 2 2 2 19" xfId="42259"/>
    <cellStyle name="표준 4 2 2 2 2 19 2" xfId="42260"/>
    <cellStyle name="표준 4 2 2 2 2 19 3" xfId="42261"/>
    <cellStyle name="표준 4 2 2 2 2 2" xfId="42262"/>
    <cellStyle name="표준 4 2 2 2 2 2 10" xfId="42263"/>
    <cellStyle name="표준 4 2 2 2 2 2 11" xfId="42264"/>
    <cellStyle name="표준 4 2 2 2 2 2 12" xfId="42265"/>
    <cellStyle name="표준 4 2 2 2 2 2 13" xfId="42266"/>
    <cellStyle name="표준 4 2 2 2 2 2 14" xfId="42267"/>
    <cellStyle name="표준 4 2 2 2 2 2 15" xfId="42268"/>
    <cellStyle name="표준 4 2 2 2 2 2 16" xfId="42269"/>
    <cellStyle name="표준 4 2 2 2 2 2 17" xfId="42270"/>
    <cellStyle name="표준 4 2 2 2 2 2 17 2" xfId="42271"/>
    <cellStyle name="표준 4 2 2 2 2 2 17 3" xfId="42272"/>
    <cellStyle name="표준 4 2 2 2 2 2 18" xfId="42273"/>
    <cellStyle name="표준 4 2 2 2 2 2 19" xfId="42274"/>
    <cellStyle name="표준 4 2 2 2 2 2 2" xfId="42275"/>
    <cellStyle name="표준 4 2 2 2 2 2 2 10" xfId="42276"/>
    <cellStyle name="표준 4 2 2 2 2 2 2 11" xfId="42277"/>
    <cellStyle name="표준 4 2 2 2 2 2 2 12" xfId="42278"/>
    <cellStyle name="표준 4 2 2 2 2 2 2 13" xfId="42279"/>
    <cellStyle name="표준 4 2 2 2 2 2 2 14" xfId="42280"/>
    <cellStyle name="표준 4 2 2 2 2 2 2 15" xfId="42281"/>
    <cellStyle name="표준 4 2 2 2 2 2 2 16" xfId="42282"/>
    <cellStyle name="표준 4 2 2 2 2 2 2 16 2" xfId="42283"/>
    <cellStyle name="표준 4 2 2 2 2 2 2 16 3" xfId="42284"/>
    <cellStyle name="표준 4 2 2 2 2 2 2 17" xfId="42285"/>
    <cellStyle name="표준 4 2 2 2 2 2 2 18" xfId="42286"/>
    <cellStyle name="표준 4 2 2 2 2 2 2 19" xfId="42287"/>
    <cellStyle name="표준 4 2 2 2 2 2 2 2" xfId="42288"/>
    <cellStyle name="표준 4 2 2 2 2 2 2 2 2" xfId="42289"/>
    <cellStyle name="표준 4 2 2 2 2 2 2 2 2 2" xfId="42290"/>
    <cellStyle name="표준 4 2 2 2 2 2 2 2 2 2 2" xfId="42291"/>
    <cellStyle name="표준 4 2 2 2 2 2 2 2 2 2 3" xfId="42292"/>
    <cellStyle name="표준 4 2 2 2 2 2 2 2 2 3" xfId="42293"/>
    <cellStyle name="표준 4 2 2 2 2 2 2 2 2 4" xfId="42294"/>
    <cellStyle name="표준 4 2 2 2 2 2 2 2 2 5" xfId="42295"/>
    <cellStyle name="표준 4 2 2 2 2 2 2 2 3" xfId="42296"/>
    <cellStyle name="표준 4 2 2 2 2 2 2 2 3 2" xfId="42297"/>
    <cellStyle name="표준 4 2 2 2 2 2 2 2 3 3" xfId="42298"/>
    <cellStyle name="표준 4 2 2 2 2 2 2 2 4" xfId="42299"/>
    <cellStyle name="표준 4 2 2 2 2 2 2 2 5" xfId="42300"/>
    <cellStyle name="표준 4 2 2 2 2 2 2 2 6" xfId="42301"/>
    <cellStyle name="표준 4 2 2 2 2 2 2 3" xfId="42302"/>
    <cellStyle name="표준 4 2 2 2 2 2 2 3 2" xfId="42303"/>
    <cellStyle name="표준 4 2 2 2 2 2 2 3 2 2" xfId="42304"/>
    <cellStyle name="표준 4 2 2 2 2 2 2 3 2 2 2" xfId="42305"/>
    <cellStyle name="표준 4 2 2 2 2 2 2 3 2 2 3" xfId="42306"/>
    <cellStyle name="표준 4 2 2 2 2 2 2 3 2 3" xfId="42307"/>
    <cellStyle name="표준 4 2 2 2 2 2 2 3 2 4" xfId="42308"/>
    <cellStyle name="표준 4 2 2 2 2 2 2 3 2 5" xfId="42309"/>
    <cellStyle name="표준 4 2 2 2 2 2 2 3 3" xfId="42310"/>
    <cellStyle name="표준 4 2 2 2 2 2 2 4" xfId="42311"/>
    <cellStyle name="표준 4 2 2 2 2 2 2 4 2" xfId="42312"/>
    <cellStyle name="표준 4 2 2 2 2 2 2 4 2 2" xfId="42313"/>
    <cellStyle name="표준 4 2 2 2 2 2 2 4 2 2 2" xfId="42314"/>
    <cellStyle name="표준 4 2 2 2 2 2 2 4 2 2 3" xfId="42315"/>
    <cellStyle name="표준 4 2 2 2 2 2 2 4 2 3" xfId="42316"/>
    <cellStyle name="표준 4 2 2 2 2 2 2 4 2 4" xfId="42317"/>
    <cellStyle name="표준 4 2 2 2 2 2 2 4 2 5" xfId="42318"/>
    <cellStyle name="표준 4 2 2 2 2 2 2 4 3" xfId="42319"/>
    <cellStyle name="표준 4 2 2 2 2 2 2 5" xfId="42320"/>
    <cellStyle name="표준 4 2 2 2 2 2 2 6" xfId="42321"/>
    <cellStyle name="표준 4 2 2 2 2 2 2 7" xfId="42322"/>
    <cellStyle name="표준 4 2 2 2 2 2 2 8" xfId="42323"/>
    <cellStyle name="표준 4 2 2 2 2 2 2 9" xfId="42324"/>
    <cellStyle name="표준 4 2 2 2 2 2 20" xfId="42325"/>
    <cellStyle name="표준 4 2 2 2 2 2 3" xfId="42326"/>
    <cellStyle name="표준 4 2 2 2 2 2 3 2" xfId="42327"/>
    <cellStyle name="표준 4 2 2 2 2 2 3 2 2" xfId="42328"/>
    <cellStyle name="표준 4 2 2 2 2 2 3 2 2 2" xfId="42329"/>
    <cellStyle name="표준 4 2 2 2 2 2 3 2 2 3" xfId="42330"/>
    <cellStyle name="표준 4 2 2 2 2 2 3 2 3" xfId="42331"/>
    <cellStyle name="표준 4 2 2 2 2 2 3 2 4" xfId="42332"/>
    <cellStyle name="표준 4 2 2 2 2 2 3 2 5" xfId="42333"/>
    <cellStyle name="표준 4 2 2 2 2 2 3 3" xfId="42334"/>
    <cellStyle name="표준 4 2 2 2 2 2 3 3 2" xfId="42335"/>
    <cellStyle name="표준 4 2 2 2 2 2 3 3 3" xfId="42336"/>
    <cellStyle name="표준 4 2 2 2 2 2 3 4" xfId="42337"/>
    <cellStyle name="표준 4 2 2 2 2 2 3 5" xfId="42338"/>
    <cellStyle name="표준 4 2 2 2 2 2 3 6" xfId="42339"/>
    <cellStyle name="표준 4 2 2 2 2 2 4" xfId="42340"/>
    <cellStyle name="표준 4 2 2 2 2 2 4 2" xfId="42341"/>
    <cellStyle name="표준 4 2 2 2 2 2 4 2 2" xfId="42342"/>
    <cellStyle name="표준 4 2 2 2 2 2 4 2 2 2" xfId="42343"/>
    <cellStyle name="표준 4 2 2 2 2 2 4 2 2 3" xfId="42344"/>
    <cellStyle name="표준 4 2 2 2 2 2 4 2 3" xfId="42345"/>
    <cellStyle name="표준 4 2 2 2 2 2 4 2 4" xfId="42346"/>
    <cellStyle name="표준 4 2 2 2 2 2 4 2 5" xfId="42347"/>
    <cellStyle name="표준 4 2 2 2 2 2 4 3" xfId="42348"/>
    <cellStyle name="표준 4 2 2 2 2 2 5" xfId="42349"/>
    <cellStyle name="표준 4 2 2 2 2 2 5 2" xfId="42350"/>
    <cellStyle name="표준 4 2 2 2 2 2 5 2 2" xfId="42351"/>
    <cellStyle name="표준 4 2 2 2 2 2 5 2 2 2" xfId="42352"/>
    <cellStyle name="표준 4 2 2 2 2 2 5 2 2 3" xfId="42353"/>
    <cellStyle name="표준 4 2 2 2 2 2 5 2 3" xfId="42354"/>
    <cellStyle name="표준 4 2 2 2 2 2 5 2 4" xfId="42355"/>
    <cellStyle name="표준 4 2 2 2 2 2 5 2 5" xfId="42356"/>
    <cellStyle name="표준 4 2 2 2 2 2 5 3" xfId="42357"/>
    <cellStyle name="표준 4 2 2 2 2 2 6" xfId="42358"/>
    <cellStyle name="표준 4 2 2 2 2 2 7" xfId="42359"/>
    <cellStyle name="표준 4 2 2 2 2 2 8" xfId="42360"/>
    <cellStyle name="표준 4 2 2 2 2 2 9" xfId="42361"/>
    <cellStyle name="표준 4 2 2 2 2 20" xfId="42362"/>
    <cellStyle name="표준 4 2 2 2 2 21" xfId="42363"/>
    <cellStyle name="표준 4 2 2 2 2 22" xfId="42364"/>
    <cellStyle name="표준 4 2 2 2 2 3" xfId="42365"/>
    <cellStyle name="표준 4 2 2 2 2 3 10" xfId="42366"/>
    <cellStyle name="표준 4 2 2 2 2 3 11" xfId="42367"/>
    <cellStyle name="표준 4 2 2 2 2 3 12" xfId="42368"/>
    <cellStyle name="표준 4 2 2 2 2 3 13" xfId="42369"/>
    <cellStyle name="표준 4 2 2 2 2 3 14" xfId="42370"/>
    <cellStyle name="표준 4 2 2 2 2 3 15" xfId="42371"/>
    <cellStyle name="표준 4 2 2 2 2 3 16" xfId="42372"/>
    <cellStyle name="표준 4 2 2 2 2 3 17" xfId="42373"/>
    <cellStyle name="표준 4 2 2 2 2 3 17 2" xfId="42374"/>
    <cellStyle name="표준 4 2 2 2 2 3 17 3" xfId="42375"/>
    <cellStyle name="표준 4 2 2 2 2 3 18" xfId="42376"/>
    <cellStyle name="표준 4 2 2 2 2 3 19" xfId="42377"/>
    <cellStyle name="표준 4 2 2 2 2 3 2" xfId="42378"/>
    <cellStyle name="표준 4 2 2 2 2 3 2 10" xfId="42379"/>
    <cellStyle name="표준 4 2 2 2 2 3 2 11" xfId="42380"/>
    <cellStyle name="표준 4 2 2 2 2 3 2 12" xfId="42381"/>
    <cellStyle name="표준 4 2 2 2 2 3 2 13" xfId="42382"/>
    <cellStyle name="표준 4 2 2 2 2 3 2 14" xfId="42383"/>
    <cellStyle name="표준 4 2 2 2 2 3 2 15" xfId="42384"/>
    <cellStyle name="표준 4 2 2 2 2 3 2 16" xfId="42385"/>
    <cellStyle name="표준 4 2 2 2 2 3 2 16 2" xfId="42386"/>
    <cellStyle name="표준 4 2 2 2 2 3 2 16 3" xfId="42387"/>
    <cellStyle name="표준 4 2 2 2 2 3 2 17" xfId="42388"/>
    <cellStyle name="표준 4 2 2 2 2 3 2 18" xfId="42389"/>
    <cellStyle name="표준 4 2 2 2 2 3 2 19" xfId="42390"/>
    <cellStyle name="표준 4 2 2 2 2 3 2 2" xfId="42391"/>
    <cellStyle name="표준 4 2 2 2 2 3 2 2 2" xfId="42392"/>
    <cellStyle name="표준 4 2 2 2 2 3 2 2 2 2" xfId="42393"/>
    <cellStyle name="표준 4 2 2 2 2 3 2 2 2 2 2" xfId="42394"/>
    <cellStyle name="표준 4 2 2 2 2 3 2 2 2 2 3" xfId="42395"/>
    <cellStyle name="표준 4 2 2 2 2 3 2 2 2 3" xfId="42396"/>
    <cellStyle name="표준 4 2 2 2 2 3 2 2 2 4" xfId="42397"/>
    <cellStyle name="표준 4 2 2 2 2 3 2 2 2 5" xfId="42398"/>
    <cellStyle name="표준 4 2 2 2 2 3 2 2 3" xfId="42399"/>
    <cellStyle name="표준 4 2 2 2 2 3 2 2 3 2" xfId="42400"/>
    <cellStyle name="표준 4 2 2 2 2 3 2 2 3 3" xfId="42401"/>
    <cellStyle name="표준 4 2 2 2 2 3 2 2 4" xfId="42402"/>
    <cellStyle name="표준 4 2 2 2 2 3 2 2 5" xfId="42403"/>
    <cellStyle name="표준 4 2 2 2 2 3 2 2 6" xfId="42404"/>
    <cellStyle name="표준 4 2 2 2 2 3 2 3" xfId="42405"/>
    <cellStyle name="표준 4 2 2 2 2 3 2 3 2" xfId="42406"/>
    <cellStyle name="표준 4 2 2 2 2 3 2 3 2 2" xfId="42407"/>
    <cellStyle name="표준 4 2 2 2 2 3 2 3 2 2 2" xfId="42408"/>
    <cellStyle name="표준 4 2 2 2 2 3 2 3 2 2 3" xfId="42409"/>
    <cellStyle name="표준 4 2 2 2 2 3 2 3 2 3" xfId="42410"/>
    <cellStyle name="표준 4 2 2 2 2 3 2 3 2 4" xfId="42411"/>
    <cellStyle name="표준 4 2 2 2 2 3 2 3 2 5" xfId="42412"/>
    <cellStyle name="표준 4 2 2 2 2 3 2 3 3" xfId="42413"/>
    <cellStyle name="표준 4 2 2 2 2 3 2 4" xfId="42414"/>
    <cellStyle name="표준 4 2 2 2 2 3 2 4 2" xfId="42415"/>
    <cellStyle name="표준 4 2 2 2 2 3 2 4 2 2" xfId="42416"/>
    <cellStyle name="표준 4 2 2 2 2 3 2 4 2 2 2" xfId="42417"/>
    <cellStyle name="표준 4 2 2 2 2 3 2 4 2 2 3" xfId="42418"/>
    <cellStyle name="표준 4 2 2 2 2 3 2 4 2 3" xfId="42419"/>
    <cellStyle name="표준 4 2 2 2 2 3 2 4 2 4" xfId="42420"/>
    <cellStyle name="표준 4 2 2 2 2 3 2 4 2 5" xfId="42421"/>
    <cellStyle name="표준 4 2 2 2 2 3 2 4 3" xfId="42422"/>
    <cellStyle name="표준 4 2 2 2 2 3 2 5" xfId="42423"/>
    <cellStyle name="표준 4 2 2 2 2 3 2 6" xfId="42424"/>
    <cellStyle name="표준 4 2 2 2 2 3 2 7" xfId="42425"/>
    <cellStyle name="표준 4 2 2 2 2 3 2 8" xfId="42426"/>
    <cellStyle name="표준 4 2 2 2 2 3 2 9" xfId="42427"/>
    <cellStyle name="표준 4 2 2 2 2 3 20" xfId="42428"/>
    <cellStyle name="표준 4 2 2 2 2 3 3" xfId="42429"/>
    <cellStyle name="표준 4 2 2 2 2 3 3 2" xfId="42430"/>
    <cellStyle name="표준 4 2 2 2 2 3 3 2 2" xfId="42431"/>
    <cellStyle name="표준 4 2 2 2 2 3 3 2 2 2" xfId="42432"/>
    <cellStyle name="표준 4 2 2 2 2 3 3 2 2 3" xfId="42433"/>
    <cellStyle name="표준 4 2 2 2 2 3 3 2 3" xfId="42434"/>
    <cellStyle name="표준 4 2 2 2 2 3 3 2 4" xfId="42435"/>
    <cellStyle name="표준 4 2 2 2 2 3 3 2 5" xfId="42436"/>
    <cellStyle name="표준 4 2 2 2 2 3 3 3" xfId="42437"/>
    <cellStyle name="표준 4 2 2 2 2 3 3 3 2" xfId="42438"/>
    <cellStyle name="표준 4 2 2 2 2 3 3 3 3" xfId="42439"/>
    <cellStyle name="표준 4 2 2 2 2 3 3 4" xfId="42440"/>
    <cellStyle name="표준 4 2 2 2 2 3 3 5" xfId="42441"/>
    <cellStyle name="표준 4 2 2 2 2 3 3 6" xfId="42442"/>
    <cellStyle name="표준 4 2 2 2 2 3 4" xfId="42443"/>
    <cellStyle name="표준 4 2 2 2 2 3 4 2" xfId="42444"/>
    <cellStyle name="표준 4 2 2 2 2 3 4 2 2" xfId="42445"/>
    <cellStyle name="표준 4 2 2 2 2 3 4 2 2 2" xfId="42446"/>
    <cellStyle name="표준 4 2 2 2 2 3 4 2 2 3" xfId="42447"/>
    <cellStyle name="표준 4 2 2 2 2 3 4 2 3" xfId="42448"/>
    <cellStyle name="표준 4 2 2 2 2 3 4 2 4" xfId="42449"/>
    <cellStyle name="표준 4 2 2 2 2 3 4 2 5" xfId="42450"/>
    <cellStyle name="표준 4 2 2 2 2 3 4 3" xfId="42451"/>
    <cellStyle name="표준 4 2 2 2 2 3 5" xfId="42452"/>
    <cellStyle name="표준 4 2 2 2 2 3 5 2" xfId="42453"/>
    <cellStyle name="표준 4 2 2 2 2 3 5 2 2" xfId="42454"/>
    <cellStyle name="표준 4 2 2 2 2 3 5 2 2 2" xfId="42455"/>
    <cellStyle name="표준 4 2 2 2 2 3 5 2 2 3" xfId="42456"/>
    <cellStyle name="표준 4 2 2 2 2 3 5 2 3" xfId="42457"/>
    <cellStyle name="표준 4 2 2 2 2 3 5 2 4" xfId="42458"/>
    <cellStyle name="표준 4 2 2 2 2 3 5 2 5" xfId="42459"/>
    <cellStyle name="표준 4 2 2 2 2 3 5 3" xfId="42460"/>
    <cellStyle name="표준 4 2 2 2 2 3 6" xfId="42461"/>
    <cellStyle name="표준 4 2 2 2 2 3 7" xfId="42462"/>
    <cellStyle name="표준 4 2 2 2 2 3 8" xfId="42463"/>
    <cellStyle name="표준 4 2 2 2 2 3 9" xfId="42464"/>
    <cellStyle name="표준 4 2 2 2 2 4" xfId="42465"/>
    <cellStyle name="표준 4 2 2 2 2 4 10" xfId="42466"/>
    <cellStyle name="표준 4 2 2 2 2 4 11" xfId="42467"/>
    <cellStyle name="표준 4 2 2 2 2 4 12" xfId="42468"/>
    <cellStyle name="표준 4 2 2 2 2 4 13" xfId="42469"/>
    <cellStyle name="표준 4 2 2 2 2 4 14" xfId="42470"/>
    <cellStyle name="표준 4 2 2 2 2 4 15" xfId="42471"/>
    <cellStyle name="표준 4 2 2 2 2 4 16" xfId="42472"/>
    <cellStyle name="표준 4 2 2 2 2 4 16 2" xfId="42473"/>
    <cellStyle name="표준 4 2 2 2 2 4 16 3" xfId="42474"/>
    <cellStyle name="표준 4 2 2 2 2 4 17" xfId="42475"/>
    <cellStyle name="표준 4 2 2 2 2 4 18" xfId="42476"/>
    <cellStyle name="표준 4 2 2 2 2 4 19" xfId="42477"/>
    <cellStyle name="표준 4 2 2 2 2 4 2" xfId="42478"/>
    <cellStyle name="표준 4 2 2 2 2 4 2 2" xfId="42479"/>
    <cellStyle name="표준 4 2 2 2 2 4 2 2 2" xfId="42480"/>
    <cellStyle name="표준 4 2 2 2 2 4 2 2 2 2" xfId="42481"/>
    <cellStyle name="표준 4 2 2 2 2 4 2 2 2 3" xfId="42482"/>
    <cellStyle name="표준 4 2 2 2 2 4 2 2 3" xfId="42483"/>
    <cellStyle name="표준 4 2 2 2 2 4 2 2 4" xfId="42484"/>
    <cellStyle name="표준 4 2 2 2 2 4 2 2 5" xfId="42485"/>
    <cellStyle name="표준 4 2 2 2 2 4 2 3" xfId="42486"/>
    <cellStyle name="표준 4 2 2 2 2 4 2 3 2" xfId="42487"/>
    <cellStyle name="표준 4 2 2 2 2 4 2 3 3" xfId="42488"/>
    <cellStyle name="표준 4 2 2 2 2 4 2 4" xfId="42489"/>
    <cellStyle name="표준 4 2 2 2 2 4 2 5" xfId="42490"/>
    <cellStyle name="표준 4 2 2 2 2 4 2 6" xfId="42491"/>
    <cellStyle name="표준 4 2 2 2 2 4 3" xfId="42492"/>
    <cellStyle name="표준 4 2 2 2 2 4 3 2" xfId="42493"/>
    <cellStyle name="표준 4 2 2 2 2 4 3 2 2" xfId="42494"/>
    <cellStyle name="표준 4 2 2 2 2 4 3 2 2 2" xfId="42495"/>
    <cellStyle name="표준 4 2 2 2 2 4 3 2 2 3" xfId="42496"/>
    <cellStyle name="표준 4 2 2 2 2 4 3 2 3" xfId="42497"/>
    <cellStyle name="표준 4 2 2 2 2 4 3 2 4" xfId="42498"/>
    <cellStyle name="표준 4 2 2 2 2 4 3 2 5" xfId="42499"/>
    <cellStyle name="표준 4 2 2 2 2 4 3 3" xfId="42500"/>
    <cellStyle name="표준 4 2 2 2 2 4 4" xfId="42501"/>
    <cellStyle name="표준 4 2 2 2 2 4 4 2" xfId="42502"/>
    <cellStyle name="표준 4 2 2 2 2 4 4 2 2" xfId="42503"/>
    <cellStyle name="표준 4 2 2 2 2 4 4 2 2 2" xfId="42504"/>
    <cellStyle name="표준 4 2 2 2 2 4 4 2 2 3" xfId="42505"/>
    <cellStyle name="표준 4 2 2 2 2 4 4 2 3" xfId="42506"/>
    <cellStyle name="표준 4 2 2 2 2 4 4 2 4" xfId="42507"/>
    <cellStyle name="표준 4 2 2 2 2 4 4 2 5" xfId="42508"/>
    <cellStyle name="표준 4 2 2 2 2 4 4 3" xfId="42509"/>
    <cellStyle name="표준 4 2 2 2 2 4 5" xfId="42510"/>
    <cellStyle name="표준 4 2 2 2 2 4 6" xfId="42511"/>
    <cellStyle name="표준 4 2 2 2 2 4 7" xfId="42512"/>
    <cellStyle name="표준 4 2 2 2 2 4 8" xfId="42513"/>
    <cellStyle name="표준 4 2 2 2 2 4 9" xfId="42514"/>
    <cellStyle name="표준 4 2 2 2 2 5" xfId="42515"/>
    <cellStyle name="표준 4 2 2 2 2 5 2" xfId="42516"/>
    <cellStyle name="표준 4 2 2 2 2 5 2 2" xfId="42517"/>
    <cellStyle name="표준 4 2 2 2 2 5 2 2 2" xfId="42518"/>
    <cellStyle name="표준 4 2 2 2 2 5 2 2 3" xfId="42519"/>
    <cellStyle name="표준 4 2 2 2 2 5 2 3" xfId="42520"/>
    <cellStyle name="표준 4 2 2 2 2 5 2 4" xfId="42521"/>
    <cellStyle name="표준 4 2 2 2 2 5 2 5" xfId="42522"/>
    <cellStyle name="표준 4 2 2 2 2 5 3" xfId="42523"/>
    <cellStyle name="표준 4 2 2 2 2 5 3 2" xfId="42524"/>
    <cellStyle name="표준 4 2 2 2 2 5 3 3" xfId="42525"/>
    <cellStyle name="표준 4 2 2 2 2 5 4" xfId="42526"/>
    <cellStyle name="표준 4 2 2 2 2 5 5" xfId="42527"/>
    <cellStyle name="표준 4 2 2 2 2 5 6" xfId="42528"/>
    <cellStyle name="표준 4 2 2 2 2 6" xfId="42529"/>
    <cellStyle name="표준 4 2 2 2 2 6 2" xfId="42530"/>
    <cellStyle name="표준 4 2 2 2 2 6 2 2" xfId="42531"/>
    <cellStyle name="표준 4 2 2 2 2 6 2 2 2" xfId="42532"/>
    <cellStyle name="표준 4 2 2 2 2 6 2 2 3" xfId="42533"/>
    <cellStyle name="표준 4 2 2 2 2 6 2 3" xfId="42534"/>
    <cellStyle name="표준 4 2 2 2 2 6 2 4" xfId="42535"/>
    <cellStyle name="표준 4 2 2 2 2 6 2 5" xfId="42536"/>
    <cellStyle name="표준 4 2 2 2 2 6 3" xfId="42537"/>
    <cellStyle name="표준 4 2 2 2 2 7" xfId="42538"/>
    <cellStyle name="표준 4 2 2 2 2 7 2" xfId="42539"/>
    <cellStyle name="표준 4 2 2 2 2 7 2 2" xfId="42540"/>
    <cellStyle name="표준 4 2 2 2 2 7 2 2 2" xfId="42541"/>
    <cellStyle name="표준 4 2 2 2 2 7 2 2 3" xfId="42542"/>
    <cellStyle name="표준 4 2 2 2 2 7 2 3" xfId="42543"/>
    <cellStyle name="표준 4 2 2 2 2 7 2 4" xfId="42544"/>
    <cellStyle name="표준 4 2 2 2 2 7 2 5" xfId="42545"/>
    <cellStyle name="표준 4 2 2 2 2 7 3" xfId="42546"/>
    <cellStyle name="표준 4 2 2 2 2 8" xfId="42547"/>
    <cellStyle name="표준 4 2 2 2 2 9" xfId="42548"/>
    <cellStyle name="표준 4 2 2 2 20" xfId="42549"/>
    <cellStyle name="표준 4 2 2 2 20 2" xfId="42550"/>
    <cellStyle name="표준 4 2 2 2 20 3" xfId="42551"/>
    <cellStyle name="표준 4 2 2 2 21" xfId="42552"/>
    <cellStyle name="표준 4 2 2 2 22" xfId="42553"/>
    <cellStyle name="표준 4 2 2 2 23" xfId="42554"/>
    <cellStyle name="표준 4 2 2 2 3" xfId="42555"/>
    <cellStyle name="표준 4 2 2 2 3 10" xfId="42556"/>
    <cellStyle name="표준 4 2 2 2 3 11" xfId="42557"/>
    <cellStyle name="표준 4 2 2 2 3 12" xfId="42558"/>
    <cellStyle name="표준 4 2 2 2 3 13" xfId="42559"/>
    <cellStyle name="표준 4 2 2 2 3 14" xfId="42560"/>
    <cellStyle name="표준 4 2 2 2 3 15" xfId="42561"/>
    <cellStyle name="표준 4 2 2 2 3 16" xfId="42562"/>
    <cellStyle name="표준 4 2 2 2 3 17" xfId="42563"/>
    <cellStyle name="표준 4 2 2 2 3 17 2" xfId="42564"/>
    <cellStyle name="표준 4 2 2 2 3 17 3" xfId="42565"/>
    <cellStyle name="표준 4 2 2 2 3 18" xfId="42566"/>
    <cellStyle name="표준 4 2 2 2 3 19" xfId="42567"/>
    <cellStyle name="표준 4 2 2 2 3 2" xfId="42568"/>
    <cellStyle name="표준 4 2 2 2 3 2 10" xfId="42569"/>
    <cellStyle name="표준 4 2 2 2 3 2 11" xfId="42570"/>
    <cellStyle name="표준 4 2 2 2 3 2 12" xfId="42571"/>
    <cellStyle name="표준 4 2 2 2 3 2 13" xfId="42572"/>
    <cellStyle name="표준 4 2 2 2 3 2 14" xfId="42573"/>
    <cellStyle name="표준 4 2 2 2 3 2 15" xfId="42574"/>
    <cellStyle name="표준 4 2 2 2 3 2 16" xfId="42575"/>
    <cellStyle name="표준 4 2 2 2 3 2 16 2" xfId="42576"/>
    <cellStyle name="표준 4 2 2 2 3 2 16 3" xfId="42577"/>
    <cellStyle name="표준 4 2 2 2 3 2 17" xfId="42578"/>
    <cellStyle name="표준 4 2 2 2 3 2 18" xfId="42579"/>
    <cellStyle name="표준 4 2 2 2 3 2 19" xfId="42580"/>
    <cellStyle name="표준 4 2 2 2 3 2 2" xfId="42581"/>
    <cellStyle name="표준 4 2 2 2 3 2 2 2" xfId="42582"/>
    <cellStyle name="표준 4 2 2 2 3 2 2 2 2" xfId="42583"/>
    <cellStyle name="표준 4 2 2 2 3 2 2 2 2 2" xfId="42584"/>
    <cellStyle name="표준 4 2 2 2 3 2 2 2 2 3" xfId="42585"/>
    <cellStyle name="표준 4 2 2 2 3 2 2 2 3" xfId="42586"/>
    <cellStyle name="표준 4 2 2 2 3 2 2 2 4" xfId="42587"/>
    <cellStyle name="표준 4 2 2 2 3 2 2 2 5" xfId="42588"/>
    <cellStyle name="표준 4 2 2 2 3 2 2 3" xfId="42589"/>
    <cellStyle name="표준 4 2 2 2 3 2 2 3 2" xfId="42590"/>
    <cellStyle name="표준 4 2 2 2 3 2 2 3 3" xfId="42591"/>
    <cellStyle name="표준 4 2 2 2 3 2 2 4" xfId="42592"/>
    <cellStyle name="표준 4 2 2 2 3 2 2 5" xfId="42593"/>
    <cellStyle name="표준 4 2 2 2 3 2 2 6" xfId="42594"/>
    <cellStyle name="표준 4 2 2 2 3 2 3" xfId="42595"/>
    <cellStyle name="표준 4 2 2 2 3 2 3 2" xfId="42596"/>
    <cellStyle name="표준 4 2 2 2 3 2 3 2 2" xfId="42597"/>
    <cellStyle name="표준 4 2 2 2 3 2 3 2 2 2" xfId="42598"/>
    <cellStyle name="표준 4 2 2 2 3 2 3 2 2 3" xfId="42599"/>
    <cellStyle name="표준 4 2 2 2 3 2 3 2 3" xfId="42600"/>
    <cellStyle name="표준 4 2 2 2 3 2 3 2 4" xfId="42601"/>
    <cellStyle name="표준 4 2 2 2 3 2 3 2 5" xfId="42602"/>
    <cellStyle name="표준 4 2 2 2 3 2 3 3" xfId="42603"/>
    <cellStyle name="표준 4 2 2 2 3 2 4" xfId="42604"/>
    <cellStyle name="표준 4 2 2 2 3 2 4 2" xfId="42605"/>
    <cellStyle name="표준 4 2 2 2 3 2 4 2 2" xfId="42606"/>
    <cellStyle name="표준 4 2 2 2 3 2 4 2 2 2" xfId="42607"/>
    <cellStyle name="표준 4 2 2 2 3 2 4 2 2 3" xfId="42608"/>
    <cellStyle name="표준 4 2 2 2 3 2 4 2 3" xfId="42609"/>
    <cellStyle name="표준 4 2 2 2 3 2 4 2 4" xfId="42610"/>
    <cellStyle name="표준 4 2 2 2 3 2 4 2 5" xfId="42611"/>
    <cellStyle name="표준 4 2 2 2 3 2 4 3" xfId="42612"/>
    <cellStyle name="표준 4 2 2 2 3 2 5" xfId="42613"/>
    <cellStyle name="표준 4 2 2 2 3 2 6" xfId="42614"/>
    <cellStyle name="표준 4 2 2 2 3 2 7" xfId="42615"/>
    <cellStyle name="표준 4 2 2 2 3 2 8" xfId="42616"/>
    <cellStyle name="표준 4 2 2 2 3 2 9" xfId="42617"/>
    <cellStyle name="표준 4 2 2 2 3 20" xfId="42618"/>
    <cellStyle name="표준 4 2 2 2 3 3" xfId="42619"/>
    <cellStyle name="표준 4 2 2 2 3 3 2" xfId="42620"/>
    <cellStyle name="표준 4 2 2 2 3 3 2 2" xfId="42621"/>
    <cellStyle name="표준 4 2 2 2 3 3 2 2 2" xfId="42622"/>
    <cellStyle name="표준 4 2 2 2 3 3 2 2 3" xfId="42623"/>
    <cellStyle name="표준 4 2 2 2 3 3 2 3" xfId="42624"/>
    <cellStyle name="표준 4 2 2 2 3 3 2 4" xfId="42625"/>
    <cellStyle name="표준 4 2 2 2 3 3 2 5" xfId="42626"/>
    <cellStyle name="표준 4 2 2 2 3 3 3" xfId="42627"/>
    <cellStyle name="표준 4 2 2 2 3 3 3 2" xfId="42628"/>
    <cellStyle name="표준 4 2 2 2 3 3 3 3" xfId="42629"/>
    <cellStyle name="표준 4 2 2 2 3 3 4" xfId="42630"/>
    <cellStyle name="표준 4 2 2 2 3 3 5" xfId="42631"/>
    <cellStyle name="표준 4 2 2 2 3 3 6" xfId="42632"/>
    <cellStyle name="표준 4 2 2 2 3 4" xfId="42633"/>
    <cellStyle name="표준 4 2 2 2 3 4 2" xfId="42634"/>
    <cellStyle name="표준 4 2 2 2 3 4 2 2" xfId="42635"/>
    <cellStyle name="표준 4 2 2 2 3 4 2 2 2" xfId="42636"/>
    <cellStyle name="표준 4 2 2 2 3 4 2 2 3" xfId="42637"/>
    <cellStyle name="표준 4 2 2 2 3 4 2 3" xfId="42638"/>
    <cellStyle name="표준 4 2 2 2 3 4 2 4" xfId="42639"/>
    <cellStyle name="표준 4 2 2 2 3 4 2 5" xfId="42640"/>
    <cellStyle name="표준 4 2 2 2 3 4 3" xfId="42641"/>
    <cellStyle name="표준 4 2 2 2 3 5" xfId="42642"/>
    <cellStyle name="표준 4 2 2 2 3 5 2" xfId="42643"/>
    <cellStyle name="표준 4 2 2 2 3 5 2 2" xfId="42644"/>
    <cellStyle name="표준 4 2 2 2 3 5 2 2 2" xfId="42645"/>
    <cellStyle name="표준 4 2 2 2 3 5 2 2 3" xfId="42646"/>
    <cellStyle name="표준 4 2 2 2 3 5 2 3" xfId="42647"/>
    <cellStyle name="표준 4 2 2 2 3 5 2 4" xfId="42648"/>
    <cellStyle name="표준 4 2 2 2 3 5 2 5" xfId="42649"/>
    <cellStyle name="표준 4 2 2 2 3 5 3" xfId="42650"/>
    <cellStyle name="표준 4 2 2 2 3 6" xfId="42651"/>
    <cellStyle name="표준 4 2 2 2 3 7" xfId="42652"/>
    <cellStyle name="표준 4 2 2 2 3 8" xfId="42653"/>
    <cellStyle name="표준 4 2 2 2 3 9" xfId="42654"/>
    <cellStyle name="표준 4 2 2 2 4" xfId="42655"/>
    <cellStyle name="표준 4 2 2 2 4 10" xfId="42656"/>
    <cellStyle name="표준 4 2 2 2 4 11" xfId="42657"/>
    <cellStyle name="표준 4 2 2 2 4 12" xfId="42658"/>
    <cellStyle name="표준 4 2 2 2 4 13" xfId="42659"/>
    <cellStyle name="표준 4 2 2 2 4 14" xfId="42660"/>
    <cellStyle name="표준 4 2 2 2 4 15" xfId="42661"/>
    <cellStyle name="표준 4 2 2 2 4 16" xfId="42662"/>
    <cellStyle name="표준 4 2 2 2 4 17" xfId="42663"/>
    <cellStyle name="표준 4 2 2 2 4 17 2" xfId="42664"/>
    <cellStyle name="표준 4 2 2 2 4 17 3" xfId="42665"/>
    <cellStyle name="표준 4 2 2 2 4 18" xfId="42666"/>
    <cellStyle name="표준 4 2 2 2 4 19" xfId="42667"/>
    <cellStyle name="표준 4 2 2 2 4 2" xfId="42668"/>
    <cellStyle name="표준 4 2 2 2 4 2 10" xfId="42669"/>
    <cellStyle name="표준 4 2 2 2 4 2 11" xfId="42670"/>
    <cellStyle name="표준 4 2 2 2 4 2 12" xfId="42671"/>
    <cellStyle name="표준 4 2 2 2 4 2 13" xfId="42672"/>
    <cellStyle name="표준 4 2 2 2 4 2 14" xfId="42673"/>
    <cellStyle name="표준 4 2 2 2 4 2 15" xfId="42674"/>
    <cellStyle name="표준 4 2 2 2 4 2 16" xfId="42675"/>
    <cellStyle name="표준 4 2 2 2 4 2 16 2" xfId="42676"/>
    <cellStyle name="표준 4 2 2 2 4 2 16 3" xfId="42677"/>
    <cellStyle name="표준 4 2 2 2 4 2 17" xfId="42678"/>
    <cellStyle name="표준 4 2 2 2 4 2 18" xfId="42679"/>
    <cellStyle name="표준 4 2 2 2 4 2 19" xfId="42680"/>
    <cellStyle name="표준 4 2 2 2 4 2 2" xfId="42681"/>
    <cellStyle name="표준 4 2 2 2 4 2 2 2" xfId="42682"/>
    <cellStyle name="표준 4 2 2 2 4 2 2 2 2" xfId="42683"/>
    <cellStyle name="표준 4 2 2 2 4 2 2 2 2 2" xfId="42684"/>
    <cellStyle name="표준 4 2 2 2 4 2 2 2 2 3" xfId="42685"/>
    <cellStyle name="표준 4 2 2 2 4 2 2 2 3" xfId="42686"/>
    <cellStyle name="표준 4 2 2 2 4 2 2 2 4" xfId="42687"/>
    <cellStyle name="표준 4 2 2 2 4 2 2 2 5" xfId="42688"/>
    <cellStyle name="표준 4 2 2 2 4 2 2 3" xfId="42689"/>
    <cellStyle name="표준 4 2 2 2 4 2 2 3 2" xfId="42690"/>
    <cellStyle name="표준 4 2 2 2 4 2 2 3 3" xfId="42691"/>
    <cellStyle name="표준 4 2 2 2 4 2 2 4" xfId="42692"/>
    <cellStyle name="표준 4 2 2 2 4 2 2 5" xfId="42693"/>
    <cellStyle name="표준 4 2 2 2 4 2 2 6" xfId="42694"/>
    <cellStyle name="표준 4 2 2 2 4 2 3" xfId="42695"/>
    <cellStyle name="표준 4 2 2 2 4 2 3 2" xfId="42696"/>
    <cellStyle name="표준 4 2 2 2 4 2 3 2 2" xfId="42697"/>
    <cellStyle name="표준 4 2 2 2 4 2 3 2 2 2" xfId="42698"/>
    <cellStyle name="표준 4 2 2 2 4 2 3 2 2 3" xfId="42699"/>
    <cellStyle name="표준 4 2 2 2 4 2 3 2 3" xfId="42700"/>
    <cellStyle name="표준 4 2 2 2 4 2 3 2 4" xfId="42701"/>
    <cellStyle name="표준 4 2 2 2 4 2 3 2 5" xfId="42702"/>
    <cellStyle name="표준 4 2 2 2 4 2 3 3" xfId="42703"/>
    <cellStyle name="표준 4 2 2 2 4 2 4" xfId="42704"/>
    <cellStyle name="표준 4 2 2 2 4 2 4 2" xfId="42705"/>
    <cellStyle name="표준 4 2 2 2 4 2 4 2 2" xfId="42706"/>
    <cellStyle name="표준 4 2 2 2 4 2 4 2 2 2" xfId="42707"/>
    <cellStyle name="표준 4 2 2 2 4 2 4 2 2 3" xfId="42708"/>
    <cellStyle name="표준 4 2 2 2 4 2 4 2 3" xfId="42709"/>
    <cellStyle name="표준 4 2 2 2 4 2 4 2 4" xfId="42710"/>
    <cellStyle name="표준 4 2 2 2 4 2 4 2 5" xfId="42711"/>
    <cellStyle name="표준 4 2 2 2 4 2 4 3" xfId="42712"/>
    <cellStyle name="표준 4 2 2 2 4 2 5" xfId="42713"/>
    <cellStyle name="표준 4 2 2 2 4 2 6" xfId="42714"/>
    <cellStyle name="표준 4 2 2 2 4 2 7" xfId="42715"/>
    <cellStyle name="표준 4 2 2 2 4 2 8" xfId="42716"/>
    <cellStyle name="표준 4 2 2 2 4 2 9" xfId="42717"/>
    <cellStyle name="표준 4 2 2 2 4 20" xfId="42718"/>
    <cellStyle name="표준 4 2 2 2 4 3" xfId="42719"/>
    <cellStyle name="표준 4 2 2 2 4 3 2" xfId="42720"/>
    <cellStyle name="표준 4 2 2 2 4 3 2 2" xfId="42721"/>
    <cellStyle name="표준 4 2 2 2 4 3 2 2 2" xfId="42722"/>
    <cellStyle name="표준 4 2 2 2 4 3 2 2 3" xfId="42723"/>
    <cellStyle name="표준 4 2 2 2 4 3 2 3" xfId="42724"/>
    <cellStyle name="표준 4 2 2 2 4 3 2 4" xfId="42725"/>
    <cellStyle name="표준 4 2 2 2 4 3 2 5" xfId="42726"/>
    <cellStyle name="표준 4 2 2 2 4 3 3" xfId="42727"/>
    <cellStyle name="표준 4 2 2 2 4 3 3 2" xfId="42728"/>
    <cellStyle name="표준 4 2 2 2 4 3 3 3" xfId="42729"/>
    <cellStyle name="표준 4 2 2 2 4 3 4" xfId="42730"/>
    <cellStyle name="표준 4 2 2 2 4 3 5" xfId="42731"/>
    <cellStyle name="표준 4 2 2 2 4 3 6" xfId="42732"/>
    <cellStyle name="표준 4 2 2 2 4 4" xfId="42733"/>
    <cellStyle name="표준 4 2 2 2 4 4 2" xfId="42734"/>
    <cellStyle name="표준 4 2 2 2 4 4 2 2" xfId="42735"/>
    <cellStyle name="표준 4 2 2 2 4 4 2 2 2" xfId="42736"/>
    <cellStyle name="표준 4 2 2 2 4 4 2 2 3" xfId="42737"/>
    <cellStyle name="표준 4 2 2 2 4 4 2 3" xfId="42738"/>
    <cellStyle name="표준 4 2 2 2 4 4 2 4" xfId="42739"/>
    <cellStyle name="표준 4 2 2 2 4 4 2 5" xfId="42740"/>
    <cellStyle name="표준 4 2 2 2 4 4 3" xfId="42741"/>
    <cellStyle name="표준 4 2 2 2 4 5" xfId="42742"/>
    <cellStyle name="표준 4 2 2 2 4 5 2" xfId="42743"/>
    <cellStyle name="표준 4 2 2 2 4 5 2 2" xfId="42744"/>
    <cellStyle name="표준 4 2 2 2 4 5 2 2 2" xfId="42745"/>
    <cellStyle name="표준 4 2 2 2 4 5 2 2 3" xfId="42746"/>
    <cellStyle name="표준 4 2 2 2 4 5 2 3" xfId="42747"/>
    <cellStyle name="표준 4 2 2 2 4 5 2 4" xfId="42748"/>
    <cellStyle name="표준 4 2 2 2 4 5 2 5" xfId="42749"/>
    <cellStyle name="표준 4 2 2 2 4 5 3" xfId="42750"/>
    <cellStyle name="표준 4 2 2 2 4 6" xfId="42751"/>
    <cellStyle name="표준 4 2 2 2 4 7" xfId="42752"/>
    <cellStyle name="표준 4 2 2 2 4 8" xfId="42753"/>
    <cellStyle name="표준 4 2 2 2 4 9" xfId="42754"/>
    <cellStyle name="표준 4 2 2 2 5" xfId="42755"/>
    <cellStyle name="표준 4 2 2 2 5 10" xfId="42756"/>
    <cellStyle name="표준 4 2 2 2 5 11" xfId="42757"/>
    <cellStyle name="표준 4 2 2 2 5 12" xfId="42758"/>
    <cellStyle name="표준 4 2 2 2 5 13" xfId="42759"/>
    <cellStyle name="표준 4 2 2 2 5 14" xfId="42760"/>
    <cellStyle name="표준 4 2 2 2 5 15" xfId="42761"/>
    <cellStyle name="표준 4 2 2 2 5 16" xfId="42762"/>
    <cellStyle name="표준 4 2 2 2 5 16 2" xfId="42763"/>
    <cellStyle name="표준 4 2 2 2 5 16 3" xfId="42764"/>
    <cellStyle name="표준 4 2 2 2 5 17" xfId="42765"/>
    <cellStyle name="표준 4 2 2 2 5 18" xfId="42766"/>
    <cellStyle name="표준 4 2 2 2 5 19" xfId="42767"/>
    <cellStyle name="표준 4 2 2 2 5 2" xfId="42768"/>
    <cellStyle name="표준 4 2 2 2 5 2 2" xfId="42769"/>
    <cellStyle name="표준 4 2 2 2 5 2 2 2" xfId="42770"/>
    <cellStyle name="표준 4 2 2 2 5 2 2 2 2" xfId="42771"/>
    <cellStyle name="표준 4 2 2 2 5 2 2 2 3" xfId="42772"/>
    <cellStyle name="표준 4 2 2 2 5 2 2 3" xfId="42773"/>
    <cellStyle name="표준 4 2 2 2 5 2 2 4" xfId="42774"/>
    <cellStyle name="표준 4 2 2 2 5 2 2 5" xfId="42775"/>
    <cellStyle name="표준 4 2 2 2 5 2 3" xfId="42776"/>
    <cellStyle name="표준 4 2 2 2 5 2 3 2" xfId="42777"/>
    <cellStyle name="표준 4 2 2 2 5 2 3 3" xfId="42778"/>
    <cellStyle name="표준 4 2 2 2 5 2 4" xfId="42779"/>
    <cellStyle name="표준 4 2 2 2 5 2 5" xfId="42780"/>
    <cellStyle name="표준 4 2 2 2 5 2 6" xfId="42781"/>
    <cellStyle name="표준 4 2 2 2 5 3" xfId="42782"/>
    <cellStyle name="표준 4 2 2 2 5 3 2" xfId="42783"/>
    <cellStyle name="표준 4 2 2 2 5 3 2 2" xfId="42784"/>
    <cellStyle name="표준 4 2 2 2 5 3 2 2 2" xfId="42785"/>
    <cellStyle name="표준 4 2 2 2 5 3 2 2 3" xfId="42786"/>
    <cellStyle name="표준 4 2 2 2 5 3 2 3" xfId="42787"/>
    <cellStyle name="표준 4 2 2 2 5 3 2 4" xfId="42788"/>
    <cellStyle name="표준 4 2 2 2 5 3 2 5" xfId="42789"/>
    <cellStyle name="표준 4 2 2 2 5 3 3" xfId="42790"/>
    <cellStyle name="표준 4 2 2 2 5 4" xfId="42791"/>
    <cellStyle name="표준 4 2 2 2 5 4 2" xfId="42792"/>
    <cellStyle name="표준 4 2 2 2 5 4 2 2" xfId="42793"/>
    <cellStyle name="표준 4 2 2 2 5 4 2 2 2" xfId="42794"/>
    <cellStyle name="표준 4 2 2 2 5 4 2 2 3" xfId="42795"/>
    <cellStyle name="표준 4 2 2 2 5 4 2 3" xfId="42796"/>
    <cellStyle name="표준 4 2 2 2 5 4 2 4" xfId="42797"/>
    <cellStyle name="표준 4 2 2 2 5 4 2 5" xfId="42798"/>
    <cellStyle name="표준 4 2 2 2 5 4 3" xfId="42799"/>
    <cellStyle name="표준 4 2 2 2 5 5" xfId="42800"/>
    <cellStyle name="표준 4 2 2 2 5 6" xfId="42801"/>
    <cellStyle name="표준 4 2 2 2 5 7" xfId="42802"/>
    <cellStyle name="표준 4 2 2 2 5 8" xfId="42803"/>
    <cellStyle name="표준 4 2 2 2 5 9" xfId="42804"/>
    <cellStyle name="표준 4 2 2 2 6" xfId="42805"/>
    <cellStyle name="표준 4 2 2 2 6 2" xfId="42806"/>
    <cellStyle name="표준 4 2 2 2 6 2 2" xfId="42807"/>
    <cellStyle name="표준 4 2 2 2 6 2 2 2" xfId="42808"/>
    <cellStyle name="표준 4 2 2 2 6 2 2 3" xfId="42809"/>
    <cellStyle name="표준 4 2 2 2 6 2 3" xfId="42810"/>
    <cellStyle name="표준 4 2 2 2 6 2 4" xfId="42811"/>
    <cellStyle name="표준 4 2 2 2 6 2 5" xfId="42812"/>
    <cellStyle name="표준 4 2 2 2 6 3" xfId="42813"/>
    <cellStyle name="표준 4 2 2 2 6 3 2" xfId="42814"/>
    <cellStyle name="표준 4 2 2 2 6 3 3" xfId="42815"/>
    <cellStyle name="표준 4 2 2 2 6 4" xfId="42816"/>
    <cellStyle name="표준 4 2 2 2 6 5" xfId="42817"/>
    <cellStyle name="표준 4 2 2 2 6 6" xfId="42818"/>
    <cellStyle name="표준 4 2 2 2 7" xfId="42819"/>
    <cellStyle name="표준 4 2 2 2 7 2" xfId="42820"/>
    <cellStyle name="표준 4 2 2 2 7 2 2" xfId="42821"/>
    <cellStyle name="표준 4 2 2 2 7 2 2 2" xfId="42822"/>
    <cellStyle name="표준 4 2 2 2 7 2 2 3" xfId="42823"/>
    <cellStyle name="표준 4 2 2 2 7 2 3" xfId="42824"/>
    <cellStyle name="표준 4 2 2 2 7 2 4" xfId="42825"/>
    <cellStyle name="표준 4 2 2 2 7 2 5" xfId="42826"/>
    <cellStyle name="표준 4 2 2 2 7 3" xfId="42827"/>
    <cellStyle name="표준 4 2 2 2 8" xfId="42828"/>
    <cellStyle name="표준 4 2 2 2 8 2" xfId="42829"/>
    <cellStyle name="표준 4 2 2 2 8 2 2" xfId="42830"/>
    <cellStyle name="표준 4 2 2 2 8 2 2 2" xfId="42831"/>
    <cellStyle name="표준 4 2 2 2 8 2 2 3" xfId="42832"/>
    <cellStyle name="표준 4 2 2 2 8 2 3" xfId="42833"/>
    <cellStyle name="표준 4 2 2 2 8 2 4" xfId="42834"/>
    <cellStyle name="표준 4 2 2 2 8 2 5" xfId="42835"/>
    <cellStyle name="표준 4 2 2 2 8 3" xfId="42836"/>
    <cellStyle name="표준 4 2 2 2 9" xfId="42837"/>
    <cellStyle name="표준 4 2 2 20" xfId="42838"/>
    <cellStyle name="표준 4 2 2 21" xfId="42839"/>
    <cellStyle name="표준 4 2 2 21 2" xfId="42840"/>
    <cellStyle name="표준 4 2 2 21 3" xfId="42841"/>
    <cellStyle name="표준 4 2 2 22" xfId="42842"/>
    <cellStyle name="표준 4 2 2 23" xfId="42843"/>
    <cellStyle name="표준 4 2 2 24" xfId="42844"/>
    <cellStyle name="표준 4 2 2 3" xfId="42845"/>
    <cellStyle name="표준 4 2 2 3 10" xfId="42846"/>
    <cellStyle name="표준 4 2 2 3 11" xfId="42847"/>
    <cellStyle name="표준 4 2 2 3 12" xfId="42848"/>
    <cellStyle name="표준 4 2 2 3 13" xfId="42849"/>
    <cellStyle name="표준 4 2 2 3 14" xfId="42850"/>
    <cellStyle name="표준 4 2 2 3 15" xfId="42851"/>
    <cellStyle name="표준 4 2 2 3 16" xfId="42852"/>
    <cellStyle name="표준 4 2 2 3 17" xfId="42853"/>
    <cellStyle name="표준 4 2 2 3 18" xfId="42854"/>
    <cellStyle name="표준 4 2 2 3 19" xfId="42855"/>
    <cellStyle name="표준 4 2 2 3 19 2" xfId="42856"/>
    <cellStyle name="표준 4 2 2 3 19 3" xfId="42857"/>
    <cellStyle name="표준 4 2 2 3 2" xfId="42858"/>
    <cellStyle name="표준 4 2 2 3 2 10" xfId="42859"/>
    <cellStyle name="표준 4 2 2 3 2 11" xfId="42860"/>
    <cellStyle name="표준 4 2 2 3 2 12" xfId="42861"/>
    <cellStyle name="표준 4 2 2 3 2 13" xfId="42862"/>
    <cellStyle name="표준 4 2 2 3 2 14" xfId="42863"/>
    <cellStyle name="표준 4 2 2 3 2 15" xfId="42864"/>
    <cellStyle name="표준 4 2 2 3 2 16" xfId="42865"/>
    <cellStyle name="표준 4 2 2 3 2 17" xfId="42866"/>
    <cellStyle name="표준 4 2 2 3 2 17 2" xfId="42867"/>
    <cellStyle name="표준 4 2 2 3 2 17 3" xfId="42868"/>
    <cellStyle name="표준 4 2 2 3 2 18" xfId="42869"/>
    <cellStyle name="표준 4 2 2 3 2 19" xfId="42870"/>
    <cellStyle name="표준 4 2 2 3 2 2" xfId="42871"/>
    <cellStyle name="표준 4 2 2 3 2 2 10" xfId="42872"/>
    <cellStyle name="표준 4 2 2 3 2 2 11" xfId="42873"/>
    <cellStyle name="표준 4 2 2 3 2 2 12" xfId="42874"/>
    <cellStyle name="표준 4 2 2 3 2 2 13" xfId="42875"/>
    <cellStyle name="표준 4 2 2 3 2 2 14" xfId="42876"/>
    <cellStyle name="표준 4 2 2 3 2 2 15" xfId="42877"/>
    <cellStyle name="표준 4 2 2 3 2 2 16" xfId="42878"/>
    <cellStyle name="표준 4 2 2 3 2 2 16 2" xfId="42879"/>
    <cellStyle name="표준 4 2 2 3 2 2 16 3" xfId="42880"/>
    <cellStyle name="표준 4 2 2 3 2 2 17" xfId="42881"/>
    <cellStyle name="표준 4 2 2 3 2 2 18" xfId="42882"/>
    <cellStyle name="표준 4 2 2 3 2 2 19" xfId="42883"/>
    <cellStyle name="표준 4 2 2 3 2 2 2" xfId="42884"/>
    <cellStyle name="표준 4 2 2 3 2 2 2 2" xfId="42885"/>
    <cellStyle name="표준 4 2 2 3 2 2 2 2 2" xfId="42886"/>
    <cellStyle name="표준 4 2 2 3 2 2 2 2 2 2" xfId="42887"/>
    <cellStyle name="표준 4 2 2 3 2 2 2 2 2 3" xfId="42888"/>
    <cellStyle name="표준 4 2 2 3 2 2 2 2 3" xfId="42889"/>
    <cellStyle name="표준 4 2 2 3 2 2 2 2 4" xfId="42890"/>
    <cellStyle name="표준 4 2 2 3 2 2 2 2 5" xfId="42891"/>
    <cellStyle name="표준 4 2 2 3 2 2 2 3" xfId="42892"/>
    <cellStyle name="표준 4 2 2 3 2 2 2 3 2" xfId="42893"/>
    <cellStyle name="표준 4 2 2 3 2 2 2 3 3" xfId="42894"/>
    <cellStyle name="표준 4 2 2 3 2 2 2 4" xfId="42895"/>
    <cellStyle name="표준 4 2 2 3 2 2 2 5" xfId="42896"/>
    <cellStyle name="표준 4 2 2 3 2 2 2 6" xfId="42897"/>
    <cellStyle name="표준 4 2 2 3 2 2 3" xfId="42898"/>
    <cellStyle name="표준 4 2 2 3 2 2 3 2" xfId="42899"/>
    <cellStyle name="표준 4 2 2 3 2 2 3 2 2" xfId="42900"/>
    <cellStyle name="표준 4 2 2 3 2 2 3 2 2 2" xfId="42901"/>
    <cellStyle name="표준 4 2 2 3 2 2 3 2 2 3" xfId="42902"/>
    <cellStyle name="표준 4 2 2 3 2 2 3 2 3" xfId="42903"/>
    <cellStyle name="표준 4 2 2 3 2 2 3 2 4" xfId="42904"/>
    <cellStyle name="표준 4 2 2 3 2 2 3 2 5" xfId="42905"/>
    <cellStyle name="표준 4 2 2 3 2 2 3 3" xfId="42906"/>
    <cellStyle name="표준 4 2 2 3 2 2 4" xfId="42907"/>
    <cellStyle name="표준 4 2 2 3 2 2 4 2" xfId="42908"/>
    <cellStyle name="표준 4 2 2 3 2 2 4 2 2" xfId="42909"/>
    <cellStyle name="표준 4 2 2 3 2 2 4 2 2 2" xfId="42910"/>
    <cellStyle name="표준 4 2 2 3 2 2 4 2 2 3" xfId="42911"/>
    <cellStyle name="표준 4 2 2 3 2 2 4 2 3" xfId="42912"/>
    <cellStyle name="표준 4 2 2 3 2 2 4 2 4" xfId="42913"/>
    <cellStyle name="표준 4 2 2 3 2 2 4 2 5" xfId="42914"/>
    <cellStyle name="표준 4 2 2 3 2 2 4 3" xfId="42915"/>
    <cellStyle name="표준 4 2 2 3 2 2 5" xfId="42916"/>
    <cellStyle name="표준 4 2 2 3 2 2 6" xfId="42917"/>
    <cellStyle name="표준 4 2 2 3 2 2 7" xfId="42918"/>
    <cellStyle name="표준 4 2 2 3 2 2 8" xfId="42919"/>
    <cellStyle name="표준 4 2 2 3 2 2 9" xfId="42920"/>
    <cellStyle name="표준 4 2 2 3 2 20" xfId="42921"/>
    <cellStyle name="표준 4 2 2 3 2 3" xfId="42922"/>
    <cellStyle name="표준 4 2 2 3 2 3 2" xfId="42923"/>
    <cellStyle name="표준 4 2 2 3 2 3 2 2" xfId="42924"/>
    <cellStyle name="표준 4 2 2 3 2 3 2 2 2" xfId="42925"/>
    <cellStyle name="표준 4 2 2 3 2 3 2 2 3" xfId="42926"/>
    <cellStyle name="표준 4 2 2 3 2 3 2 3" xfId="42927"/>
    <cellStyle name="표준 4 2 2 3 2 3 2 4" xfId="42928"/>
    <cellStyle name="표준 4 2 2 3 2 3 2 5" xfId="42929"/>
    <cellStyle name="표준 4 2 2 3 2 3 3" xfId="42930"/>
    <cellStyle name="표준 4 2 2 3 2 3 3 2" xfId="42931"/>
    <cellStyle name="표준 4 2 2 3 2 3 3 3" xfId="42932"/>
    <cellStyle name="표준 4 2 2 3 2 3 4" xfId="42933"/>
    <cellStyle name="표준 4 2 2 3 2 3 5" xfId="42934"/>
    <cellStyle name="표준 4 2 2 3 2 3 6" xfId="42935"/>
    <cellStyle name="표준 4 2 2 3 2 4" xfId="42936"/>
    <cellStyle name="표준 4 2 2 3 2 4 2" xfId="42937"/>
    <cellStyle name="표준 4 2 2 3 2 4 2 2" xfId="42938"/>
    <cellStyle name="표준 4 2 2 3 2 4 2 2 2" xfId="42939"/>
    <cellStyle name="표준 4 2 2 3 2 4 2 2 3" xfId="42940"/>
    <cellStyle name="표준 4 2 2 3 2 4 2 3" xfId="42941"/>
    <cellStyle name="표준 4 2 2 3 2 4 2 4" xfId="42942"/>
    <cellStyle name="표준 4 2 2 3 2 4 2 5" xfId="42943"/>
    <cellStyle name="표준 4 2 2 3 2 4 3" xfId="42944"/>
    <cellStyle name="표준 4 2 2 3 2 5" xfId="42945"/>
    <cellStyle name="표준 4 2 2 3 2 5 2" xfId="42946"/>
    <cellStyle name="표준 4 2 2 3 2 5 2 2" xfId="42947"/>
    <cellStyle name="표준 4 2 2 3 2 5 2 2 2" xfId="42948"/>
    <cellStyle name="표준 4 2 2 3 2 5 2 2 3" xfId="42949"/>
    <cellStyle name="표준 4 2 2 3 2 5 2 3" xfId="42950"/>
    <cellStyle name="표준 4 2 2 3 2 5 2 4" xfId="42951"/>
    <cellStyle name="표준 4 2 2 3 2 5 2 5" xfId="42952"/>
    <cellStyle name="표준 4 2 2 3 2 5 3" xfId="42953"/>
    <cellStyle name="표준 4 2 2 3 2 6" xfId="42954"/>
    <cellStyle name="표준 4 2 2 3 2 7" xfId="42955"/>
    <cellStyle name="표준 4 2 2 3 2 8" xfId="42956"/>
    <cellStyle name="표준 4 2 2 3 2 9" xfId="42957"/>
    <cellStyle name="표준 4 2 2 3 20" xfId="42958"/>
    <cellStyle name="표준 4 2 2 3 21" xfId="42959"/>
    <cellStyle name="표준 4 2 2 3 22" xfId="42960"/>
    <cellStyle name="표준 4 2 2 3 3" xfId="42961"/>
    <cellStyle name="표준 4 2 2 3 3 10" xfId="42962"/>
    <cellStyle name="표준 4 2 2 3 3 11" xfId="42963"/>
    <cellStyle name="표준 4 2 2 3 3 12" xfId="42964"/>
    <cellStyle name="표준 4 2 2 3 3 13" xfId="42965"/>
    <cellStyle name="표준 4 2 2 3 3 14" xfId="42966"/>
    <cellStyle name="표준 4 2 2 3 3 15" xfId="42967"/>
    <cellStyle name="표준 4 2 2 3 3 16" xfId="42968"/>
    <cellStyle name="표준 4 2 2 3 3 17" xfId="42969"/>
    <cellStyle name="표준 4 2 2 3 3 17 2" xfId="42970"/>
    <cellStyle name="표준 4 2 2 3 3 17 3" xfId="42971"/>
    <cellStyle name="표준 4 2 2 3 3 18" xfId="42972"/>
    <cellStyle name="표준 4 2 2 3 3 19" xfId="42973"/>
    <cellStyle name="표준 4 2 2 3 3 2" xfId="42974"/>
    <cellStyle name="표준 4 2 2 3 3 2 10" xfId="42975"/>
    <cellStyle name="표준 4 2 2 3 3 2 11" xfId="42976"/>
    <cellStyle name="표준 4 2 2 3 3 2 12" xfId="42977"/>
    <cellStyle name="표준 4 2 2 3 3 2 13" xfId="42978"/>
    <cellStyle name="표준 4 2 2 3 3 2 14" xfId="42979"/>
    <cellStyle name="표준 4 2 2 3 3 2 15" xfId="42980"/>
    <cellStyle name="표준 4 2 2 3 3 2 16" xfId="42981"/>
    <cellStyle name="표준 4 2 2 3 3 2 16 2" xfId="42982"/>
    <cellStyle name="표준 4 2 2 3 3 2 16 3" xfId="42983"/>
    <cellStyle name="표준 4 2 2 3 3 2 17" xfId="42984"/>
    <cellStyle name="표준 4 2 2 3 3 2 18" xfId="42985"/>
    <cellStyle name="표준 4 2 2 3 3 2 19" xfId="42986"/>
    <cellStyle name="표준 4 2 2 3 3 2 2" xfId="42987"/>
    <cellStyle name="표준 4 2 2 3 3 2 2 2" xfId="42988"/>
    <cellStyle name="표준 4 2 2 3 3 2 2 2 2" xfId="42989"/>
    <cellStyle name="표준 4 2 2 3 3 2 2 2 2 2" xfId="42990"/>
    <cellStyle name="표준 4 2 2 3 3 2 2 2 2 3" xfId="42991"/>
    <cellStyle name="표준 4 2 2 3 3 2 2 2 3" xfId="42992"/>
    <cellStyle name="표준 4 2 2 3 3 2 2 2 4" xfId="42993"/>
    <cellStyle name="표준 4 2 2 3 3 2 2 2 5" xfId="42994"/>
    <cellStyle name="표준 4 2 2 3 3 2 2 3" xfId="42995"/>
    <cellStyle name="표준 4 2 2 3 3 2 2 3 2" xfId="42996"/>
    <cellStyle name="표준 4 2 2 3 3 2 2 3 3" xfId="42997"/>
    <cellStyle name="표준 4 2 2 3 3 2 2 4" xfId="42998"/>
    <cellStyle name="표준 4 2 2 3 3 2 2 5" xfId="42999"/>
    <cellStyle name="표준 4 2 2 3 3 2 2 6" xfId="43000"/>
    <cellStyle name="표준 4 2 2 3 3 2 3" xfId="43001"/>
    <cellStyle name="표준 4 2 2 3 3 2 3 2" xfId="43002"/>
    <cellStyle name="표준 4 2 2 3 3 2 3 2 2" xfId="43003"/>
    <cellStyle name="표준 4 2 2 3 3 2 3 2 2 2" xfId="43004"/>
    <cellStyle name="표준 4 2 2 3 3 2 3 2 2 3" xfId="43005"/>
    <cellStyle name="표준 4 2 2 3 3 2 3 2 3" xfId="43006"/>
    <cellStyle name="표준 4 2 2 3 3 2 3 2 4" xfId="43007"/>
    <cellStyle name="표준 4 2 2 3 3 2 3 2 5" xfId="43008"/>
    <cellStyle name="표준 4 2 2 3 3 2 3 3" xfId="43009"/>
    <cellStyle name="표준 4 2 2 3 3 2 4" xfId="43010"/>
    <cellStyle name="표준 4 2 2 3 3 2 4 2" xfId="43011"/>
    <cellStyle name="표준 4 2 2 3 3 2 4 2 2" xfId="43012"/>
    <cellStyle name="표준 4 2 2 3 3 2 4 2 2 2" xfId="43013"/>
    <cellStyle name="표준 4 2 2 3 3 2 4 2 2 3" xfId="43014"/>
    <cellStyle name="표준 4 2 2 3 3 2 4 2 3" xfId="43015"/>
    <cellStyle name="표준 4 2 2 3 3 2 4 2 4" xfId="43016"/>
    <cellStyle name="표준 4 2 2 3 3 2 4 2 5" xfId="43017"/>
    <cellStyle name="표준 4 2 2 3 3 2 4 3" xfId="43018"/>
    <cellStyle name="표준 4 2 2 3 3 2 5" xfId="43019"/>
    <cellStyle name="표준 4 2 2 3 3 2 6" xfId="43020"/>
    <cellStyle name="표준 4 2 2 3 3 2 7" xfId="43021"/>
    <cellStyle name="표준 4 2 2 3 3 2 8" xfId="43022"/>
    <cellStyle name="표준 4 2 2 3 3 2 9" xfId="43023"/>
    <cellStyle name="표준 4 2 2 3 3 20" xfId="43024"/>
    <cellStyle name="표준 4 2 2 3 3 3" xfId="43025"/>
    <cellStyle name="표준 4 2 2 3 3 3 2" xfId="43026"/>
    <cellStyle name="표준 4 2 2 3 3 3 2 2" xfId="43027"/>
    <cellStyle name="표준 4 2 2 3 3 3 2 2 2" xfId="43028"/>
    <cellStyle name="표준 4 2 2 3 3 3 2 2 3" xfId="43029"/>
    <cellStyle name="표준 4 2 2 3 3 3 2 3" xfId="43030"/>
    <cellStyle name="표준 4 2 2 3 3 3 2 4" xfId="43031"/>
    <cellStyle name="표준 4 2 2 3 3 3 2 5" xfId="43032"/>
    <cellStyle name="표준 4 2 2 3 3 3 3" xfId="43033"/>
    <cellStyle name="표준 4 2 2 3 3 3 3 2" xfId="43034"/>
    <cellStyle name="표준 4 2 2 3 3 3 3 3" xfId="43035"/>
    <cellStyle name="표준 4 2 2 3 3 3 4" xfId="43036"/>
    <cellStyle name="표준 4 2 2 3 3 3 5" xfId="43037"/>
    <cellStyle name="표준 4 2 2 3 3 3 6" xfId="43038"/>
    <cellStyle name="표준 4 2 2 3 3 4" xfId="43039"/>
    <cellStyle name="표준 4 2 2 3 3 4 2" xfId="43040"/>
    <cellStyle name="표준 4 2 2 3 3 4 2 2" xfId="43041"/>
    <cellStyle name="표준 4 2 2 3 3 4 2 2 2" xfId="43042"/>
    <cellStyle name="표준 4 2 2 3 3 4 2 2 3" xfId="43043"/>
    <cellStyle name="표준 4 2 2 3 3 4 2 3" xfId="43044"/>
    <cellStyle name="표준 4 2 2 3 3 4 2 4" xfId="43045"/>
    <cellStyle name="표준 4 2 2 3 3 4 2 5" xfId="43046"/>
    <cellStyle name="표준 4 2 2 3 3 4 3" xfId="43047"/>
    <cellStyle name="표준 4 2 2 3 3 5" xfId="43048"/>
    <cellStyle name="표준 4 2 2 3 3 5 2" xfId="43049"/>
    <cellStyle name="표준 4 2 2 3 3 5 2 2" xfId="43050"/>
    <cellStyle name="표준 4 2 2 3 3 5 2 2 2" xfId="43051"/>
    <cellStyle name="표준 4 2 2 3 3 5 2 2 3" xfId="43052"/>
    <cellStyle name="표준 4 2 2 3 3 5 2 3" xfId="43053"/>
    <cellStyle name="표준 4 2 2 3 3 5 2 4" xfId="43054"/>
    <cellStyle name="표준 4 2 2 3 3 5 2 5" xfId="43055"/>
    <cellStyle name="표준 4 2 2 3 3 5 3" xfId="43056"/>
    <cellStyle name="표준 4 2 2 3 3 6" xfId="43057"/>
    <cellStyle name="표준 4 2 2 3 3 7" xfId="43058"/>
    <cellStyle name="표준 4 2 2 3 3 8" xfId="43059"/>
    <cellStyle name="표준 4 2 2 3 3 9" xfId="43060"/>
    <cellStyle name="표준 4 2 2 3 4" xfId="43061"/>
    <cellStyle name="표준 4 2 2 3 4 10" xfId="43062"/>
    <cellStyle name="표준 4 2 2 3 4 11" xfId="43063"/>
    <cellStyle name="표준 4 2 2 3 4 12" xfId="43064"/>
    <cellStyle name="표준 4 2 2 3 4 13" xfId="43065"/>
    <cellStyle name="표준 4 2 2 3 4 14" xfId="43066"/>
    <cellStyle name="표준 4 2 2 3 4 15" xfId="43067"/>
    <cellStyle name="표준 4 2 2 3 4 16" xfId="43068"/>
    <cellStyle name="표준 4 2 2 3 4 16 2" xfId="43069"/>
    <cellStyle name="표준 4 2 2 3 4 16 3" xfId="43070"/>
    <cellStyle name="표준 4 2 2 3 4 17" xfId="43071"/>
    <cellStyle name="표준 4 2 2 3 4 18" xfId="43072"/>
    <cellStyle name="표준 4 2 2 3 4 19" xfId="43073"/>
    <cellStyle name="표준 4 2 2 3 4 2" xfId="43074"/>
    <cellStyle name="표준 4 2 2 3 4 2 2" xfId="43075"/>
    <cellStyle name="표준 4 2 2 3 4 2 2 2" xfId="43076"/>
    <cellStyle name="표준 4 2 2 3 4 2 2 2 2" xfId="43077"/>
    <cellStyle name="표준 4 2 2 3 4 2 2 2 3" xfId="43078"/>
    <cellStyle name="표준 4 2 2 3 4 2 2 3" xfId="43079"/>
    <cellStyle name="표준 4 2 2 3 4 2 2 4" xfId="43080"/>
    <cellStyle name="표준 4 2 2 3 4 2 2 5" xfId="43081"/>
    <cellStyle name="표준 4 2 2 3 4 2 3" xfId="43082"/>
    <cellStyle name="표준 4 2 2 3 4 2 3 2" xfId="43083"/>
    <cellStyle name="표준 4 2 2 3 4 2 3 3" xfId="43084"/>
    <cellStyle name="표준 4 2 2 3 4 2 4" xfId="43085"/>
    <cellStyle name="표준 4 2 2 3 4 2 5" xfId="43086"/>
    <cellStyle name="표준 4 2 2 3 4 2 6" xfId="43087"/>
    <cellStyle name="표준 4 2 2 3 4 3" xfId="43088"/>
    <cellStyle name="표준 4 2 2 3 4 3 2" xfId="43089"/>
    <cellStyle name="표준 4 2 2 3 4 3 2 2" xfId="43090"/>
    <cellStyle name="표준 4 2 2 3 4 3 2 2 2" xfId="43091"/>
    <cellStyle name="표준 4 2 2 3 4 3 2 2 3" xfId="43092"/>
    <cellStyle name="표준 4 2 2 3 4 3 2 3" xfId="43093"/>
    <cellStyle name="표준 4 2 2 3 4 3 2 4" xfId="43094"/>
    <cellStyle name="표준 4 2 2 3 4 3 2 5" xfId="43095"/>
    <cellStyle name="표준 4 2 2 3 4 3 3" xfId="43096"/>
    <cellStyle name="표준 4 2 2 3 4 4" xfId="43097"/>
    <cellStyle name="표준 4 2 2 3 4 4 2" xfId="43098"/>
    <cellStyle name="표준 4 2 2 3 4 4 2 2" xfId="43099"/>
    <cellStyle name="표준 4 2 2 3 4 4 2 2 2" xfId="43100"/>
    <cellStyle name="표준 4 2 2 3 4 4 2 2 3" xfId="43101"/>
    <cellStyle name="표준 4 2 2 3 4 4 2 3" xfId="43102"/>
    <cellStyle name="표준 4 2 2 3 4 4 2 4" xfId="43103"/>
    <cellStyle name="표준 4 2 2 3 4 4 2 5" xfId="43104"/>
    <cellStyle name="표준 4 2 2 3 4 4 3" xfId="43105"/>
    <cellStyle name="표준 4 2 2 3 4 5" xfId="43106"/>
    <cellStyle name="표준 4 2 2 3 4 6" xfId="43107"/>
    <cellStyle name="표준 4 2 2 3 4 7" xfId="43108"/>
    <cellStyle name="표준 4 2 2 3 4 8" xfId="43109"/>
    <cellStyle name="표준 4 2 2 3 4 9" xfId="43110"/>
    <cellStyle name="표준 4 2 2 3 5" xfId="43111"/>
    <cellStyle name="표준 4 2 2 3 5 2" xfId="43112"/>
    <cellStyle name="표준 4 2 2 3 5 2 2" xfId="43113"/>
    <cellStyle name="표준 4 2 2 3 5 2 2 2" xfId="43114"/>
    <cellStyle name="표준 4 2 2 3 5 2 2 3" xfId="43115"/>
    <cellStyle name="표준 4 2 2 3 5 2 3" xfId="43116"/>
    <cellStyle name="표준 4 2 2 3 5 2 4" xfId="43117"/>
    <cellStyle name="표준 4 2 2 3 5 2 5" xfId="43118"/>
    <cellStyle name="표준 4 2 2 3 5 3" xfId="43119"/>
    <cellStyle name="표준 4 2 2 3 5 3 2" xfId="43120"/>
    <cellStyle name="표준 4 2 2 3 5 3 3" xfId="43121"/>
    <cellStyle name="표준 4 2 2 3 5 4" xfId="43122"/>
    <cellStyle name="표준 4 2 2 3 5 5" xfId="43123"/>
    <cellStyle name="표준 4 2 2 3 5 6" xfId="43124"/>
    <cellStyle name="표준 4 2 2 3 6" xfId="43125"/>
    <cellStyle name="표준 4 2 2 3 6 2" xfId="43126"/>
    <cellStyle name="표준 4 2 2 3 6 2 2" xfId="43127"/>
    <cellStyle name="표준 4 2 2 3 6 2 2 2" xfId="43128"/>
    <cellStyle name="표준 4 2 2 3 6 2 2 3" xfId="43129"/>
    <cellStyle name="표준 4 2 2 3 6 2 3" xfId="43130"/>
    <cellStyle name="표준 4 2 2 3 6 2 4" xfId="43131"/>
    <cellStyle name="표준 4 2 2 3 6 2 5" xfId="43132"/>
    <cellStyle name="표준 4 2 2 3 6 3" xfId="43133"/>
    <cellStyle name="표준 4 2 2 3 7" xfId="43134"/>
    <cellStyle name="표준 4 2 2 3 7 2" xfId="43135"/>
    <cellStyle name="표준 4 2 2 3 7 2 2" xfId="43136"/>
    <cellStyle name="표준 4 2 2 3 7 2 2 2" xfId="43137"/>
    <cellStyle name="표준 4 2 2 3 7 2 2 3" xfId="43138"/>
    <cellStyle name="표준 4 2 2 3 7 2 3" xfId="43139"/>
    <cellStyle name="표준 4 2 2 3 7 2 4" xfId="43140"/>
    <cellStyle name="표준 4 2 2 3 7 2 5" xfId="43141"/>
    <cellStyle name="표준 4 2 2 3 7 3" xfId="43142"/>
    <cellStyle name="표준 4 2 2 3 8" xfId="43143"/>
    <cellStyle name="표준 4 2 2 3 9" xfId="43144"/>
    <cellStyle name="표준 4 2 2 4" xfId="43145"/>
    <cellStyle name="표준 4 2 2 4 10" xfId="43146"/>
    <cellStyle name="표준 4 2 2 4 11" xfId="43147"/>
    <cellStyle name="표준 4 2 2 4 12" xfId="43148"/>
    <cellStyle name="표준 4 2 2 4 13" xfId="43149"/>
    <cellStyle name="표준 4 2 2 4 14" xfId="43150"/>
    <cellStyle name="표준 4 2 2 4 15" xfId="43151"/>
    <cellStyle name="표준 4 2 2 4 16" xfId="43152"/>
    <cellStyle name="표준 4 2 2 4 17" xfId="43153"/>
    <cellStyle name="표준 4 2 2 4 17 2" xfId="43154"/>
    <cellStyle name="표준 4 2 2 4 17 3" xfId="43155"/>
    <cellStyle name="표준 4 2 2 4 18" xfId="43156"/>
    <cellStyle name="표준 4 2 2 4 19" xfId="43157"/>
    <cellStyle name="표준 4 2 2 4 2" xfId="43158"/>
    <cellStyle name="표준 4 2 2 4 2 10" xfId="43159"/>
    <cellStyle name="표준 4 2 2 4 2 11" xfId="43160"/>
    <cellStyle name="표준 4 2 2 4 2 12" xfId="43161"/>
    <cellStyle name="표준 4 2 2 4 2 13" xfId="43162"/>
    <cellStyle name="표준 4 2 2 4 2 14" xfId="43163"/>
    <cellStyle name="표준 4 2 2 4 2 15" xfId="43164"/>
    <cellStyle name="표준 4 2 2 4 2 16" xfId="43165"/>
    <cellStyle name="표준 4 2 2 4 2 16 2" xfId="43166"/>
    <cellStyle name="표준 4 2 2 4 2 16 3" xfId="43167"/>
    <cellStyle name="표준 4 2 2 4 2 17" xfId="43168"/>
    <cellStyle name="표준 4 2 2 4 2 18" xfId="43169"/>
    <cellStyle name="표준 4 2 2 4 2 19" xfId="43170"/>
    <cellStyle name="표준 4 2 2 4 2 2" xfId="43171"/>
    <cellStyle name="표준 4 2 2 4 2 2 2" xfId="43172"/>
    <cellStyle name="표준 4 2 2 4 2 2 2 2" xfId="43173"/>
    <cellStyle name="표준 4 2 2 4 2 2 2 2 2" xfId="43174"/>
    <cellStyle name="표준 4 2 2 4 2 2 2 2 3" xfId="43175"/>
    <cellStyle name="표준 4 2 2 4 2 2 2 3" xfId="43176"/>
    <cellStyle name="표준 4 2 2 4 2 2 2 4" xfId="43177"/>
    <cellStyle name="표준 4 2 2 4 2 2 2 5" xfId="43178"/>
    <cellStyle name="표준 4 2 2 4 2 2 3" xfId="43179"/>
    <cellStyle name="표준 4 2 2 4 2 2 3 2" xfId="43180"/>
    <cellStyle name="표준 4 2 2 4 2 2 3 3" xfId="43181"/>
    <cellStyle name="표준 4 2 2 4 2 2 4" xfId="43182"/>
    <cellStyle name="표준 4 2 2 4 2 2 5" xfId="43183"/>
    <cellStyle name="표준 4 2 2 4 2 2 6" xfId="43184"/>
    <cellStyle name="표준 4 2 2 4 2 3" xfId="43185"/>
    <cellStyle name="표준 4 2 2 4 2 3 2" xfId="43186"/>
    <cellStyle name="표준 4 2 2 4 2 3 2 2" xfId="43187"/>
    <cellStyle name="표준 4 2 2 4 2 3 2 2 2" xfId="43188"/>
    <cellStyle name="표준 4 2 2 4 2 3 2 2 3" xfId="43189"/>
    <cellStyle name="표준 4 2 2 4 2 3 2 3" xfId="43190"/>
    <cellStyle name="표준 4 2 2 4 2 3 2 4" xfId="43191"/>
    <cellStyle name="표준 4 2 2 4 2 3 2 5" xfId="43192"/>
    <cellStyle name="표준 4 2 2 4 2 3 3" xfId="43193"/>
    <cellStyle name="표준 4 2 2 4 2 4" xfId="43194"/>
    <cellStyle name="표준 4 2 2 4 2 4 2" xfId="43195"/>
    <cellStyle name="표준 4 2 2 4 2 4 2 2" xfId="43196"/>
    <cellStyle name="표준 4 2 2 4 2 4 2 2 2" xfId="43197"/>
    <cellStyle name="표준 4 2 2 4 2 4 2 2 3" xfId="43198"/>
    <cellStyle name="표준 4 2 2 4 2 4 2 3" xfId="43199"/>
    <cellStyle name="표준 4 2 2 4 2 4 2 4" xfId="43200"/>
    <cellStyle name="표준 4 2 2 4 2 4 2 5" xfId="43201"/>
    <cellStyle name="표준 4 2 2 4 2 4 3" xfId="43202"/>
    <cellStyle name="표준 4 2 2 4 2 5" xfId="43203"/>
    <cellStyle name="표준 4 2 2 4 2 6" xfId="43204"/>
    <cellStyle name="표준 4 2 2 4 2 7" xfId="43205"/>
    <cellStyle name="표준 4 2 2 4 2 8" xfId="43206"/>
    <cellStyle name="표준 4 2 2 4 2 9" xfId="43207"/>
    <cellStyle name="표준 4 2 2 4 20" xfId="43208"/>
    <cellStyle name="표준 4 2 2 4 3" xfId="43209"/>
    <cellStyle name="표준 4 2 2 4 3 2" xfId="43210"/>
    <cellStyle name="표준 4 2 2 4 3 2 2" xfId="43211"/>
    <cellStyle name="표준 4 2 2 4 3 2 2 2" xfId="43212"/>
    <cellStyle name="표준 4 2 2 4 3 2 2 3" xfId="43213"/>
    <cellStyle name="표준 4 2 2 4 3 2 3" xfId="43214"/>
    <cellStyle name="표준 4 2 2 4 3 2 4" xfId="43215"/>
    <cellStyle name="표준 4 2 2 4 3 2 5" xfId="43216"/>
    <cellStyle name="표준 4 2 2 4 3 3" xfId="43217"/>
    <cellStyle name="표준 4 2 2 4 3 3 2" xfId="43218"/>
    <cellStyle name="표준 4 2 2 4 3 3 3" xfId="43219"/>
    <cellStyle name="표준 4 2 2 4 3 4" xfId="43220"/>
    <cellStyle name="표준 4 2 2 4 3 5" xfId="43221"/>
    <cellStyle name="표준 4 2 2 4 3 6" xfId="43222"/>
    <cellStyle name="표준 4 2 2 4 4" xfId="43223"/>
    <cellStyle name="표준 4 2 2 4 4 2" xfId="43224"/>
    <cellStyle name="표준 4 2 2 4 4 2 2" xfId="43225"/>
    <cellStyle name="표준 4 2 2 4 4 2 2 2" xfId="43226"/>
    <cellStyle name="표준 4 2 2 4 4 2 2 3" xfId="43227"/>
    <cellStyle name="표준 4 2 2 4 4 2 3" xfId="43228"/>
    <cellStyle name="표준 4 2 2 4 4 2 4" xfId="43229"/>
    <cellStyle name="표준 4 2 2 4 4 2 5" xfId="43230"/>
    <cellStyle name="표준 4 2 2 4 4 3" xfId="43231"/>
    <cellStyle name="표준 4 2 2 4 5" xfId="43232"/>
    <cellStyle name="표준 4 2 2 4 5 2" xfId="43233"/>
    <cellStyle name="표준 4 2 2 4 5 2 2" xfId="43234"/>
    <cellStyle name="표준 4 2 2 4 5 2 2 2" xfId="43235"/>
    <cellStyle name="표준 4 2 2 4 5 2 2 3" xfId="43236"/>
    <cellStyle name="표준 4 2 2 4 5 2 3" xfId="43237"/>
    <cellStyle name="표준 4 2 2 4 5 2 4" xfId="43238"/>
    <cellStyle name="표준 4 2 2 4 5 2 5" xfId="43239"/>
    <cellStyle name="표준 4 2 2 4 5 3" xfId="43240"/>
    <cellStyle name="표준 4 2 2 4 6" xfId="43241"/>
    <cellStyle name="표준 4 2 2 4 7" xfId="43242"/>
    <cellStyle name="표준 4 2 2 4 8" xfId="43243"/>
    <cellStyle name="표준 4 2 2 4 9" xfId="43244"/>
    <cellStyle name="표준 4 2 2 5" xfId="43245"/>
    <cellStyle name="표준 4 2 2 5 10" xfId="43246"/>
    <cellStyle name="표준 4 2 2 5 11" xfId="43247"/>
    <cellStyle name="표준 4 2 2 5 12" xfId="43248"/>
    <cellStyle name="표준 4 2 2 5 13" xfId="43249"/>
    <cellStyle name="표준 4 2 2 5 14" xfId="43250"/>
    <cellStyle name="표준 4 2 2 5 15" xfId="43251"/>
    <cellStyle name="표준 4 2 2 5 16" xfId="43252"/>
    <cellStyle name="표준 4 2 2 5 17" xfId="43253"/>
    <cellStyle name="표준 4 2 2 5 17 2" xfId="43254"/>
    <cellStyle name="표준 4 2 2 5 17 3" xfId="43255"/>
    <cellStyle name="표준 4 2 2 5 18" xfId="43256"/>
    <cellStyle name="표준 4 2 2 5 19" xfId="43257"/>
    <cellStyle name="표준 4 2 2 5 2" xfId="43258"/>
    <cellStyle name="표준 4 2 2 5 2 10" xfId="43259"/>
    <cellStyle name="표준 4 2 2 5 2 11" xfId="43260"/>
    <cellStyle name="표준 4 2 2 5 2 12" xfId="43261"/>
    <cellStyle name="표준 4 2 2 5 2 13" xfId="43262"/>
    <cellStyle name="표준 4 2 2 5 2 14" xfId="43263"/>
    <cellStyle name="표준 4 2 2 5 2 15" xfId="43264"/>
    <cellStyle name="표준 4 2 2 5 2 16" xfId="43265"/>
    <cellStyle name="표준 4 2 2 5 2 16 2" xfId="43266"/>
    <cellStyle name="표준 4 2 2 5 2 16 3" xfId="43267"/>
    <cellStyle name="표준 4 2 2 5 2 17" xfId="43268"/>
    <cellStyle name="표준 4 2 2 5 2 18" xfId="43269"/>
    <cellStyle name="표준 4 2 2 5 2 19" xfId="43270"/>
    <cellStyle name="표준 4 2 2 5 2 2" xfId="43271"/>
    <cellStyle name="표준 4 2 2 5 2 2 2" xfId="43272"/>
    <cellStyle name="표준 4 2 2 5 2 2 2 2" xfId="43273"/>
    <cellStyle name="표준 4 2 2 5 2 2 2 2 2" xfId="43274"/>
    <cellStyle name="표준 4 2 2 5 2 2 2 2 3" xfId="43275"/>
    <cellStyle name="표준 4 2 2 5 2 2 2 3" xfId="43276"/>
    <cellStyle name="표준 4 2 2 5 2 2 2 4" xfId="43277"/>
    <cellStyle name="표준 4 2 2 5 2 2 2 5" xfId="43278"/>
    <cellStyle name="표준 4 2 2 5 2 2 3" xfId="43279"/>
    <cellStyle name="표준 4 2 2 5 2 2 3 2" xfId="43280"/>
    <cellStyle name="표준 4 2 2 5 2 2 3 3" xfId="43281"/>
    <cellStyle name="표준 4 2 2 5 2 2 4" xfId="43282"/>
    <cellStyle name="표준 4 2 2 5 2 2 5" xfId="43283"/>
    <cellStyle name="표준 4 2 2 5 2 2 6" xfId="43284"/>
    <cellStyle name="표준 4 2 2 5 2 3" xfId="43285"/>
    <cellStyle name="표준 4 2 2 5 2 3 2" xfId="43286"/>
    <cellStyle name="표준 4 2 2 5 2 3 2 2" xfId="43287"/>
    <cellStyle name="표준 4 2 2 5 2 3 2 2 2" xfId="43288"/>
    <cellStyle name="표준 4 2 2 5 2 3 2 2 3" xfId="43289"/>
    <cellStyle name="표준 4 2 2 5 2 3 2 3" xfId="43290"/>
    <cellStyle name="표준 4 2 2 5 2 3 2 4" xfId="43291"/>
    <cellStyle name="표준 4 2 2 5 2 3 2 5" xfId="43292"/>
    <cellStyle name="표준 4 2 2 5 2 3 3" xfId="43293"/>
    <cellStyle name="표준 4 2 2 5 2 4" xfId="43294"/>
    <cellStyle name="표준 4 2 2 5 2 4 2" xfId="43295"/>
    <cellStyle name="표준 4 2 2 5 2 4 2 2" xfId="43296"/>
    <cellStyle name="표준 4 2 2 5 2 4 2 2 2" xfId="43297"/>
    <cellStyle name="표준 4 2 2 5 2 4 2 2 3" xfId="43298"/>
    <cellStyle name="표준 4 2 2 5 2 4 2 3" xfId="43299"/>
    <cellStyle name="표준 4 2 2 5 2 4 2 4" xfId="43300"/>
    <cellStyle name="표준 4 2 2 5 2 4 2 5" xfId="43301"/>
    <cellStyle name="표준 4 2 2 5 2 4 3" xfId="43302"/>
    <cellStyle name="표준 4 2 2 5 2 5" xfId="43303"/>
    <cellStyle name="표준 4 2 2 5 2 6" xfId="43304"/>
    <cellStyle name="표준 4 2 2 5 2 7" xfId="43305"/>
    <cellStyle name="표준 4 2 2 5 2 8" xfId="43306"/>
    <cellStyle name="표준 4 2 2 5 2 9" xfId="43307"/>
    <cellStyle name="표준 4 2 2 5 20" xfId="43308"/>
    <cellStyle name="표준 4 2 2 5 3" xfId="43309"/>
    <cellStyle name="표준 4 2 2 5 3 2" xfId="43310"/>
    <cellStyle name="표준 4 2 2 5 3 2 2" xfId="43311"/>
    <cellStyle name="표준 4 2 2 5 3 2 2 2" xfId="43312"/>
    <cellStyle name="표준 4 2 2 5 3 2 2 3" xfId="43313"/>
    <cellStyle name="표준 4 2 2 5 3 2 3" xfId="43314"/>
    <cellStyle name="표준 4 2 2 5 3 2 4" xfId="43315"/>
    <cellStyle name="표준 4 2 2 5 3 2 5" xfId="43316"/>
    <cellStyle name="표준 4 2 2 5 3 3" xfId="43317"/>
    <cellStyle name="표준 4 2 2 5 3 3 2" xfId="43318"/>
    <cellStyle name="표준 4 2 2 5 3 3 3" xfId="43319"/>
    <cellStyle name="표준 4 2 2 5 3 4" xfId="43320"/>
    <cellStyle name="표준 4 2 2 5 3 5" xfId="43321"/>
    <cellStyle name="표준 4 2 2 5 3 6" xfId="43322"/>
    <cellStyle name="표준 4 2 2 5 4" xfId="43323"/>
    <cellStyle name="표준 4 2 2 5 4 2" xfId="43324"/>
    <cellStyle name="표준 4 2 2 5 4 2 2" xfId="43325"/>
    <cellStyle name="표준 4 2 2 5 4 2 2 2" xfId="43326"/>
    <cellStyle name="표준 4 2 2 5 4 2 2 3" xfId="43327"/>
    <cellStyle name="표준 4 2 2 5 4 2 3" xfId="43328"/>
    <cellStyle name="표준 4 2 2 5 4 2 4" xfId="43329"/>
    <cellStyle name="표준 4 2 2 5 4 2 5" xfId="43330"/>
    <cellStyle name="표준 4 2 2 5 4 3" xfId="43331"/>
    <cellStyle name="표준 4 2 2 5 5" xfId="43332"/>
    <cellStyle name="표준 4 2 2 5 5 2" xfId="43333"/>
    <cellStyle name="표준 4 2 2 5 5 2 2" xfId="43334"/>
    <cellStyle name="표준 4 2 2 5 5 2 2 2" xfId="43335"/>
    <cellStyle name="표준 4 2 2 5 5 2 2 3" xfId="43336"/>
    <cellStyle name="표준 4 2 2 5 5 2 3" xfId="43337"/>
    <cellStyle name="표준 4 2 2 5 5 2 4" xfId="43338"/>
    <cellStyle name="표준 4 2 2 5 5 2 5" xfId="43339"/>
    <cellStyle name="표준 4 2 2 5 5 3" xfId="43340"/>
    <cellStyle name="표준 4 2 2 5 6" xfId="43341"/>
    <cellStyle name="표준 4 2 2 5 7" xfId="43342"/>
    <cellStyle name="표준 4 2 2 5 8" xfId="43343"/>
    <cellStyle name="표준 4 2 2 5 9" xfId="43344"/>
    <cellStyle name="표준 4 2 2 6" xfId="43345"/>
    <cellStyle name="표준 4 2 2 6 10" xfId="43346"/>
    <cellStyle name="표준 4 2 2 6 11" xfId="43347"/>
    <cellStyle name="표준 4 2 2 6 12" xfId="43348"/>
    <cellStyle name="표준 4 2 2 6 13" xfId="43349"/>
    <cellStyle name="표준 4 2 2 6 14" xfId="43350"/>
    <cellStyle name="표준 4 2 2 6 15" xfId="43351"/>
    <cellStyle name="표준 4 2 2 6 16" xfId="43352"/>
    <cellStyle name="표준 4 2 2 6 16 2" xfId="43353"/>
    <cellStyle name="표준 4 2 2 6 16 3" xfId="43354"/>
    <cellStyle name="표준 4 2 2 6 17" xfId="43355"/>
    <cellStyle name="표준 4 2 2 6 18" xfId="43356"/>
    <cellStyle name="표준 4 2 2 6 19" xfId="43357"/>
    <cellStyle name="표준 4 2 2 6 2" xfId="43358"/>
    <cellStyle name="표준 4 2 2 6 2 2" xfId="43359"/>
    <cellStyle name="표준 4 2 2 6 2 2 2" xfId="43360"/>
    <cellStyle name="표준 4 2 2 6 2 2 2 2" xfId="43361"/>
    <cellStyle name="표준 4 2 2 6 2 2 2 3" xfId="43362"/>
    <cellStyle name="표준 4 2 2 6 2 2 3" xfId="43363"/>
    <cellStyle name="표준 4 2 2 6 2 2 4" xfId="43364"/>
    <cellStyle name="표준 4 2 2 6 2 2 5" xfId="43365"/>
    <cellStyle name="표준 4 2 2 6 2 3" xfId="43366"/>
    <cellStyle name="표준 4 2 2 6 2 3 2" xfId="43367"/>
    <cellStyle name="표준 4 2 2 6 2 3 3" xfId="43368"/>
    <cellStyle name="표준 4 2 2 6 2 4" xfId="43369"/>
    <cellStyle name="표준 4 2 2 6 2 5" xfId="43370"/>
    <cellStyle name="표준 4 2 2 6 2 6" xfId="43371"/>
    <cellStyle name="표준 4 2 2 6 3" xfId="43372"/>
    <cellStyle name="표준 4 2 2 6 3 2" xfId="43373"/>
    <cellStyle name="표준 4 2 2 6 3 2 2" xfId="43374"/>
    <cellStyle name="표준 4 2 2 6 3 2 2 2" xfId="43375"/>
    <cellStyle name="표준 4 2 2 6 3 2 2 3" xfId="43376"/>
    <cellStyle name="표준 4 2 2 6 3 2 3" xfId="43377"/>
    <cellStyle name="표준 4 2 2 6 3 2 4" xfId="43378"/>
    <cellStyle name="표준 4 2 2 6 3 2 5" xfId="43379"/>
    <cellStyle name="표준 4 2 2 6 3 3" xfId="43380"/>
    <cellStyle name="표준 4 2 2 6 4" xfId="43381"/>
    <cellStyle name="표준 4 2 2 6 4 2" xfId="43382"/>
    <cellStyle name="표준 4 2 2 6 4 2 2" xfId="43383"/>
    <cellStyle name="표준 4 2 2 6 4 2 2 2" xfId="43384"/>
    <cellStyle name="표준 4 2 2 6 4 2 2 3" xfId="43385"/>
    <cellStyle name="표준 4 2 2 6 4 2 3" xfId="43386"/>
    <cellStyle name="표준 4 2 2 6 4 2 4" xfId="43387"/>
    <cellStyle name="표준 4 2 2 6 4 2 5" xfId="43388"/>
    <cellStyle name="표준 4 2 2 6 4 3" xfId="43389"/>
    <cellStyle name="표준 4 2 2 6 5" xfId="43390"/>
    <cellStyle name="표준 4 2 2 6 6" xfId="43391"/>
    <cellStyle name="표준 4 2 2 6 7" xfId="43392"/>
    <cellStyle name="표준 4 2 2 6 8" xfId="43393"/>
    <cellStyle name="표준 4 2 2 6 9" xfId="43394"/>
    <cellStyle name="표준 4 2 2 7" xfId="43395"/>
    <cellStyle name="표준 4 2 2 7 2" xfId="43396"/>
    <cellStyle name="표준 4 2 2 7 2 2" xfId="43397"/>
    <cellStyle name="표준 4 2 2 7 2 2 2" xfId="43398"/>
    <cellStyle name="표준 4 2 2 7 2 2 3" xfId="43399"/>
    <cellStyle name="표준 4 2 2 7 2 3" xfId="43400"/>
    <cellStyle name="표준 4 2 2 7 2 4" xfId="43401"/>
    <cellStyle name="표준 4 2 2 7 2 5" xfId="43402"/>
    <cellStyle name="표준 4 2 2 7 3" xfId="43403"/>
    <cellStyle name="표준 4 2 2 7 3 2" xfId="43404"/>
    <cellStyle name="표준 4 2 2 7 3 3" xfId="43405"/>
    <cellStyle name="표준 4 2 2 7 4" xfId="43406"/>
    <cellStyle name="표준 4 2 2 7 5" xfId="43407"/>
    <cellStyle name="표준 4 2 2 7 6" xfId="43408"/>
    <cellStyle name="표준 4 2 2 8" xfId="43409"/>
    <cellStyle name="표준 4 2 2 8 2" xfId="43410"/>
    <cellStyle name="표준 4 2 2 8 2 2" xfId="43411"/>
    <cellStyle name="표준 4 2 2 8 2 2 2" xfId="43412"/>
    <cellStyle name="표준 4 2 2 8 2 2 3" xfId="43413"/>
    <cellStyle name="표준 4 2 2 8 2 3" xfId="43414"/>
    <cellStyle name="표준 4 2 2 8 2 4" xfId="43415"/>
    <cellStyle name="표준 4 2 2 8 2 5" xfId="43416"/>
    <cellStyle name="표준 4 2 2 8 3" xfId="43417"/>
    <cellStyle name="표준 4 2 2 9" xfId="43418"/>
    <cellStyle name="표준 4 2 2 9 2" xfId="43419"/>
    <cellStyle name="표준 4 2 2 9 2 2" xfId="43420"/>
    <cellStyle name="표준 4 2 2 9 2 2 2" xfId="43421"/>
    <cellStyle name="표준 4 2 2 9 2 2 3" xfId="43422"/>
    <cellStyle name="표준 4 2 2 9 2 3" xfId="43423"/>
    <cellStyle name="표준 4 2 2 9 2 4" xfId="43424"/>
    <cellStyle name="표준 4 2 2 9 2 5" xfId="43425"/>
    <cellStyle name="표준 4 2 2 9 3" xfId="43426"/>
    <cellStyle name="표준 4 2 20" xfId="43427"/>
    <cellStyle name="표준 4 2 21" xfId="43428"/>
    <cellStyle name="표준 4 2 22" xfId="43429"/>
    <cellStyle name="표준 4 2 22 2" xfId="43430"/>
    <cellStyle name="표준 4 2 22 3" xfId="43431"/>
    <cellStyle name="표준 4 2 23" xfId="43432"/>
    <cellStyle name="표준 4 2 24" xfId="43433"/>
    <cellStyle name="표준 4 2 25" xfId="43434"/>
    <cellStyle name="표준 4 2 3" xfId="43435"/>
    <cellStyle name="표준 4 2 3 10" xfId="43436"/>
    <cellStyle name="표준 4 2 3 11" xfId="43437"/>
    <cellStyle name="표준 4 2 3 12" xfId="43438"/>
    <cellStyle name="표준 4 2 3 13" xfId="43439"/>
    <cellStyle name="표준 4 2 3 14" xfId="43440"/>
    <cellStyle name="표준 4 2 3 15" xfId="43441"/>
    <cellStyle name="표준 4 2 3 16" xfId="43442"/>
    <cellStyle name="표준 4 2 3 17" xfId="43443"/>
    <cellStyle name="표준 4 2 3 18" xfId="43444"/>
    <cellStyle name="표준 4 2 3 19" xfId="43445"/>
    <cellStyle name="표준 4 2 3 2" xfId="43446"/>
    <cellStyle name="표준 4 2 3 2 10" xfId="43447"/>
    <cellStyle name="표준 4 2 3 2 11" xfId="43448"/>
    <cellStyle name="표준 4 2 3 2 12" xfId="43449"/>
    <cellStyle name="표준 4 2 3 2 13" xfId="43450"/>
    <cellStyle name="표준 4 2 3 2 14" xfId="43451"/>
    <cellStyle name="표준 4 2 3 2 15" xfId="43452"/>
    <cellStyle name="표준 4 2 3 2 16" xfId="43453"/>
    <cellStyle name="표준 4 2 3 2 17" xfId="43454"/>
    <cellStyle name="표준 4 2 3 2 18" xfId="43455"/>
    <cellStyle name="표준 4 2 3 2 19" xfId="43456"/>
    <cellStyle name="표준 4 2 3 2 19 2" xfId="43457"/>
    <cellStyle name="표준 4 2 3 2 19 3" xfId="43458"/>
    <cellStyle name="표준 4 2 3 2 2" xfId="43459"/>
    <cellStyle name="표준 4 2 3 2 2 10" xfId="43460"/>
    <cellStyle name="표준 4 2 3 2 2 11" xfId="43461"/>
    <cellStyle name="표준 4 2 3 2 2 12" xfId="43462"/>
    <cellStyle name="표준 4 2 3 2 2 13" xfId="43463"/>
    <cellStyle name="표준 4 2 3 2 2 14" xfId="43464"/>
    <cellStyle name="표준 4 2 3 2 2 15" xfId="43465"/>
    <cellStyle name="표준 4 2 3 2 2 16" xfId="43466"/>
    <cellStyle name="표준 4 2 3 2 2 17" xfId="43467"/>
    <cellStyle name="표준 4 2 3 2 2 17 2" xfId="43468"/>
    <cellStyle name="표준 4 2 3 2 2 17 3" xfId="43469"/>
    <cellStyle name="표준 4 2 3 2 2 18" xfId="43470"/>
    <cellStyle name="표준 4 2 3 2 2 19" xfId="43471"/>
    <cellStyle name="표준 4 2 3 2 2 2" xfId="43472"/>
    <cellStyle name="표준 4 2 3 2 2 2 10" xfId="43473"/>
    <cellStyle name="표준 4 2 3 2 2 2 11" xfId="43474"/>
    <cellStyle name="표준 4 2 3 2 2 2 12" xfId="43475"/>
    <cellStyle name="표준 4 2 3 2 2 2 13" xfId="43476"/>
    <cellStyle name="표준 4 2 3 2 2 2 14" xfId="43477"/>
    <cellStyle name="표준 4 2 3 2 2 2 15" xfId="43478"/>
    <cellStyle name="표준 4 2 3 2 2 2 16" xfId="43479"/>
    <cellStyle name="표준 4 2 3 2 2 2 16 2" xfId="43480"/>
    <cellStyle name="표준 4 2 3 2 2 2 16 3" xfId="43481"/>
    <cellStyle name="표준 4 2 3 2 2 2 17" xfId="43482"/>
    <cellStyle name="표준 4 2 3 2 2 2 18" xfId="43483"/>
    <cellStyle name="표준 4 2 3 2 2 2 19" xfId="43484"/>
    <cellStyle name="표준 4 2 3 2 2 2 2" xfId="43485"/>
    <cellStyle name="표준 4 2 3 2 2 2 2 2" xfId="43486"/>
    <cellStyle name="표준 4 2 3 2 2 2 2 2 2" xfId="43487"/>
    <cellStyle name="표준 4 2 3 2 2 2 2 2 2 2" xfId="43488"/>
    <cellStyle name="표준 4 2 3 2 2 2 2 2 2 3" xfId="43489"/>
    <cellStyle name="표준 4 2 3 2 2 2 2 2 3" xfId="43490"/>
    <cellStyle name="표준 4 2 3 2 2 2 2 2 4" xfId="43491"/>
    <cellStyle name="표준 4 2 3 2 2 2 2 2 5" xfId="43492"/>
    <cellStyle name="표준 4 2 3 2 2 2 2 3" xfId="43493"/>
    <cellStyle name="표준 4 2 3 2 2 2 2 3 2" xfId="43494"/>
    <cellStyle name="표준 4 2 3 2 2 2 2 3 3" xfId="43495"/>
    <cellStyle name="표준 4 2 3 2 2 2 2 4" xfId="43496"/>
    <cellStyle name="표준 4 2 3 2 2 2 2 5" xfId="43497"/>
    <cellStyle name="표준 4 2 3 2 2 2 2 6" xfId="43498"/>
    <cellStyle name="표준 4 2 3 2 2 2 3" xfId="43499"/>
    <cellStyle name="표준 4 2 3 2 2 2 3 2" xfId="43500"/>
    <cellStyle name="표준 4 2 3 2 2 2 3 2 2" xfId="43501"/>
    <cellStyle name="표준 4 2 3 2 2 2 3 2 2 2" xfId="43502"/>
    <cellStyle name="표준 4 2 3 2 2 2 3 2 2 3" xfId="43503"/>
    <cellStyle name="표준 4 2 3 2 2 2 3 2 3" xfId="43504"/>
    <cellStyle name="표준 4 2 3 2 2 2 3 2 4" xfId="43505"/>
    <cellStyle name="표준 4 2 3 2 2 2 3 2 5" xfId="43506"/>
    <cellStyle name="표준 4 2 3 2 2 2 3 3" xfId="43507"/>
    <cellStyle name="표준 4 2 3 2 2 2 4" xfId="43508"/>
    <cellStyle name="표준 4 2 3 2 2 2 4 2" xfId="43509"/>
    <cellStyle name="표준 4 2 3 2 2 2 4 2 2" xfId="43510"/>
    <cellStyle name="표준 4 2 3 2 2 2 4 2 2 2" xfId="43511"/>
    <cellStyle name="표준 4 2 3 2 2 2 4 2 2 3" xfId="43512"/>
    <cellStyle name="표준 4 2 3 2 2 2 4 2 3" xfId="43513"/>
    <cellStyle name="표준 4 2 3 2 2 2 4 2 4" xfId="43514"/>
    <cellStyle name="표준 4 2 3 2 2 2 4 2 5" xfId="43515"/>
    <cellStyle name="표준 4 2 3 2 2 2 4 3" xfId="43516"/>
    <cellStyle name="표준 4 2 3 2 2 2 5" xfId="43517"/>
    <cellStyle name="표준 4 2 3 2 2 2 6" xfId="43518"/>
    <cellStyle name="표준 4 2 3 2 2 2 7" xfId="43519"/>
    <cellStyle name="표준 4 2 3 2 2 2 8" xfId="43520"/>
    <cellStyle name="표준 4 2 3 2 2 2 9" xfId="43521"/>
    <cellStyle name="표준 4 2 3 2 2 20" xfId="43522"/>
    <cellStyle name="표준 4 2 3 2 2 3" xfId="43523"/>
    <cellStyle name="표준 4 2 3 2 2 3 2" xfId="43524"/>
    <cellStyle name="표준 4 2 3 2 2 3 2 2" xfId="43525"/>
    <cellStyle name="표준 4 2 3 2 2 3 2 2 2" xfId="43526"/>
    <cellStyle name="표준 4 2 3 2 2 3 2 2 3" xfId="43527"/>
    <cellStyle name="표준 4 2 3 2 2 3 2 3" xfId="43528"/>
    <cellStyle name="표준 4 2 3 2 2 3 2 4" xfId="43529"/>
    <cellStyle name="표준 4 2 3 2 2 3 2 5" xfId="43530"/>
    <cellStyle name="표준 4 2 3 2 2 3 3" xfId="43531"/>
    <cellStyle name="표준 4 2 3 2 2 3 3 2" xfId="43532"/>
    <cellStyle name="표준 4 2 3 2 2 3 3 3" xfId="43533"/>
    <cellStyle name="표준 4 2 3 2 2 3 4" xfId="43534"/>
    <cellStyle name="표준 4 2 3 2 2 3 5" xfId="43535"/>
    <cellStyle name="표준 4 2 3 2 2 3 6" xfId="43536"/>
    <cellStyle name="표준 4 2 3 2 2 4" xfId="43537"/>
    <cellStyle name="표준 4 2 3 2 2 4 2" xfId="43538"/>
    <cellStyle name="표준 4 2 3 2 2 4 2 2" xfId="43539"/>
    <cellStyle name="표준 4 2 3 2 2 4 2 2 2" xfId="43540"/>
    <cellStyle name="표준 4 2 3 2 2 4 2 2 3" xfId="43541"/>
    <cellStyle name="표준 4 2 3 2 2 4 2 3" xfId="43542"/>
    <cellStyle name="표준 4 2 3 2 2 4 2 4" xfId="43543"/>
    <cellStyle name="표준 4 2 3 2 2 4 2 5" xfId="43544"/>
    <cellStyle name="표준 4 2 3 2 2 4 3" xfId="43545"/>
    <cellStyle name="표준 4 2 3 2 2 5" xfId="43546"/>
    <cellStyle name="표준 4 2 3 2 2 5 2" xfId="43547"/>
    <cellStyle name="표준 4 2 3 2 2 5 2 2" xfId="43548"/>
    <cellStyle name="표준 4 2 3 2 2 5 2 2 2" xfId="43549"/>
    <cellStyle name="표준 4 2 3 2 2 5 2 2 3" xfId="43550"/>
    <cellStyle name="표준 4 2 3 2 2 5 2 3" xfId="43551"/>
    <cellStyle name="표준 4 2 3 2 2 5 2 4" xfId="43552"/>
    <cellStyle name="표준 4 2 3 2 2 5 2 5" xfId="43553"/>
    <cellStyle name="표준 4 2 3 2 2 5 3" xfId="43554"/>
    <cellStyle name="표준 4 2 3 2 2 6" xfId="43555"/>
    <cellStyle name="표준 4 2 3 2 2 7" xfId="43556"/>
    <cellStyle name="표준 4 2 3 2 2 8" xfId="43557"/>
    <cellStyle name="표준 4 2 3 2 2 9" xfId="43558"/>
    <cellStyle name="표준 4 2 3 2 20" xfId="43559"/>
    <cellStyle name="표준 4 2 3 2 21" xfId="43560"/>
    <cellStyle name="표준 4 2 3 2 22" xfId="43561"/>
    <cellStyle name="표준 4 2 3 2 3" xfId="43562"/>
    <cellStyle name="표준 4 2 3 2 3 10" xfId="43563"/>
    <cellStyle name="표준 4 2 3 2 3 11" xfId="43564"/>
    <cellStyle name="표준 4 2 3 2 3 12" xfId="43565"/>
    <cellStyle name="표준 4 2 3 2 3 13" xfId="43566"/>
    <cellStyle name="표준 4 2 3 2 3 14" xfId="43567"/>
    <cellStyle name="표준 4 2 3 2 3 15" xfId="43568"/>
    <cellStyle name="표준 4 2 3 2 3 16" xfId="43569"/>
    <cellStyle name="표준 4 2 3 2 3 17" xfId="43570"/>
    <cellStyle name="표준 4 2 3 2 3 17 2" xfId="43571"/>
    <cellStyle name="표준 4 2 3 2 3 17 3" xfId="43572"/>
    <cellStyle name="표준 4 2 3 2 3 18" xfId="43573"/>
    <cellStyle name="표준 4 2 3 2 3 19" xfId="43574"/>
    <cellStyle name="표준 4 2 3 2 3 2" xfId="43575"/>
    <cellStyle name="표준 4 2 3 2 3 2 10" xfId="43576"/>
    <cellStyle name="표준 4 2 3 2 3 2 11" xfId="43577"/>
    <cellStyle name="표준 4 2 3 2 3 2 12" xfId="43578"/>
    <cellStyle name="표준 4 2 3 2 3 2 13" xfId="43579"/>
    <cellStyle name="표준 4 2 3 2 3 2 14" xfId="43580"/>
    <cellStyle name="표준 4 2 3 2 3 2 15" xfId="43581"/>
    <cellStyle name="표준 4 2 3 2 3 2 16" xfId="43582"/>
    <cellStyle name="표준 4 2 3 2 3 2 16 2" xfId="43583"/>
    <cellStyle name="표준 4 2 3 2 3 2 16 3" xfId="43584"/>
    <cellStyle name="표준 4 2 3 2 3 2 17" xfId="43585"/>
    <cellStyle name="표준 4 2 3 2 3 2 18" xfId="43586"/>
    <cellStyle name="표준 4 2 3 2 3 2 19" xfId="43587"/>
    <cellStyle name="표준 4 2 3 2 3 2 2" xfId="43588"/>
    <cellStyle name="표준 4 2 3 2 3 2 2 2" xfId="43589"/>
    <cellStyle name="표준 4 2 3 2 3 2 2 2 2" xfId="43590"/>
    <cellStyle name="표준 4 2 3 2 3 2 2 2 2 2" xfId="43591"/>
    <cellStyle name="표준 4 2 3 2 3 2 2 2 2 3" xfId="43592"/>
    <cellStyle name="표준 4 2 3 2 3 2 2 2 3" xfId="43593"/>
    <cellStyle name="표준 4 2 3 2 3 2 2 2 4" xfId="43594"/>
    <cellStyle name="표준 4 2 3 2 3 2 2 2 5" xfId="43595"/>
    <cellStyle name="표준 4 2 3 2 3 2 2 3" xfId="43596"/>
    <cellStyle name="표준 4 2 3 2 3 2 2 3 2" xfId="43597"/>
    <cellStyle name="표준 4 2 3 2 3 2 2 3 3" xfId="43598"/>
    <cellStyle name="표준 4 2 3 2 3 2 2 4" xfId="43599"/>
    <cellStyle name="표준 4 2 3 2 3 2 2 5" xfId="43600"/>
    <cellStyle name="표준 4 2 3 2 3 2 2 6" xfId="43601"/>
    <cellStyle name="표준 4 2 3 2 3 2 3" xfId="43602"/>
    <cellStyle name="표준 4 2 3 2 3 2 3 2" xfId="43603"/>
    <cellStyle name="표준 4 2 3 2 3 2 3 2 2" xfId="43604"/>
    <cellStyle name="표준 4 2 3 2 3 2 3 2 2 2" xfId="43605"/>
    <cellStyle name="표준 4 2 3 2 3 2 3 2 2 3" xfId="43606"/>
    <cellStyle name="표준 4 2 3 2 3 2 3 2 3" xfId="43607"/>
    <cellStyle name="표준 4 2 3 2 3 2 3 2 4" xfId="43608"/>
    <cellStyle name="표준 4 2 3 2 3 2 3 2 5" xfId="43609"/>
    <cellStyle name="표준 4 2 3 2 3 2 3 3" xfId="43610"/>
    <cellStyle name="표준 4 2 3 2 3 2 4" xfId="43611"/>
    <cellStyle name="표준 4 2 3 2 3 2 4 2" xfId="43612"/>
    <cellStyle name="표준 4 2 3 2 3 2 4 2 2" xfId="43613"/>
    <cellStyle name="표준 4 2 3 2 3 2 4 2 2 2" xfId="43614"/>
    <cellStyle name="표준 4 2 3 2 3 2 4 2 2 3" xfId="43615"/>
    <cellStyle name="표준 4 2 3 2 3 2 4 2 3" xfId="43616"/>
    <cellStyle name="표준 4 2 3 2 3 2 4 2 4" xfId="43617"/>
    <cellStyle name="표준 4 2 3 2 3 2 4 2 5" xfId="43618"/>
    <cellStyle name="표준 4 2 3 2 3 2 4 3" xfId="43619"/>
    <cellStyle name="표준 4 2 3 2 3 2 5" xfId="43620"/>
    <cellStyle name="표준 4 2 3 2 3 2 6" xfId="43621"/>
    <cellStyle name="표준 4 2 3 2 3 2 7" xfId="43622"/>
    <cellStyle name="표준 4 2 3 2 3 2 8" xfId="43623"/>
    <cellStyle name="표준 4 2 3 2 3 2 9" xfId="43624"/>
    <cellStyle name="표준 4 2 3 2 3 20" xfId="43625"/>
    <cellStyle name="표준 4 2 3 2 3 3" xfId="43626"/>
    <cellStyle name="표준 4 2 3 2 3 3 2" xfId="43627"/>
    <cellStyle name="표준 4 2 3 2 3 3 2 2" xfId="43628"/>
    <cellStyle name="표준 4 2 3 2 3 3 2 2 2" xfId="43629"/>
    <cellStyle name="표준 4 2 3 2 3 3 2 2 3" xfId="43630"/>
    <cellStyle name="표준 4 2 3 2 3 3 2 3" xfId="43631"/>
    <cellStyle name="표준 4 2 3 2 3 3 2 4" xfId="43632"/>
    <cellStyle name="표준 4 2 3 2 3 3 2 5" xfId="43633"/>
    <cellStyle name="표준 4 2 3 2 3 3 3" xfId="43634"/>
    <cellStyle name="표준 4 2 3 2 3 3 3 2" xfId="43635"/>
    <cellStyle name="표준 4 2 3 2 3 3 3 3" xfId="43636"/>
    <cellStyle name="표준 4 2 3 2 3 3 4" xfId="43637"/>
    <cellStyle name="표준 4 2 3 2 3 3 5" xfId="43638"/>
    <cellStyle name="표준 4 2 3 2 3 3 6" xfId="43639"/>
    <cellStyle name="표준 4 2 3 2 3 4" xfId="43640"/>
    <cellStyle name="표준 4 2 3 2 3 4 2" xfId="43641"/>
    <cellStyle name="표준 4 2 3 2 3 4 2 2" xfId="43642"/>
    <cellStyle name="표준 4 2 3 2 3 4 2 2 2" xfId="43643"/>
    <cellStyle name="표준 4 2 3 2 3 4 2 2 3" xfId="43644"/>
    <cellStyle name="표준 4 2 3 2 3 4 2 3" xfId="43645"/>
    <cellStyle name="표준 4 2 3 2 3 4 2 4" xfId="43646"/>
    <cellStyle name="표준 4 2 3 2 3 4 2 5" xfId="43647"/>
    <cellStyle name="표준 4 2 3 2 3 4 3" xfId="43648"/>
    <cellStyle name="표준 4 2 3 2 3 5" xfId="43649"/>
    <cellStyle name="표준 4 2 3 2 3 5 2" xfId="43650"/>
    <cellStyle name="표준 4 2 3 2 3 5 2 2" xfId="43651"/>
    <cellStyle name="표준 4 2 3 2 3 5 2 2 2" xfId="43652"/>
    <cellStyle name="표준 4 2 3 2 3 5 2 2 3" xfId="43653"/>
    <cellStyle name="표준 4 2 3 2 3 5 2 3" xfId="43654"/>
    <cellStyle name="표준 4 2 3 2 3 5 2 4" xfId="43655"/>
    <cellStyle name="표준 4 2 3 2 3 5 2 5" xfId="43656"/>
    <cellStyle name="표준 4 2 3 2 3 5 3" xfId="43657"/>
    <cellStyle name="표준 4 2 3 2 3 6" xfId="43658"/>
    <cellStyle name="표준 4 2 3 2 3 7" xfId="43659"/>
    <cellStyle name="표준 4 2 3 2 3 8" xfId="43660"/>
    <cellStyle name="표준 4 2 3 2 3 9" xfId="43661"/>
    <cellStyle name="표준 4 2 3 2 4" xfId="43662"/>
    <cellStyle name="표준 4 2 3 2 4 10" xfId="43663"/>
    <cellStyle name="표준 4 2 3 2 4 11" xfId="43664"/>
    <cellStyle name="표준 4 2 3 2 4 12" xfId="43665"/>
    <cellStyle name="표준 4 2 3 2 4 13" xfId="43666"/>
    <cellStyle name="표준 4 2 3 2 4 14" xfId="43667"/>
    <cellStyle name="표준 4 2 3 2 4 15" xfId="43668"/>
    <cellStyle name="표준 4 2 3 2 4 16" xfId="43669"/>
    <cellStyle name="표준 4 2 3 2 4 16 2" xfId="43670"/>
    <cellStyle name="표준 4 2 3 2 4 16 3" xfId="43671"/>
    <cellStyle name="표준 4 2 3 2 4 17" xfId="43672"/>
    <cellStyle name="표준 4 2 3 2 4 18" xfId="43673"/>
    <cellStyle name="표준 4 2 3 2 4 19" xfId="43674"/>
    <cellStyle name="표준 4 2 3 2 4 2" xfId="43675"/>
    <cellStyle name="표준 4 2 3 2 4 2 2" xfId="43676"/>
    <cellStyle name="표준 4 2 3 2 4 2 2 2" xfId="43677"/>
    <cellStyle name="표준 4 2 3 2 4 2 2 2 2" xfId="43678"/>
    <cellStyle name="표준 4 2 3 2 4 2 2 2 3" xfId="43679"/>
    <cellStyle name="표준 4 2 3 2 4 2 2 3" xfId="43680"/>
    <cellStyle name="표준 4 2 3 2 4 2 2 4" xfId="43681"/>
    <cellStyle name="표준 4 2 3 2 4 2 2 5" xfId="43682"/>
    <cellStyle name="표준 4 2 3 2 4 2 3" xfId="43683"/>
    <cellStyle name="표준 4 2 3 2 4 2 3 2" xfId="43684"/>
    <cellStyle name="표준 4 2 3 2 4 2 3 3" xfId="43685"/>
    <cellStyle name="표준 4 2 3 2 4 2 4" xfId="43686"/>
    <cellStyle name="표준 4 2 3 2 4 2 5" xfId="43687"/>
    <cellStyle name="표준 4 2 3 2 4 2 6" xfId="43688"/>
    <cellStyle name="표준 4 2 3 2 4 3" xfId="43689"/>
    <cellStyle name="표준 4 2 3 2 4 3 2" xfId="43690"/>
    <cellStyle name="표준 4 2 3 2 4 3 2 2" xfId="43691"/>
    <cellStyle name="표준 4 2 3 2 4 3 2 2 2" xfId="43692"/>
    <cellStyle name="표준 4 2 3 2 4 3 2 2 3" xfId="43693"/>
    <cellStyle name="표준 4 2 3 2 4 3 2 3" xfId="43694"/>
    <cellStyle name="표준 4 2 3 2 4 3 2 4" xfId="43695"/>
    <cellStyle name="표준 4 2 3 2 4 3 2 5" xfId="43696"/>
    <cellStyle name="표준 4 2 3 2 4 3 3" xfId="43697"/>
    <cellStyle name="표준 4 2 3 2 4 4" xfId="43698"/>
    <cellStyle name="표준 4 2 3 2 4 4 2" xfId="43699"/>
    <cellStyle name="표준 4 2 3 2 4 4 2 2" xfId="43700"/>
    <cellStyle name="표준 4 2 3 2 4 4 2 2 2" xfId="43701"/>
    <cellStyle name="표준 4 2 3 2 4 4 2 2 3" xfId="43702"/>
    <cellStyle name="표준 4 2 3 2 4 4 2 3" xfId="43703"/>
    <cellStyle name="표준 4 2 3 2 4 4 2 4" xfId="43704"/>
    <cellStyle name="표준 4 2 3 2 4 4 2 5" xfId="43705"/>
    <cellStyle name="표준 4 2 3 2 4 4 3" xfId="43706"/>
    <cellStyle name="표준 4 2 3 2 4 5" xfId="43707"/>
    <cellStyle name="표준 4 2 3 2 4 6" xfId="43708"/>
    <cellStyle name="표준 4 2 3 2 4 7" xfId="43709"/>
    <cellStyle name="표준 4 2 3 2 4 8" xfId="43710"/>
    <cellStyle name="표준 4 2 3 2 4 9" xfId="43711"/>
    <cellStyle name="표준 4 2 3 2 5" xfId="43712"/>
    <cellStyle name="표준 4 2 3 2 5 2" xfId="43713"/>
    <cellStyle name="표준 4 2 3 2 5 2 2" xfId="43714"/>
    <cellStyle name="표준 4 2 3 2 5 2 2 2" xfId="43715"/>
    <cellStyle name="표준 4 2 3 2 5 2 2 3" xfId="43716"/>
    <cellStyle name="표준 4 2 3 2 5 2 3" xfId="43717"/>
    <cellStyle name="표준 4 2 3 2 5 2 4" xfId="43718"/>
    <cellStyle name="표준 4 2 3 2 5 2 5" xfId="43719"/>
    <cellStyle name="표준 4 2 3 2 5 3" xfId="43720"/>
    <cellStyle name="표준 4 2 3 2 5 3 2" xfId="43721"/>
    <cellStyle name="표준 4 2 3 2 5 3 3" xfId="43722"/>
    <cellStyle name="표준 4 2 3 2 5 4" xfId="43723"/>
    <cellStyle name="표준 4 2 3 2 5 5" xfId="43724"/>
    <cellStyle name="표준 4 2 3 2 5 6" xfId="43725"/>
    <cellStyle name="표준 4 2 3 2 6" xfId="43726"/>
    <cellStyle name="표준 4 2 3 2 6 2" xfId="43727"/>
    <cellStyle name="표준 4 2 3 2 6 2 2" xfId="43728"/>
    <cellStyle name="표준 4 2 3 2 6 2 2 2" xfId="43729"/>
    <cellStyle name="표준 4 2 3 2 6 2 2 3" xfId="43730"/>
    <cellStyle name="표준 4 2 3 2 6 2 3" xfId="43731"/>
    <cellStyle name="표준 4 2 3 2 6 2 4" xfId="43732"/>
    <cellStyle name="표준 4 2 3 2 6 2 5" xfId="43733"/>
    <cellStyle name="표준 4 2 3 2 6 3" xfId="43734"/>
    <cellStyle name="표준 4 2 3 2 7" xfId="43735"/>
    <cellStyle name="표준 4 2 3 2 7 2" xfId="43736"/>
    <cellStyle name="표준 4 2 3 2 7 2 2" xfId="43737"/>
    <cellStyle name="표준 4 2 3 2 7 2 2 2" xfId="43738"/>
    <cellStyle name="표준 4 2 3 2 7 2 2 3" xfId="43739"/>
    <cellStyle name="표준 4 2 3 2 7 2 3" xfId="43740"/>
    <cellStyle name="표준 4 2 3 2 7 2 4" xfId="43741"/>
    <cellStyle name="표준 4 2 3 2 7 2 5" xfId="43742"/>
    <cellStyle name="표준 4 2 3 2 7 3" xfId="43743"/>
    <cellStyle name="표준 4 2 3 2 8" xfId="43744"/>
    <cellStyle name="표준 4 2 3 2 9" xfId="43745"/>
    <cellStyle name="표준 4 2 3 20" xfId="43746"/>
    <cellStyle name="표준 4 2 3 20 2" xfId="43747"/>
    <cellStyle name="표준 4 2 3 20 3" xfId="43748"/>
    <cellStyle name="표준 4 2 3 21" xfId="43749"/>
    <cellStyle name="표준 4 2 3 22" xfId="43750"/>
    <cellStyle name="표준 4 2 3 23" xfId="43751"/>
    <cellStyle name="표준 4 2 3 3" xfId="43752"/>
    <cellStyle name="표준 4 2 3 3 10" xfId="43753"/>
    <cellStyle name="표준 4 2 3 3 11" xfId="43754"/>
    <cellStyle name="표준 4 2 3 3 12" xfId="43755"/>
    <cellStyle name="표준 4 2 3 3 13" xfId="43756"/>
    <cellStyle name="표준 4 2 3 3 14" xfId="43757"/>
    <cellStyle name="표준 4 2 3 3 15" xfId="43758"/>
    <cellStyle name="표준 4 2 3 3 16" xfId="43759"/>
    <cellStyle name="표준 4 2 3 3 17" xfId="43760"/>
    <cellStyle name="표준 4 2 3 3 17 2" xfId="43761"/>
    <cellStyle name="표준 4 2 3 3 17 3" xfId="43762"/>
    <cellStyle name="표준 4 2 3 3 18" xfId="43763"/>
    <cellStyle name="표준 4 2 3 3 19" xfId="43764"/>
    <cellStyle name="표준 4 2 3 3 2" xfId="43765"/>
    <cellStyle name="표준 4 2 3 3 2 10" xfId="43766"/>
    <cellStyle name="표준 4 2 3 3 2 11" xfId="43767"/>
    <cellStyle name="표준 4 2 3 3 2 12" xfId="43768"/>
    <cellStyle name="표준 4 2 3 3 2 13" xfId="43769"/>
    <cellStyle name="표준 4 2 3 3 2 14" xfId="43770"/>
    <cellStyle name="표준 4 2 3 3 2 15" xfId="43771"/>
    <cellStyle name="표준 4 2 3 3 2 16" xfId="43772"/>
    <cellStyle name="표준 4 2 3 3 2 16 2" xfId="43773"/>
    <cellStyle name="표준 4 2 3 3 2 16 3" xfId="43774"/>
    <cellStyle name="표준 4 2 3 3 2 17" xfId="43775"/>
    <cellStyle name="표준 4 2 3 3 2 18" xfId="43776"/>
    <cellStyle name="표준 4 2 3 3 2 19" xfId="43777"/>
    <cellStyle name="표준 4 2 3 3 2 2" xfId="43778"/>
    <cellStyle name="표준 4 2 3 3 2 2 2" xfId="43779"/>
    <cellStyle name="표준 4 2 3 3 2 2 2 2" xfId="43780"/>
    <cellStyle name="표준 4 2 3 3 2 2 2 2 2" xfId="43781"/>
    <cellStyle name="표준 4 2 3 3 2 2 2 2 3" xfId="43782"/>
    <cellStyle name="표준 4 2 3 3 2 2 2 3" xfId="43783"/>
    <cellStyle name="표준 4 2 3 3 2 2 2 4" xfId="43784"/>
    <cellStyle name="표준 4 2 3 3 2 2 2 5" xfId="43785"/>
    <cellStyle name="표준 4 2 3 3 2 2 3" xfId="43786"/>
    <cellStyle name="표준 4 2 3 3 2 2 3 2" xfId="43787"/>
    <cellStyle name="표준 4 2 3 3 2 2 3 3" xfId="43788"/>
    <cellStyle name="표준 4 2 3 3 2 2 4" xfId="43789"/>
    <cellStyle name="표준 4 2 3 3 2 2 5" xfId="43790"/>
    <cellStyle name="표준 4 2 3 3 2 2 6" xfId="43791"/>
    <cellStyle name="표준 4 2 3 3 2 3" xfId="43792"/>
    <cellStyle name="표준 4 2 3 3 2 3 2" xfId="43793"/>
    <cellStyle name="표준 4 2 3 3 2 3 2 2" xfId="43794"/>
    <cellStyle name="표준 4 2 3 3 2 3 2 2 2" xfId="43795"/>
    <cellStyle name="표준 4 2 3 3 2 3 2 2 3" xfId="43796"/>
    <cellStyle name="표준 4 2 3 3 2 3 2 3" xfId="43797"/>
    <cellStyle name="표준 4 2 3 3 2 3 2 4" xfId="43798"/>
    <cellStyle name="표준 4 2 3 3 2 3 2 5" xfId="43799"/>
    <cellStyle name="표준 4 2 3 3 2 3 3" xfId="43800"/>
    <cellStyle name="표준 4 2 3 3 2 4" xfId="43801"/>
    <cellStyle name="표준 4 2 3 3 2 4 2" xfId="43802"/>
    <cellStyle name="표준 4 2 3 3 2 4 2 2" xfId="43803"/>
    <cellStyle name="표준 4 2 3 3 2 4 2 2 2" xfId="43804"/>
    <cellStyle name="표준 4 2 3 3 2 4 2 2 3" xfId="43805"/>
    <cellStyle name="표준 4 2 3 3 2 4 2 3" xfId="43806"/>
    <cellStyle name="표준 4 2 3 3 2 4 2 4" xfId="43807"/>
    <cellStyle name="표준 4 2 3 3 2 4 2 5" xfId="43808"/>
    <cellStyle name="표준 4 2 3 3 2 4 3" xfId="43809"/>
    <cellStyle name="표준 4 2 3 3 2 5" xfId="43810"/>
    <cellStyle name="표준 4 2 3 3 2 6" xfId="43811"/>
    <cellStyle name="표준 4 2 3 3 2 7" xfId="43812"/>
    <cellStyle name="표준 4 2 3 3 2 8" xfId="43813"/>
    <cellStyle name="표준 4 2 3 3 2 9" xfId="43814"/>
    <cellStyle name="표준 4 2 3 3 20" xfId="43815"/>
    <cellStyle name="표준 4 2 3 3 3" xfId="43816"/>
    <cellStyle name="표준 4 2 3 3 3 2" xfId="43817"/>
    <cellStyle name="표준 4 2 3 3 3 2 2" xfId="43818"/>
    <cellStyle name="표준 4 2 3 3 3 2 2 2" xfId="43819"/>
    <cellStyle name="표준 4 2 3 3 3 2 2 3" xfId="43820"/>
    <cellStyle name="표준 4 2 3 3 3 2 3" xfId="43821"/>
    <cellStyle name="표준 4 2 3 3 3 2 4" xfId="43822"/>
    <cellStyle name="표준 4 2 3 3 3 2 5" xfId="43823"/>
    <cellStyle name="표준 4 2 3 3 3 3" xfId="43824"/>
    <cellStyle name="표준 4 2 3 3 3 3 2" xfId="43825"/>
    <cellStyle name="표준 4 2 3 3 3 3 3" xfId="43826"/>
    <cellStyle name="표준 4 2 3 3 3 4" xfId="43827"/>
    <cellStyle name="표준 4 2 3 3 3 5" xfId="43828"/>
    <cellStyle name="표준 4 2 3 3 3 6" xfId="43829"/>
    <cellStyle name="표준 4 2 3 3 4" xfId="43830"/>
    <cellStyle name="표준 4 2 3 3 4 2" xfId="43831"/>
    <cellStyle name="표준 4 2 3 3 4 2 2" xfId="43832"/>
    <cellStyle name="표준 4 2 3 3 4 2 2 2" xfId="43833"/>
    <cellStyle name="표준 4 2 3 3 4 2 2 3" xfId="43834"/>
    <cellStyle name="표준 4 2 3 3 4 2 3" xfId="43835"/>
    <cellStyle name="표준 4 2 3 3 4 2 4" xfId="43836"/>
    <cellStyle name="표준 4 2 3 3 4 2 5" xfId="43837"/>
    <cellStyle name="표준 4 2 3 3 4 3" xfId="43838"/>
    <cellStyle name="표준 4 2 3 3 5" xfId="43839"/>
    <cellStyle name="표준 4 2 3 3 5 2" xfId="43840"/>
    <cellStyle name="표준 4 2 3 3 5 2 2" xfId="43841"/>
    <cellStyle name="표준 4 2 3 3 5 2 2 2" xfId="43842"/>
    <cellStyle name="표준 4 2 3 3 5 2 2 3" xfId="43843"/>
    <cellStyle name="표준 4 2 3 3 5 2 3" xfId="43844"/>
    <cellStyle name="표준 4 2 3 3 5 2 4" xfId="43845"/>
    <cellStyle name="표준 4 2 3 3 5 2 5" xfId="43846"/>
    <cellStyle name="표준 4 2 3 3 5 3" xfId="43847"/>
    <cellStyle name="표준 4 2 3 3 6" xfId="43848"/>
    <cellStyle name="표준 4 2 3 3 7" xfId="43849"/>
    <cellStyle name="표준 4 2 3 3 8" xfId="43850"/>
    <cellStyle name="표준 4 2 3 3 9" xfId="43851"/>
    <cellStyle name="표준 4 2 3 4" xfId="43852"/>
    <cellStyle name="표준 4 2 3 4 10" xfId="43853"/>
    <cellStyle name="표준 4 2 3 4 11" xfId="43854"/>
    <cellStyle name="표준 4 2 3 4 12" xfId="43855"/>
    <cellStyle name="표준 4 2 3 4 13" xfId="43856"/>
    <cellStyle name="표준 4 2 3 4 14" xfId="43857"/>
    <cellStyle name="표준 4 2 3 4 15" xfId="43858"/>
    <cellStyle name="표준 4 2 3 4 16" xfId="43859"/>
    <cellStyle name="표준 4 2 3 4 17" xfId="43860"/>
    <cellStyle name="표준 4 2 3 4 17 2" xfId="43861"/>
    <cellStyle name="표준 4 2 3 4 17 3" xfId="43862"/>
    <cellStyle name="표준 4 2 3 4 18" xfId="43863"/>
    <cellStyle name="표준 4 2 3 4 19" xfId="43864"/>
    <cellStyle name="표준 4 2 3 4 2" xfId="43865"/>
    <cellStyle name="표준 4 2 3 4 2 10" xfId="43866"/>
    <cellStyle name="표준 4 2 3 4 2 11" xfId="43867"/>
    <cellStyle name="표준 4 2 3 4 2 12" xfId="43868"/>
    <cellStyle name="표준 4 2 3 4 2 13" xfId="43869"/>
    <cellStyle name="표준 4 2 3 4 2 14" xfId="43870"/>
    <cellStyle name="표준 4 2 3 4 2 15" xfId="43871"/>
    <cellStyle name="표준 4 2 3 4 2 16" xfId="43872"/>
    <cellStyle name="표준 4 2 3 4 2 16 2" xfId="43873"/>
    <cellStyle name="표준 4 2 3 4 2 16 3" xfId="43874"/>
    <cellStyle name="표준 4 2 3 4 2 17" xfId="43875"/>
    <cellStyle name="표준 4 2 3 4 2 18" xfId="43876"/>
    <cellStyle name="표준 4 2 3 4 2 19" xfId="43877"/>
    <cellStyle name="표준 4 2 3 4 2 2" xfId="43878"/>
    <cellStyle name="표준 4 2 3 4 2 2 2" xfId="43879"/>
    <cellStyle name="표준 4 2 3 4 2 2 2 2" xfId="43880"/>
    <cellStyle name="표준 4 2 3 4 2 2 2 2 2" xfId="43881"/>
    <cellStyle name="표준 4 2 3 4 2 2 2 2 3" xfId="43882"/>
    <cellStyle name="표준 4 2 3 4 2 2 2 3" xfId="43883"/>
    <cellStyle name="표준 4 2 3 4 2 2 2 4" xfId="43884"/>
    <cellStyle name="표준 4 2 3 4 2 2 2 5" xfId="43885"/>
    <cellStyle name="표준 4 2 3 4 2 2 3" xfId="43886"/>
    <cellStyle name="표준 4 2 3 4 2 2 3 2" xfId="43887"/>
    <cellStyle name="표준 4 2 3 4 2 2 3 3" xfId="43888"/>
    <cellStyle name="표준 4 2 3 4 2 2 4" xfId="43889"/>
    <cellStyle name="표준 4 2 3 4 2 2 5" xfId="43890"/>
    <cellStyle name="표준 4 2 3 4 2 2 6" xfId="43891"/>
    <cellStyle name="표준 4 2 3 4 2 3" xfId="43892"/>
    <cellStyle name="표준 4 2 3 4 2 3 2" xfId="43893"/>
    <cellStyle name="표준 4 2 3 4 2 3 2 2" xfId="43894"/>
    <cellStyle name="표준 4 2 3 4 2 3 2 2 2" xfId="43895"/>
    <cellStyle name="표준 4 2 3 4 2 3 2 2 3" xfId="43896"/>
    <cellStyle name="표준 4 2 3 4 2 3 2 3" xfId="43897"/>
    <cellStyle name="표준 4 2 3 4 2 3 2 4" xfId="43898"/>
    <cellStyle name="표준 4 2 3 4 2 3 2 5" xfId="43899"/>
    <cellStyle name="표준 4 2 3 4 2 3 3" xfId="43900"/>
    <cellStyle name="표준 4 2 3 4 2 4" xfId="43901"/>
    <cellStyle name="표준 4 2 3 4 2 4 2" xfId="43902"/>
    <cellStyle name="표준 4 2 3 4 2 4 2 2" xfId="43903"/>
    <cellStyle name="표준 4 2 3 4 2 4 2 2 2" xfId="43904"/>
    <cellStyle name="표준 4 2 3 4 2 4 2 2 3" xfId="43905"/>
    <cellStyle name="표준 4 2 3 4 2 4 2 3" xfId="43906"/>
    <cellStyle name="표준 4 2 3 4 2 4 2 4" xfId="43907"/>
    <cellStyle name="표준 4 2 3 4 2 4 2 5" xfId="43908"/>
    <cellStyle name="표준 4 2 3 4 2 4 3" xfId="43909"/>
    <cellStyle name="표준 4 2 3 4 2 5" xfId="43910"/>
    <cellStyle name="표준 4 2 3 4 2 6" xfId="43911"/>
    <cellStyle name="표준 4 2 3 4 2 7" xfId="43912"/>
    <cellStyle name="표준 4 2 3 4 2 8" xfId="43913"/>
    <cellStyle name="표준 4 2 3 4 2 9" xfId="43914"/>
    <cellStyle name="표준 4 2 3 4 20" xfId="43915"/>
    <cellStyle name="표준 4 2 3 4 3" xfId="43916"/>
    <cellStyle name="표준 4 2 3 4 3 2" xfId="43917"/>
    <cellStyle name="표준 4 2 3 4 3 2 2" xfId="43918"/>
    <cellStyle name="표준 4 2 3 4 3 2 2 2" xfId="43919"/>
    <cellStyle name="표준 4 2 3 4 3 2 2 3" xfId="43920"/>
    <cellStyle name="표준 4 2 3 4 3 2 3" xfId="43921"/>
    <cellStyle name="표준 4 2 3 4 3 2 4" xfId="43922"/>
    <cellStyle name="표준 4 2 3 4 3 2 5" xfId="43923"/>
    <cellStyle name="표준 4 2 3 4 3 3" xfId="43924"/>
    <cellStyle name="표준 4 2 3 4 3 3 2" xfId="43925"/>
    <cellStyle name="표준 4 2 3 4 3 3 3" xfId="43926"/>
    <cellStyle name="표준 4 2 3 4 3 4" xfId="43927"/>
    <cellStyle name="표준 4 2 3 4 3 5" xfId="43928"/>
    <cellStyle name="표준 4 2 3 4 3 6" xfId="43929"/>
    <cellStyle name="표준 4 2 3 4 4" xfId="43930"/>
    <cellStyle name="표준 4 2 3 4 4 2" xfId="43931"/>
    <cellStyle name="표준 4 2 3 4 4 2 2" xfId="43932"/>
    <cellStyle name="표준 4 2 3 4 4 2 2 2" xfId="43933"/>
    <cellStyle name="표준 4 2 3 4 4 2 2 3" xfId="43934"/>
    <cellStyle name="표준 4 2 3 4 4 2 3" xfId="43935"/>
    <cellStyle name="표준 4 2 3 4 4 2 4" xfId="43936"/>
    <cellStyle name="표준 4 2 3 4 4 2 5" xfId="43937"/>
    <cellStyle name="표준 4 2 3 4 4 3" xfId="43938"/>
    <cellStyle name="표준 4 2 3 4 5" xfId="43939"/>
    <cellStyle name="표준 4 2 3 4 5 2" xfId="43940"/>
    <cellStyle name="표준 4 2 3 4 5 2 2" xfId="43941"/>
    <cellStyle name="표준 4 2 3 4 5 2 2 2" xfId="43942"/>
    <cellStyle name="표준 4 2 3 4 5 2 2 3" xfId="43943"/>
    <cellStyle name="표준 4 2 3 4 5 2 3" xfId="43944"/>
    <cellStyle name="표준 4 2 3 4 5 2 4" xfId="43945"/>
    <cellStyle name="표준 4 2 3 4 5 2 5" xfId="43946"/>
    <cellStyle name="표준 4 2 3 4 5 3" xfId="43947"/>
    <cellStyle name="표준 4 2 3 4 6" xfId="43948"/>
    <cellStyle name="표준 4 2 3 4 7" xfId="43949"/>
    <cellStyle name="표준 4 2 3 4 8" xfId="43950"/>
    <cellStyle name="표준 4 2 3 4 9" xfId="43951"/>
    <cellStyle name="표준 4 2 3 5" xfId="43952"/>
    <cellStyle name="표준 4 2 3 5 10" xfId="43953"/>
    <cellStyle name="표준 4 2 3 5 11" xfId="43954"/>
    <cellStyle name="표준 4 2 3 5 12" xfId="43955"/>
    <cellStyle name="표준 4 2 3 5 13" xfId="43956"/>
    <cellStyle name="표준 4 2 3 5 14" xfId="43957"/>
    <cellStyle name="표준 4 2 3 5 15" xfId="43958"/>
    <cellStyle name="표준 4 2 3 5 16" xfId="43959"/>
    <cellStyle name="표준 4 2 3 5 16 2" xfId="43960"/>
    <cellStyle name="표준 4 2 3 5 16 3" xfId="43961"/>
    <cellStyle name="표준 4 2 3 5 17" xfId="43962"/>
    <cellStyle name="표준 4 2 3 5 18" xfId="43963"/>
    <cellStyle name="표준 4 2 3 5 19" xfId="43964"/>
    <cellStyle name="표준 4 2 3 5 2" xfId="43965"/>
    <cellStyle name="표준 4 2 3 5 2 2" xfId="43966"/>
    <cellStyle name="표준 4 2 3 5 2 2 2" xfId="43967"/>
    <cellStyle name="표준 4 2 3 5 2 2 2 2" xfId="43968"/>
    <cellStyle name="표준 4 2 3 5 2 2 2 3" xfId="43969"/>
    <cellStyle name="표준 4 2 3 5 2 2 3" xfId="43970"/>
    <cellStyle name="표준 4 2 3 5 2 2 4" xfId="43971"/>
    <cellStyle name="표준 4 2 3 5 2 2 5" xfId="43972"/>
    <cellStyle name="표준 4 2 3 5 2 3" xfId="43973"/>
    <cellStyle name="표준 4 2 3 5 2 3 2" xfId="43974"/>
    <cellStyle name="표준 4 2 3 5 2 3 3" xfId="43975"/>
    <cellStyle name="표준 4 2 3 5 2 4" xfId="43976"/>
    <cellStyle name="표준 4 2 3 5 2 5" xfId="43977"/>
    <cellStyle name="표준 4 2 3 5 2 6" xfId="43978"/>
    <cellStyle name="표준 4 2 3 5 3" xfId="43979"/>
    <cellStyle name="표준 4 2 3 5 3 2" xfId="43980"/>
    <cellStyle name="표준 4 2 3 5 3 2 2" xfId="43981"/>
    <cellStyle name="표준 4 2 3 5 3 2 2 2" xfId="43982"/>
    <cellStyle name="표준 4 2 3 5 3 2 2 3" xfId="43983"/>
    <cellStyle name="표준 4 2 3 5 3 2 3" xfId="43984"/>
    <cellStyle name="표준 4 2 3 5 3 2 4" xfId="43985"/>
    <cellStyle name="표준 4 2 3 5 3 2 5" xfId="43986"/>
    <cellStyle name="표준 4 2 3 5 3 3" xfId="43987"/>
    <cellStyle name="표준 4 2 3 5 4" xfId="43988"/>
    <cellStyle name="표준 4 2 3 5 4 2" xfId="43989"/>
    <cellStyle name="표준 4 2 3 5 4 2 2" xfId="43990"/>
    <cellStyle name="표준 4 2 3 5 4 2 2 2" xfId="43991"/>
    <cellStyle name="표준 4 2 3 5 4 2 2 3" xfId="43992"/>
    <cellStyle name="표준 4 2 3 5 4 2 3" xfId="43993"/>
    <cellStyle name="표준 4 2 3 5 4 2 4" xfId="43994"/>
    <cellStyle name="표준 4 2 3 5 4 2 5" xfId="43995"/>
    <cellStyle name="표준 4 2 3 5 4 3" xfId="43996"/>
    <cellStyle name="표준 4 2 3 5 5" xfId="43997"/>
    <cellStyle name="표준 4 2 3 5 6" xfId="43998"/>
    <cellStyle name="표준 4 2 3 5 7" xfId="43999"/>
    <cellStyle name="표준 4 2 3 5 8" xfId="44000"/>
    <cellStyle name="표준 4 2 3 5 9" xfId="44001"/>
    <cellStyle name="표준 4 2 3 6" xfId="44002"/>
    <cellStyle name="표준 4 2 3 6 2" xfId="44003"/>
    <cellStyle name="표준 4 2 3 6 2 2" xfId="44004"/>
    <cellStyle name="표준 4 2 3 6 2 2 2" xfId="44005"/>
    <cellStyle name="표준 4 2 3 6 2 2 3" xfId="44006"/>
    <cellStyle name="표준 4 2 3 6 2 3" xfId="44007"/>
    <cellStyle name="표준 4 2 3 6 2 4" xfId="44008"/>
    <cellStyle name="표준 4 2 3 6 2 5" xfId="44009"/>
    <cellStyle name="표준 4 2 3 6 3" xfId="44010"/>
    <cellStyle name="표준 4 2 3 6 3 2" xfId="44011"/>
    <cellStyle name="표준 4 2 3 6 3 3" xfId="44012"/>
    <cellStyle name="표준 4 2 3 6 4" xfId="44013"/>
    <cellStyle name="표준 4 2 3 6 5" xfId="44014"/>
    <cellStyle name="표준 4 2 3 6 6" xfId="44015"/>
    <cellStyle name="표준 4 2 3 7" xfId="44016"/>
    <cellStyle name="표준 4 2 3 7 2" xfId="44017"/>
    <cellStyle name="표준 4 2 3 7 2 2" xfId="44018"/>
    <cellStyle name="표준 4 2 3 7 2 2 2" xfId="44019"/>
    <cellStyle name="표준 4 2 3 7 2 2 3" xfId="44020"/>
    <cellStyle name="표준 4 2 3 7 2 3" xfId="44021"/>
    <cellStyle name="표준 4 2 3 7 2 4" xfId="44022"/>
    <cellStyle name="표준 4 2 3 7 2 5" xfId="44023"/>
    <cellStyle name="표준 4 2 3 7 3" xfId="44024"/>
    <cellStyle name="표준 4 2 3 8" xfId="44025"/>
    <cellStyle name="표준 4 2 3 8 2" xfId="44026"/>
    <cellStyle name="표준 4 2 3 8 2 2" xfId="44027"/>
    <cellStyle name="표준 4 2 3 8 2 2 2" xfId="44028"/>
    <cellStyle name="표준 4 2 3 8 2 2 3" xfId="44029"/>
    <cellStyle name="표준 4 2 3 8 2 3" xfId="44030"/>
    <cellStyle name="표준 4 2 3 8 2 4" xfId="44031"/>
    <cellStyle name="표준 4 2 3 8 2 5" xfId="44032"/>
    <cellStyle name="표준 4 2 3 8 3" xfId="44033"/>
    <cellStyle name="표준 4 2 3 9" xfId="44034"/>
    <cellStyle name="표준 4 2 4" xfId="44035"/>
    <cellStyle name="표준 4 2 4 10" xfId="44036"/>
    <cellStyle name="표준 4 2 4 11" xfId="44037"/>
    <cellStyle name="표준 4 2 4 12" xfId="44038"/>
    <cellStyle name="표준 4 2 4 13" xfId="44039"/>
    <cellStyle name="표준 4 2 4 14" xfId="44040"/>
    <cellStyle name="표준 4 2 4 15" xfId="44041"/>
    <cellStyle name="표준 4 2 4 16" xfId="44042"/>
    <cellStyle name="표준 4 2 4 17" xfId="44043"/>
    <cellStyle name="표준 4 2 4 18" xfId="44044"/>
    <cellStyle name="표준 4 2 4 19" xfId="44045"/>
    <cellStyle name="표준 4 2 4 19 2" xfId="44046"/>
    <cellStyle name="표준 4 2 4 19 3" xfId="44047"/>
    <cellStyle name="표준 4 2 4 2" xfId="44048"/>
    <cellStyle name="표준 4 2 4 2 10" xfId="44049"/>
    <cellStyle name="표준 4 2 4 2 11" xfId="44050"/>
    <cellStyle name="표준 4 2 4 2 12" xfId="44051"/>
    <cellStyle name="표준 4 2 4 2 13" xfId="44052"/>
    <cellStyle name="표준 4 2 4 2 14" xfId="44053"/>
    <cellStyle name="표준 4 2 4 2 15" xfId="44054"/>
    <cellStyle name="표준 4 2 4 2 16" xfId="44055"/>
    <cellStyle name="표준 4 2 4 2 17" xfId="44056"/>
    <cellStyle name="표준 4 2 4 2 17 2" xfId="44057"/>
    <cellStyle name="표준 4 2 4 2 17 3" xfId="44058"/>
    <cellStyle name="표준 4 2 4 2 18" xfId="44059"/>
    <cellStyle name="표준 4 2 4 2 19" xfId="44060"/>
    <cellStyle name="표준 4 2 4 2 2" xfId="44061"/>
    <cellStyle name="표준 4 2 4 2 2 10" xfId="44062"/>
    <cellStyle name="표준 4 2 4 2 2 11" xfId="44063"/>
    <cellStyle name="표준 4 2 4 2 2 12" xfId="44064"/>
    <cellStyle name="표준 4 2 4 2 2 13" xfId="44065"/>
    <cellStyle name="표준 4 2 4 2 2 14" xfId="44066"/>
    <cellStyle name="표준 4 2 4 2 2 15" xfId="44067"/>
    <cellStyle name="표준 4 2 4 2 2 16" xfId="44068"/>
    <cellStyle name="표준 4 2 4 2 2 16 2" xfId="44069"/>
    <cellStyle name="표준 4 2 4 2 2 16 3" xfId="44070"/>
    <cellStyle name="표준 4 2 4 2 2 17" xfId="44071"/>
    <cellStyle name="표준 4 2 4 2 2 18" xfId="44072"/>
    <cellStyle name="표준 4 2 4 2 2 19" xfId="44073"/>
    <cellStyle name="표준 4 2 4 2 2 2" xfId="44074"/>
    <cellStyle name="표준 4 2 4 2 2 2 2" xfId="44075"/>
    <cellStyle name="표준 4 2 4 2 2 2 2 2" xfId="44076"/>
    <cellStyle name="표준 4 2 4 2 2 2 2 2 2" xfId="44077"/>
    <cellStyle name="표준 4 2 4 2 2 2 2 2 3" xfId="44078"/>
    <cellStyle name="표준 4 2 4 2 2 2 2 3" xfId="44079"/>
    <cellStyle name="표준 4 2 4 2 2 2 2 4" xfId="44080"/>
    <cellStyle name="표준 4 2 4 2 2 2 2 5" xfId="44081"/>
    <cellStyle name="표준 4 2 4 2 2 2 3" xfId="44082"/>
    <cellStyle name="표준 4 2 4 2 2 2 3 2" xfId="44083"/>
    <cellStyle name="표준 4 2 4 2 2 2 3 3" xfId="44084"/>
    <cellStyle name="표준 4 2 4 2 2 2 4" xfId="44085"/>
    <cellStyle name="표준 4 2 4 2 2 2 5" xfId="44086"/>
    <cellStyle name="표준 4 2 4 2 2 2 6" xfId="44087"/>
    <cellStyle name="표준 4 2 4 2 2 3" xfId="44088"/>
    <cellStyle name="표준 4 2 4 2 2 3 2" xfId="44089"/>
    <cellStyle name="표준 4 2 4 2 2 3 2 2" xfId="44090"/>
    <cellStyle name="표준 4 2 4 2 2 3 2 2 2" xfId="44091"/>
    <cellStyle name="표준 4 2 4 2 2 3 2 2 3" xfId="44092"/>
    <cellStyle name="표준 4 2 4 2 2 3 2 3" xfId="44093"/>
    <cellStyle name="표준 4 2 4 2 2 3 2 4" xfId="44094"/>
    <cellStyle name="표준 4 2 4 2 2 3 2 5" xfId="44095"/>
    <cellStyle name="표준 4 2 4 2 2 3 3" xfId="44096"/>
    <cellStyle name="표준 4 2 4 2 2 4" xfId="44097"/>
    <cellStyle name="표준 4 2 4 2 2 4 2" xfId="44098"/>
    <cellStyle name="표준 4 2 4 2 2 4 2 2" xfId="44099"/>
    <cellStyle name="표준 4 2 4 2 2 4 2 2 2" xfId="44100"/>
    <cellStyle name="표준 4 2 4 2 2 4 2 2 3" xfId="44101"/>
    <cellStyle name="표준 4 2 4 2 2 4 2 3" xfId="44102"/>
    <cellStyle name="표준 4 2 4 2 2 4 2 4" xfId="44103"/>
    <cellStyle name="표준 4 2 4 2 2 4 2 5" xfId="44104"/>
    <cellStyle name="표준 4 2 4 2 2 4 3" xfId="44105"/>
    <cellStyle name="표준 4 2 4 2 2 5" xfId="44106"/>
    <cellStyle name="표준 4 2 4 2 2 6" xfId="44107"/>
    <cellStyle name="표준 4 2 4 2 2 7" xfId="44108"/>
    <cellStyle name="표준 4 2 4 2 2 8" xfId="44109"/>
    <cellStyle name="표준 4 2 4 2 2 9" xfId="44110"/>
    <cellStyle name="표준 4 2 4 2 20" xfId="44111"/>
    <cellStyle name="표준 4 2 4 2 3" xfId="44112"/>
    <cellStyle name="표준 4 2 4 2 3 2" xfId="44113"/>
    <cellStyle name="표준 4 2 4 2 3 2 2" xfId="44114"/>
    <cellStyle name="표준 4 2 4 2 3 2 2 2" xfId="44115"/>
    <cellStyle name="표준 4 2 4 2 3 2 2 3" xfId="44116"/>
    <cellStyle name="표준 4 2 4 2 3 2 3" xfId="44117"/>
    <cellStyle name="표준 4 2 4 2 3 2 4" xfId="44118"/>
    <cellStyle name="표준 4 2 4 2 3 2 5" xfId="44119"/>
    <cellStyle name="표준 4 2 4 2 3 3" xfId="44120"/>
    <cellStyle name="표준 4 2 4 2 3 3 2" xfId="44121"/>
    <cellStyle name="표준 4 2 4 2 3 3 3" xfId="44122"/>
    <cellStyle name="표준 4 2 4 2 3 4" xfId="44123"/>
    <cellStyle name="표준 4 2 4 2 3 5" xfId="44124"/>
    <cellStyle name="표준 4 2 4 2 3 6" xfId="44125"/>
    <cellStyle name="표준 4 2 4 2 4" xfId="44126"/>
    <cellStyle name="표준 4 2 4 2 4 2" xfId="44127"/>
    <cellStyle name="표준 4 2 4 2 4 2 2" xfId="44128"/>
    <cellStyle name="표준 4 2 4 2 4 2 2 2" xfId="44129"/>
    <cellStyle name="표준 4 2 4 2 4 2 2 3" xfId="44130"/>
    <cellStyle name="표준 4 2 4 2 4 2 3" xfId="44131"/>
    <cellStyle name="표준 4 2 4 2 4 2 4" xfId="44132"/>
    <cellStyle name="표준 4 2 4 2 4 2 5" xfId="44133"/>
    <cellStyle name="표준 4 2 4 2 4 3" xfId="44134"/>
    <cellStyle name="표준 4 2 4 2 5" xfId="44135"/>
    <cellStyle name="표준 4 2 4 2 5 2" xfId="44136"/>
    <cellStyle name="표준 4 2 4 2 5 2 2" xfId="44137"/>
    <cellStyle name="표준 4 2 4 2 5 2 2 2" xfId="44138"/>
    <cellStyle name="표준 4 2 4 2 5 2 2 3" xfId="44139"/>
    <cellStyle name="표준 4 2 4 2 5 2 3" xfId="44140"/>
    <cellStyle name="표준 4 2 4 2 5 2 4" xfId="44141"/>
    <cellStyle name="표준 4 2 4 2 5 2 5" xfId="44142"/>
    <cellStyle name="표준 4 2 4 2 5 3" xfId="44143"/>
    <cellStyle name="표준 4 2 4 2 6" xfId="44144"/>
    <cellStyle name="표준 4 2 4 2 7" xfId="44145"/>
    <cellStyle name="표준 4 2 4 2 8" xfId="44146"/>
    <cellStyle name="표준 4 2 4 2 9" xfId="44147"/>
    <cellStyle name="표준 4 2 4 20" xfId="44148"/>
    <cellStyle name="표준 4 2 4 21" xfId="44149"/>
    <cellStyle name="표준 4 2 4 22" xfId="44150"/>
    <cellStyle name="표준 4 2 4 3" xfId="44151"/>
    <cellStyle name="표준 4 2 4 3 10" xfId="44152"/>
    <cellStyle name="표준 4 2 4 3 11" xfId="44153"/>
    <cellStyle name="표준 4 2 4 3 12" xfId="44154"/>
    <cellStyle name="표준 4 2 4 3 13" xfId="44155"/>
    <cellStyle name="표준 4 2 4 3 14" xfId="44156"/>
    <cellStyle name="표준 4 2 4 3 15" xfId="44157"/>
    <cellStyle name="표준 4 2 4 3 16" xfId="44158"/>
    <cellStyle name="표준 4 2 4 3 17" xfId="44159"/>
    <cellStyle name="표준 4 2 4 3 17 2" xfId="44160"/>
    <cellStyle name="표준 4 2 4 3 17 3" xfId="44161"/>
    <cellStyle name="표준 4 2 4 3 18" xfId="44162"/>
    <cellStyle name="표준 4 2 4 3 19" xfId="44163"/>
    <cellStyle name="표준 4 2 4 3 2" xfId="44164"/>
    <cellStyle name="표준 4 2 4 3 2 10" xfId="44165"/>
    <cellStyle name="표준 4 2 4 3 2 11" xfId="44166"/>
    <cellStyle name="표준 4 2 4 3 2 12" xfId="44167"/>
    <cellStyle name="표준 4 2 4 3 2 13" xfId="44168"/>
    <cellStyle name="표준 4 2 4 3 2 14" xfId="44169"/>
    <cellStyle name="표준 4 2 4 3 2 15" xfId="44170"/>
    <cellStyle name="표준 4 2 4 3 2 16" xfId="44171"/>
    <cellStyle name="표준 4 2 4 3 2 16 2" xfId="44172"/>
    <cellStyle name="표준 4 2 4 3 2 16 3" xfId="44173"/>
    <cellStyle name="표준 4 2 4 3 2 17" xfId="44174"/>
    <cellStyle name="표준 4 2 4 3 2 18" xfId="44175"/>
    <cellStyle name="표준 4 2 4 3 2 19" xfId="44176"/>
    <cellStyle name="표준 4 2 4 3 2 2" xfId="44177"/>
    <cellStyle name="표준 4 2 4 3 2 2 2" xfId="44178"/>
    <cellStyle name="표준 4 2 4 3 2 2 2 2" xfId="44179"/>
    <cellStyle name="표준 4 2 4 3 2 2 2 2 2" xfId="44180"/>
    <cellStyle name="표준 4 2 4 3 2 2 2 2 3" xfId="44181"/>
    <cellStyle name="표준 4 2 4 3 2 2 2 3" xfId="44182"/>
    <cellStyle name="표준 4 2 4 3 2 2 2 4" xfId="44183"/>
    <cellStyle name="표준 4 2 4 3 2 2 2 5" xfId="44184"/>
    <cellStyle name="표준 4 2 4 3 2 2 3" xfId="44185"/>
    <cellStyle name="표준 4 2 4 3 2 2 3 2" xfId="44186"/>
    <cellStyle name="표준 4 2 4 3 2 2 3 3" xfId="44187"/>
    <cellStyle name="표준 4 2 4 3 2 2 4" xfId="44188"/>
    <cellStyle name="표준 4 2 4 3 2 2 5" xfId="44189"/>
    <cellStyle name="표준 4 2 4 3 2 2 6" xfId="44190"/>
    <cellStyle name="표준 4 2 4 3 2 3" xfId="44191"/>
    <cellStyle name="표준 4 2 4 3 2 3 2" xfId="44192"/>
    <cellStyle name="표준 4 2 4 3 2 3 2 2" xfId="44193"/>
    <cellStyle name="표준 4 2 4 3 2 3 2 2 2" xfId="44194"/>
    <cellStyle name="표준 4 2 4 3 2 3 2 2 3" xfId="44195"/>
    <cellStyle name="표준 4 2 4 3 2 3 2 3" xfId="44196"/>
    <cellStyle name="표준 4 2 4 3 2 3 2 4" xfId="44197"/>
    <cellStyle name="표준 4 2 4 3 2 3 2 5" xfId="44198"/>
    <cellStyle name="표준 4 2 4 3 2 3 3" xfId="44199"/>
    <cellStyle name="표준 4 2 4 3 2 4" xfId="44200"/>
    <cellStyle name="표준 4 2 4 3 2 4 2" xfId="44201"/>
    <cellStyle name="표준 4 2 4 3 2 4 2 2" xfId="44202"/>
    <cellStyle name="표준 4 2 4 3 2 4 2 2 2" xfId="44203"/>
    <cellStyle name="표준 4 2 4 3 2 4 2 2 3" xfId="44204"/>
    <cellStyle name="표준 4 2 4 3 2 4 2 3" xfId="44205"/>
    <cellStyle name="표준 4 2 4 3 2 4 2 4" xfId="44206"/>
    <cellStyle name="표준 4 2 4 3 2 4 2 5" xfId="44207"/>
    <cellStyle name="표준 4 2 4 3 2 4 3" xfId="44208"/>
    <cellStyle name="표준 4 2 4 3 2 5" xfId="44209"/>
    <cellStyle name="표준 4 2 4 3 2 6" xfId="44210"/>
    <cellStyle name="표준 4 2 4 3 2 7" xfId="44211"/>
    <cellStyle name="표준 4 2 4 3 2 8" xfId="44212"/>
    <cellStyle name="표준 4 2 4 3 2 9" xfId="44213"/>
    <cellStyle name="표준 4 2 4 3 20" xfId="44214"/>
    <cellStyle name="표준 4 2 4 3 3" xfId="44215"/>
    <cellStyle name="표준 4 2 4 3 3 2" xfId="44216"/>
    <cellStyle name="표준 4 2 4 3 3 2 2" xfId="44217"/>
    <cellStyle name="표준 4 2 4 3 3 2 2 2" xfId="44218"/>
    <cellStyle name="표준 4 2 4 3 3 2 2 3" xfId="44219"/>
    <cellStyle name="표준 4 2 4 3 3 2 3" xfId="44220"/>
    <cellStyle name="표준 4 2 4 3 3 2 4" xfId="44221"/>
    <cellStyle name="표준 4 2 4 3 3 2 5" xfId="44222"/>
    <cellStyle name="표준 4 2 4 3 3 3" xfId="44223"/>
    <cellStyle name="표준 4 2 4 3 3 3 2" xfId="44224"/>
    <cellStyle name="표준 4 2 4 3 3 3 3" xfId="44225"/>
    <cellStyle name="표준 4 2 4 3 3 4" xfId="44226"/>
    <cellStyle name="표준 4 2 4 3 3 5" xfId="44227"/>
    <cellStyle name="표준 4 2 4 3 3 6" xfId="44228"/>
    <cellStyle name="표준 4 2 4 3 4" xfId="44229"/>
    <cellStyle name="표준 4 2 4 3 4 2" xfId="44230"/>
    <cellStyle name="표준 4 2 4 3 4 2 2" xfId="44231"/>
    <cellStyle name="표준 4 2 4 3 4 2 2 2" xfId="44232"/>
    <cellStyle name="표준 4 2 4 3 4 2 2 3" xfId="44233"/>
    <cellStyle name="표준 4 2 4 3 4 2 3" xfId="44234"/>
    <cellStyle name="표준 4 2 4 3 4 2 4" xfId="44235"/>
    <cellStyle name="표준 4 2 4 3 4 2 5" xfId="44236"/>
    <cellStyle name="표준 4 2 4 3 4 3" xfId="44237"/>
    <cellStyle name="표준 4 2 4 3 5" xfId="44238"/>
    <cellStyle name="표준 4 2 4 3 5 2" xfId="44239"/>
    <cellStyle name="표준 4 2 4 3 5 2 2" xfId="44240"/>
    <cellStyle name="표준 4 2 4 3 5 2 2 2" xfId="44241"/>
    <cellStyle name="표준 4 2 4 3 5 2 2 3" xfId="44242"/>
    <cellStyle name="표준 4 2 4 3 5 2 3" xfId="44243"/>
    <cellStyle name="표준 4 2 4 3 5 2 4" xfId="44244"/>
    <cellStyle name="표준 4 2 4 3 5 2 5" xfId="44245"/>
    <cellStyle name="표준 4 2 4 3 5 3" xfId="44246"/>
    <cellStyle name="표준 4 2 4 3 6" xfId="44247"/>
    <cellStyle name="표준 4 2 4 3 7" xfId="44248"/>
    <cellStyle name="표준 4 2 4 3 8" xfId="44249"/>
    <cellStyle name="표준 4 2 4 3 9" xfId="44250"/>
    <cellStyle name="표준 4 2 4 4" xfId="44251"/>
    <cellStyle name="표준 4 2 4 4 10" xfId="44252"/>
    <cellStyle name="표준 4 2 4 4 11" xfId="44253"/>
    <cellStyle name="표준 4 2 4 4 12" xfId="44254"/>
    <cellStyle name="표준 4 2 4 4 13" xfId="44255"/>
    <cellStyle name="표준 4 2 4 4 14" xfId="44256"/>
    <cellStyle name="표준 4 2 4 4 15" xfId="44257"/>
    <cellStyle name="표준 4 2 4 4 16" xfId="44258"/>
    <cellStyle name="표준 4 2 4 4 16 2" xfId="44259"/>
    <cellStyle name="표준 4 2 4 4 16 3" xfId="44260"/>
    <cellStyle name="표준 4 2 4 4 17" xfId="44261"/>
    <cellStyle name="표준 4 2 4 4 18" xfId="44262"/>
    <cellStyle name="표준 4 2 4 4 19" xfId="44263"/>
    <cellStyle name="표준 4 2 4 4 2" xfId="44264"/>
    <cellStyle name="표준 4 2 4 4 2 2" xfId="44265"/>
    <cellStyle name="표준 4 2 4 4 2 2 2" xfId="44266"/>
    <cellStyle name="표준 4 2 4 4 2 2 2 2" xfId="44267"/>
    <cellStyle name="표준 4 2 4 4 2 2 2 3" xfId="44268"/>
    <cellStyle name="표준 4 2 4 4 2 2 3" xfId="44269"/>
    <cellStyle name="표준 4 2 4 4 2 2 4" xfId="44270"/>
    <cellStyle name="표준 4 2 4 4 2 2 5" xfId="44271"/>
    <cellStyle name="표준 4 2 4 4 2 3" xfId="44272"/>
    <cellStyle name="표준 4 2 4 4 2 3 2" xfId="44273"/>
    <cellStyle name="표준 4 2 4 4 2 3 3" xfId="44274"/>
    <cellStyle name="표준 4 2 4 4 2 4" xfId="44275"/>
    <cellStyle name="표준 4 2 4 4 2 5" xfId="44276"/>
    <cellStyle name="표준 4 2 4 4 2 6" xfId="44277"/>
    <cellStyle name="표준 4 2 4 4 3" xfId="44278"/>
    <cellStyle name="표준 4 2 4 4 3 2" xfId="44279"/>
    <cellStyle name="표준 4 2 4 4 3 2 2" xfId="44280"/>
    <cellStyle name="표준 4 2 4 4 3 2 2 2" xfId="44281"/>
    <cellStyle name="표준 4 2 4 4 3 2 2 3" xfId="44282"/>
    <cellStyle name="표준 4 2 4 4 3 2 3" xfId="44283"/>
    <cellStyle name="표준 4 2 4 4 3 2 4" xfId="44284"/>
    <cellStyle name="표준 4 2 4 4 3 2 5" xfId="44285"/>
    <cellStyle name="표준 4 2 4 4 3 3" xfId="44286"/>
    <cellStyle name="표준 4 2 4 4 4" xfId="44287"/>
    <cellStyle name="표준 4 2 4 4 4 2" xfId="44288"/>
    <cellStyle name="표준 4 2 4 4 4 2 2" xfId="44289"/>
    <cellStyle name="표준 4 2 4 4 4 2 2 2" xfId="44290"/>
    <cellStyle name="표준 4 2 4 4 4 2 2 3" xfId="44291"/>
    <cellStyle name="표준 4 2 4 4 4 2 3" xfId="44292"/>
    <cellStyle name="표준 4 2 4 4 4 2 4" xfId="44293"/>
    <cellStyle name="표준 4 2 4 4 4 2 5" xfId="44294"/>
    <cellStyle name="표준 4 2 4 4 4 3" xfId="44295"/>
    <cellStyle name="표준 4 2 4 4 5" xfId="44296"/>
    <cellStyle name="표준 4 2 4 4 6" xfId="44297"/>
    <cellStyle name="표준 4 2 4 4 7" xfId="44298"/>
    <cellStyle name="표준 4 2 4 4 8" xfId="44299"/>
    <cellStyle name="표준 4 2 4 4 9" xfId="44300"/>
    <cellStyle name="표준 4 2 4 5" xfId="44301"/>
    <cellStyle name="표준 4 2 4 5 2" xfId="44302"/>
    <cellStyle name="표준 4 2 4 5 2 2" xfId="44303"/>
    <cellStyle name="표준 4 2 4 5 2 2 2" xfId="44304"/>
    <cellStyle name="표준 4 2 4 5 2 2 3" xfId="44305"/>
    <cellStyle name="표준 4 2 4 5 2 3" xfId="44306"/>
    <cellStyle name="표준 4 2 4 5 2 4" xfId="44307"/>
    <cellStyle name="표준 4 2 4 5 2 5" xfId="44308"/>
    <cellStyle name="표준 4 2 4 5 3" xfId="44309"/>
    <cellStyle name="표준 4 2 4 5 3 2" xfId="44310"/>
    <cellStyle name="표준 4 2 4 5 3 3" xfId="44311"/>
    <cellStyle name="표준 4 2 4 5 4" xfId="44312"/>
    <cellStyle name="표준 4 2 4 5 5" xfId="44313"/>
    <cellStyle name="표준 4 2 4 5 6" xfId="44314"/>
    <cellStyle name="표준 4 2 4 6" xfId="44315"/>
    <cellStyle name="표준 4 2 4 6 2" xfId="44316"/>
    <cellStyle name="표준 4 2 4 6 2 2" xfId="44317"/>
    <cellStyle name="표준 4 2 4 6 2 2 2" xfId="44318"/>
    <cellStyle name="표준 4 2 4 6 2 2 3" xfId="44319"/>
    <cellStyle name="표준 4 2 4 6 2 3" xfId="44320"/>
    <cellStyle name="표준 4 2 4 6 2 4" xfId="44321"/>
    <cellStyle name="표준 4 2 4 6 2 5" xfId="44322"/>
    <cellStyle name="표준 4 2 4 6 3" xfId="44323"/>
    <cellStyle name="표준 4 2 4 7" xfId="44324"/>
    <cellStyle name="표준 4 2 4 7 2" xfId="44325"/>
    <cellStyle name="표준 4 2 4 7 2 2" xfId="44326"/>
    <cellStyle name="표준 4 2 4 7 2 2 2" xfId="44327"/>
    <cellStyle name="표준 4 2 4 7 2 2 3" xfId="44328"/>
    <cellStyle name="표준 4 2 4 7 2 3" xfId="44329"/>
    <cellStyle name="표준 4 2 4 7 2 4" xfId="44330"/>
    <cellStyle name="표준 4 2 4 7 2 5" xfId="44331"/>
    <cellStyle name="표준 4 2 4 7 3" xfId="44332"/>
    <cellStyle name="표준 4 2 4 8" xfId="44333"/>
    <cellStyle name="표준 4 2 4 9" xfId="44334"/>
    <cellStyle name="표준 4 2 5" xfId="44335"/>
    <cellStyle name="표준 4 2 5 10" xfId="44336"/>
    <cellStyle name="표준 4 2 5 11" xfId="44337"/>
    <cellStyle name="표준 4 2 5 12" xfId="44338"/>
    <cellStyle name="표준 4 2 5 13" xfId="44339"/>
    <cellStyle name="표준 4 2 5 14" xfId="44340"/>
    <cellStyle name="표준 4 2 5 15" xfId="44341"/>
    <cellStyle name="표준 4 2 5 16" xfId="44342"/>
    <cellStyle name="표준 4 2 5 17" xfId="44343"/>
    <cellStyle name="표준 4 2 5 17 2" xfId="44344"/>
    <cellStyle name="표준 4 2 5 17 3" xfId="44345"/>
    <cellStyle name="표준 4 2 5 18" xfId="44346"/>
    <cellStyle name="표준 4 2 5 19" xfId="44347"/>
    <cellStyle name="표준 4 2 5 2" xfId="44348"/>
    <cellStyle name="표준 4 2 5 2 10" xfId="44349"/>
    <cellStyle name="표준 4 2 5 2 11" xfId="44350"/>
    <cellStyle name="표준 4 2 5 2 12" xfId="44351"/>
    <cellStyle name="표준 4 2 5 2 13" xfId="44352"/>
    <cellStyle name="표준 4 2 5 2 14" xfId="44353"/>
    <cellStyle name="표준 4 2 5 2 15" xfId="44354"/>
    <cellStyle name="표준 4 2 5 2 16" xfId="44355"/>
    <cellStyle name="표준 4 2 5 2 16 2" xfId="44356"/>
    <cellStyle name="표준 4 2 5 2 16 3" xfId="44357"/>
    <cellStyle name="표준 4 2 5 2 17" xfId="44358"/>
    <cellStyle name="표준 4 2 5 2 18" xfId="44359"/>
    <cellStyle name="표준 4 2 5 2 19" xfId="44360"/>
    <cellStyle name="표준 4 2 5 2 2" xfId="44361"/>
    <cellStyle name="표준 4 2 5 2 2 2" xfId="44362"/>
    <cellStyle name="표준 4 2 5 2 2 2 2" xfId="44363"/>
    <cellStyle name="표준 4 2 5 2 2 2 2 2" xfId="44364"/>
    <cellStyle name="표준 4 2 5 2 2 2 2 3" xfId="44365"/>
    <cellStyle name="표준 4 2 5 2 2 2 3" xfId="44366"/>
    <cellStyle name="표준 4 2 5 2 2 2 4" xfId="44367"/>
    <cellStyle name="표준 4 2 5 2 2 2 5" xfId="44368"/>
    <cellStyle name="표준 4 2 5 2 2 3" xfId="44369"/>
    <cellStyle name="표준 4 2 5 2 2 3 2" xfId="44370"/>
    <cellStyle name="표준 4 2 5 2 2 3 3" xfId="44371"/>
    <cellStyle name="표준 4 2 5 2 2 4" xfId="44372"/>
    <cellStyle name="표준 4 2 5 2 2 5" xfId="44373"/>
    <cellStyle name="표준 4 2 5 2 2 6" xfId="44374"/>
    <cellStyle name="표준 4 2 5 2 3" xfId="44375"/>
    <cellStyle name="표준 4 2 5 2 3 2" xfId="44376"/>
    <cellStyle name="표준 4 2 5 2 3 2 2" xfId="44377"/>
    <cellStyle name="표준 4 2 5 2 3 2 2 2" xfId="44378"/>
    <cellStyle name="표준 4 2 5 2 3 2 2 3" xfId="44379"/>
    <cellStyle name="표준 4 2 5 2 3 2 3" xfId="44380"/>
    <cellStyle name="표준 4 2 5 2 3 2 4" xfId="44381"/>
    <cellStyle name="표준 4 2 5 2 3 2 5" xfId="44382"/>
    <cellStyle name="표준 4 2 5 2 3 3" xfId="44383"/>
    <cellStyle name="표준 4 2 5 2 4" xfId="44384"/>
    <cellStyle name="표준 4 2 5 2 4 2" xfId="44385"/>
    <cellStyle name="표준 4 2 5 2 4 2 2" xfId="44386"/>
    <cellStyle name="표준 4 2 5 2 4 2 2 2" xfId="44387"/>
    <cellStyle name="표준 4 2 5 2 4 2 2 3" xfId="44388"/>
    <cellStyle name="표준 4 2 5 2 4 2 3" xfId="44389"/>
    <cellStyle name="표준 4 2 5 2 4 2 4" xfId="44390"/>
    <cellStyle name="표준 4 2 5 2 4 2 5" xfId="44391"/>
    <cellStyle name="표준 4 2 5 2 4 3" xfId="44392"/>
    <cellStyle name="표준 4 2 5 2 5" xfId="44393"/>
    <cellStyle name="표준 4 2 5 2 6" xfId="44394"/>
    <cellStyle name="표준 4 2 5 2 7" xfId="44395"/>
    <cellStyle name="표준 4 2 5 2 8" xfId="44396"/>
    <cellStyle name="표준 4 2 5 2 9" xfId="44397"/>
    <cellStyle name="표준 4 2 5 20" xfId="44398"/>
    <cellStyle name="표준 4 2 5 3" xfId="44399"/>
    <cellStyle name="표준 4 2 5 3 2" xfId="44400"/>
    <cellStyle name="표준 4 2 5 3 2 2" xfId="44401"/>
    <cellStyle name="표준 4 2 5 3 2 2 2" xfId="44402"/>
    <cellStyle name="표준 4 2 5 3 2 2 3" xfId="44403"/>
    <cellStyle name="표준 4 2 5 3 2 3" xfId="44404"/>
    <cellStyle name="표준 4 2 5 3 2 4" xfId="44405"/>
    <cellStyle name="표준 4 2 5 3 2 5" xfId="44406"/>
    <cellStyle name="표준 4 2 5 3 3" xfId="44407"/>
    <cellStyle name="표준 4 2 5 3 3 2" xfId="44408"/>
    <cellStyle name="표준 4 2 5 3 3 3" xfId="44409"/>
    <cellStyle name="표준 4 2 5 3 4" xfId="44410"/>
    <cellStyle name="표준 4 2 5 3 5" xfId="44411"/>
    <cellStyle name="표준 4 2 5 3 6" xfId="44412"/>
    <cellStyle name="표준 4 2 5 4" xfId="44413"/>
    <cellStyle name="표준 4 2 5 4 2" xfId="44414"/>
    <cellStyle name="표준 4 2 5 4 2 2" xfId="44415"/>
    <cellStyle name="표준 4 2 5 4 2 2 2" xfId="44416"/>
    <cellStyle name="표준 4 2 5 4 2 2 3" xfId="44417"/>
    <cellStyle name="표준 4 2 5 4 2 3" xfId="44418"/>
    <cellStyle name="표준 4 2 5 4 2 4" xfId="44419"/>
    <cellStyle name="표준 4 2 5 4 2 5" xfId="44420"/>
    <cellStyle name="표준 4 2 5 4 3" xfId="44421"/>
    <cellStyle name="표준 4 2 5 5" xfId="44422"/>
    <cellStyle name="표준 4 2 5 5 2" xfId="44423"/>
    <cellStyle name="표준 4 2 5 5 2 2" xfId="44424"/>
    <cellStyle name="표준 4 2 5 5 2 2 2" xfId="44425"/>
    <cellStyle name="표준 4 2 5 5 2 2 3" xfId="44426"/>
    <cellStyle name="표준 4 2 5 5 2 3" xfId="44427"/>
    <cellStyle name="표준 4 2 5 5 2 4" xfId="44428"/>
    <cellStyle name="표준 4 2 5 5 2 5" xfId="44429"/>
    <cellStyle name="표준 4 2 5 5 3" xfId="44430"/>
    <cellStyle name="표준 4 2 5 6" xfId="44431"/>
    <cellStyle name="표준 4 2 5 7" xfId="44432"/>
    <cellStyle name="표준 4 2 5 8" xfId="44433"/>
    <cellStyle name="표준 4 2 5 9" xfId="44434"/>
    <cellStyle name="표준 4 2 6" xfId="44435"/>
    <cellStyle name="표준 4 2 6 10" xfId="44436"/>
    <cellStyle name="표준 4 2 6 11" xfId="44437"/>
    <cellStyle name="표준 4 2 6 12" xfId="44438"/>
    <cellStyle name="표준 4 2 6 13" xfId="44439"/>
    <cellStyle name="표준 4 2 6 14" xfId="44440"/>
    <cellStyle name="표준 4 2 6 15" xfId="44441"/>
    <cellStyle name="표준 4 2 6 16" xfId="44442"/>
    <cellStyle name="표준 4 2 6 17" xfId="44443"/>
    <cellStyle name="표준 4 2 6 17 2" xfId="44444"/>
    <cellStyle name="표준 4 2 6 17 3" xfId="44445"/>
    <cellStyle name="표준 4 2 6 18" xfId="44446"/>
    <cellStyle name="표준 4 2 6 19" xfId="44447"/>
    <cellStyle name="표준 4 2 6 2" xfId="44448"/>
    <cellStyle name="표준 4 2 6 2 10" xfId="44449"/>
    <cellStyle name="표준 4 2 6 2 11" xfId="44450"/>
    <cellStyle name="표준 4 2 6 2 12" xfId="44451"/>
    <cellStyle name="표준 4 2 6 2 13" xfId="44452"/>
    <cellStyle name="표준 4 2 6 2 14" xfId="44453"/>
    <cellStyle name="표준 4 2 6 2 15" xfId="44454"/>
    <cellStyle name="표준 4 2 6 2 16" xfId="44455"/>
    <cellStyle name="표준 4 2 6 2 16 2" xfId="44456"/>
    <cellStyle name="표준 4 2 6 2 16 3" xfId="44457"/>
    <cellStyle name="표준 4 2 6 2 17" xfId="44458"/>
    <cellStyle name="표준 4 2 6 2 18" xfId="44459"/>
    <cellStyle name="표준 4 2 6 2 19" xfId="44460"/>
    <cellStyle name="표준 4 2 6 2 2" xfId="44461"/>
    <cellStyle name="표준 4 2 6 2 2 2" xfId="44462"/>
    <cellStyle name="표준 4 2 6 2 2 2 2" xfId="44463"/>
    <cellStyle name="표준 4 2 6 2 2 2 2 2" xfId="44464"/>
    <cellStyle name="표준 4 2 6 2 2 2 2 3" xfId="44465"/>
    <cellStyle name="표준 4 2 6 2 2 2 3" xfId="44466"/>
    <cellStyle name="표준 4 2 6 2 2 2 4" xfId="44467"/>
    <cellStyle name="표준 4 2 6 2 2 2 5" xfId="44468"/>
    <cellStyle name="표준 4 2 6 2 2 3" xfId="44469"/>
    <cellStyle name="표준 4 2 6 2 2 3 2" xfId="44470"/>
    <cellStyle name="표준 4 2 6 2 2 3 3" xfId="44471"/>
    <cellStyle name="표준 4 2 6 2 2 4" xfId="44472"/>
    <cellStyle name="표준 4 2 6 2 2 5" xfId="44473"/>
    <cellStyle name="표준 4 2 6 2 2 6" xfId="44474"/>
    <cellStyle name="표준 4 2 6 2 3" xfId="44475"/>
    <cellStyle name="표준 4 2 6 2 3 2" xfId="44476"/>
    <cellStyle name="표준 4 2 6 2 3 2 2" xfId="44477"/>
    <cellStyle name="표준 4 2 6 2 3 2 2 2" xfId="44478"/>
    <cellStyle name="표준 4 2 6 2 3 2 2 3" xfId="44479"/>
    <cellStyle name="표준 4 2 6 2 3 2 3" xfId="44480"/>
    <cellStyle name="표준 4 2 6 2 3 2 4" xfId="44481"/>
    <cellStyle name="표준 4 2 6 2 3 2 5" xfId="44482"/>
    <cellStyle name="표준 4 2 6 2 3 3" xfId="44483"/>
    <cellStyle name="표준 4 2 6 2 4" xfId="44484"/>
    <cellStyle name="표준 4 2 6 2 4 2" xfId="44485"/>
    <cellStyle name="표준 4 2 6 2 4 2 2" xfId="44486"/>
    <cellStyle name="표준 4 2 6 2 4 2 2 2" xfId="44487"/>
    <cellStyle name="표준 4 2 6 2 4 2 2 3" xfId="44488"/>
    <cellStyle name="표준 4 2 6 2 4 2 3" xfId="44489"/>
    <cellStyle name="표준 4 2 6 2 4 2 4" xfId="44490"/>
    <cellStyle name="표준 4 2 6 2 4 2 5" xfId="44491"/>
    <cellStyle name="표준 4 2 6 2 4 3" xfId="44492"/>
    <cellStyle name="표준 4 2 6 2 5" xfId="44493"/>
    <cellStyle name="표준 4 2 6 2 6" xfId="44494"/>
    <cellStyle name="표준 4 2 6 2 7" xfId="44495"/>
    <cellStyle name="표준 4 2 6 2 8" xfId="44496"/>
    <cellStyle name="표준 4 2 6 2 9" xfId="44497"/>
    <cellStyle name="표준 4 2 6 20" xfId="44498"/>
    <cellStyle name="표준 4 2 6 3" xfId="44499"/>
    <cellStyle name="표준 4 2 6 3 2" xfId="44500"/>
    <cellStyle name="표준 4 2 6 3 2 2" xfId="44501"/>
    <cellStyle name="표준 4 2 6 3 2 2 2" xfId="44502"/>
    <cellStyle name="표준 4 2 6 3 2 2 3" xfId="44503"/>
    <cellStyle name="표준 4 2 6 3 2 3" xfId="44504"/>
    <cellStyle name="표준 4 2 6 3 2 4" xfId="44505"/>
    <cellStyle name="표준 4 2 6 3 2 5" xfId="44506"/>
    <cellStyle name="표준 4 2 6 3 3" xfId="44507"/>
    <cellStyle name="표준 4 2 6 3 3 2" xfId="44508"/>
    <cellStyle name="표준 4 2 6 3 3 3" xfId="44509"/>
    <cellStyle name="표준 4 2 6 3 4" xfId="44510"/>
    <cellStyle name="표준 4 2 6 3 5" xfId="44511"/>
    <cellStyle name="표준 4 2 6 3 6" xfId="44512"/>
    <cellStyle name="표준 4 2 6 4" xfId="44513"/>
    <cellStyle name="표준 4 2 6 4 2" xfId="44514"/>
    <cellStyle name="표준 4 2 6 4 2 2" xfId="44515"/>
    <cellStyle name="표준 4 2 6 4 2 2 2" xfId="44516"/>
    <cellStyle name="표준 4 2 6 4 2 2 3" xfId="44517"/>
    <cellStyle name="표준 4 2 6 4 2 3" xfId="44518"/>
    <cellStyle name="표준 4 2 6 4 2 4" xfId="44519"/>
    <cellStyle name="표준 4 2 6 4 2 5" xfId="44520"/>
    <cellStyle name="표준 4 2 6 4 3" xfId="44521"/>
    <cellStyle name="표준 4 2 6 5" xfId="44522"/>
    <cellStyle name="표준 4 2 6 5 2" xfId="44523"/>
    <cellStyle name="표준 4 2 6 5 2 2" xfId="44524"/>
    <cellStyle name="표준 4 2 6 5 2 2 2" xfId="44525"/>
    <cellStyle name="표준 4 2 6 5 2 2 3" xfId="44526"/>
    <cellStyle name="표준 4 2 6 5 2 3" xfId="44527"/>
    <cellStyle name="표준 4 2 6 5 2 4" xfId="44528"/>
    <cellStyle name="표준 4 2 6 5 2 5" xfId="44529"/>
    <cellStyle name="표준 4 2 6 5 3" xfId="44530"/>
    <cellStyle name="표준 4 2 6 6" xfId="44531"/>
    <cellStyle name="표준 4 2 6 7" xfId="44532"/>
    <cellStyle name="표준 4 2 6 8" xfId="44533"/>
    <cellStyle name="표준 4 2 6 9" xfId="44534"/>
    <cellStyle name="표준 4 2 7" xfId="44535"/>
    <cellStyle name="표준 4 2 7 10" xfId="44536"/>
    <cellStyle name="표준 4 2 7 11" xfId="44537"/>
    <cellStyle name="표준 4 2 7 12" xfId="44538"/>
    <cellStyle name="표준 4 2 7 13" xfId="44539"/>
    <cellStyle name="표준 4 2 7 14" xfId="44540"/>
    <cellStyle name="표준 4 2 7 15" xfId="44541"/>
    <cellStyle name="표준 4 2 7 16" xfId="44542"/>
    <cellStyle name="표준 4 2 7 16 2" xfId="44543"/>
    <cellStyle name="표준 4 2 7 16 3" xfId="44544"/>
    <cellStyle name="표준 4 2 7 17" xfId="44545"/>
    <cellStyle name="표준 4 2 7 18" xfId="44546"/>
    <cellStyle name="표준 4 2 7 19" xfId="44547"/>
    <cellStyle name="표준 4 2 7 2" xfId="44548"/>
    <cellStyle name="표준 4 2 7 2 2" xfId="44549"/>
    <cellStyle name="표준 4 2 7 2 3" xfId="44550"/>
    <cellStyle name="표준 4 2 7 2 3 2" xfId="44551"/>
    <cellStyle name="표준 4 2 7 2 3 3" xfId="44552"/>
    <cellStyle name="표준 4 2 7 2 4" xfId="44553"/>
    <cellStyle name="표준 4 2 7 2 5" xfId="44554"/>
    <cellStyle name="표준 4 2 7 2 6" xfId="44555"/>
    <cellStyle name="표준 4 2 7 3" xfId="44556"/>
    <cellStyle name="표준 4 2 7 3 2" xfId="44557"/>
    <cellStyle name="표준 4 2 7 3 2 2" xfId="44558"/>
    <cellStyle name="표준 4 2 7 3 2 2 2" xfId="44559"/>
    <cellStyle name="표준 4 2 7 3 2 2 3" xfId="44560"/>
    <cellStyle name="표준 4 2 7 3 2 3" xfId="44561"/>
    <cellStyle name="표준 4 2 7 3 2 4" xfId="44562"/>
    <cellStyle name="표준 4 2 7 3 2 5" xfId="44563"/>
    <cellStyle name="표준 4 2 7 3 3" xfId="44564"/>
    <cellStyle name="표준 4 2 7 4" xfId="44565"/>
    <cellStyle name="표준 4 2 7 4 2" xfId="44566"/>
    <cellStyle name="표준 4 2 7 4 2 2" xfId="44567"/>
    <cellStyle name="표준 4 2 7 4 2 2 2" xfId="44568"/>
    <cellStyle name="표준 4 2 7 4 2 2 3" xfId="44569"/>
    <cellStyle name="표준 4 2 7 4 2 3" xfId="44570"/>
    <cellStyle name="표준 4 2 7 4 2 4" xfId="44571"/>
    <cellStyle name="표준 4 2 7 4 2 5" xfId="44572"/>
    <cellStyle name="표준 4 2 7 4 3" xfId="44573"/>
    <cellStyle name="표준 4 2 7 5" xfId="44574"/>
    <cellStyle name="표준 4 2 7 6" xfId="44575"/>
    <cellStyle name="표준 4 2 7 7" xfId="44576"/>
    <cellStyle name="표준 4 2 7 8" xfId="44577"/>
    <cellStyle name="표준 4 2 7 9" xfId="44578"/>
    <cellStyle name="표준 4 2 8" xfId="44579"/>
    <cellStyle name="표준 4 2 8 2" xfId="44580"/>
    <cellStyle name="표준 4 2 8 3" xfId="44581"/>
    <cellStyle name="표준 4 2 8 3 2" xfId="44582"/>
    <cellStyle name="표준 4 2 8 3 3" xfId="44583"/>
    <cellStyle name="표준 4 2 8 4" xfId="44584"/>
    <cellStyle name="표준 4 2 8 5" xfId="44585"/>
    <cellStyle name="표준 4 2 8 6" xfId="44586"/>
    <cellStyle name="표준 4 2 9" xfId="44587"/>
    <cellStyle name="표준 4 2 9 2" xfId="44588"/>
    <cellStyle name="표준 4 2 9 2 2" xfId="44589"/>
    <cellStyle name="표준 4 2 9 2 2 2" xfId="44590"/>
    <cellStyle name="표준 4 2 9 2 2 3" xfId="44591"/>
    <cellStyle name="표준 4 2 9 2 3" xfId="44592"/>
    <cellStyle name="표준 4 2 9 2 4" xfId="44593"/>
    <cellStyle name="표준 4 2 9 2 5" xfId="44594"/>
    <cellStyle name="표준 4 2 9 3" xfId="44595"/>
    <cellStyle name="표준 4 20" xfId="44596"/>
    <cellStyle name="표준 4 20 2" xfId="44597"/>
    <cellStyle name="표준 4 21" xfId="44598"/>
    <cellStyle name="표준 4 21 2" xfId="44599"/>
    <cellStyle name="표준 4 22" xfId="44600"/>
    <cellStyle name="표준 4 22 2" xfId="44601"/>
    <cellStyle name="표준 4 23" xfId="44602"/>
    <cellStyle name="표준 4 23 2" xfId="44603"/>
    <cellStyle name="표준 4 24" xfId="44604"/>
    <cellStyle name="표준 4 25" xfId="44605"/>
    <cellStyle name="표준 4 3" xfId="44606"/>
    <cellStyle name="표준 4 3 10" xfId="44607"/>
    <cellStyle name="표준 4 3 11" xfId="44608"/>
    <cellStyle name="표준 4 3 12" xfId="44609"/>
    <cellStyle name="표준 4 3 13" xfId="44610"/>
    <cellStyle name="표준 4 3 14" xfId="44611"/>
    <cellStyle name="표준 4 3 15" xfId="44612"/>
    <cellStyle name="표준 4 3 16" xfId="44613"/>
    <cellStyle name="표준 4 3 17" xfId="44614"/>
    <cellStyle name="표준 4 3 18" xfId="44615"/>
    <cellStyle name="표준 4 3 19" xfId="44616"/>
    <cellStyle name="표준 4 3 2" xfId="44617"/>
    <cellStyle name="표준 4 3 2 10" xfId="44618"/>
    <cellStyle name="표준 4 3 2 11" xfId="44619"/>
    <cellStyle name="표준 4 3 2 12" xfId="44620"/>
    <cellStyle name="표준 4 3 2 13" xfId="44621"/>
    <cellStyle name="표준 4 3 2 14" xfId="44622"/>
    <cellStyle name="표준 4 3 2 15" xfId="44623"/>
    <cellStyle name="표준 4 3 2 16" xfId="44624"/>
    <cellStyle name="표준 4 3 2 17" xfId="44625"/>
    <cellStyle name="표준 4 3 2 18" xfId="44626"/>
    <cellStyle name="표준 4 3 2 19" xfId="44627"/>
    <cellStyle name="표준 4 3 2 2" xfId="44628"/>
    <cellStyle name="표준 4 3 2 2 10" xfId="44629"/>
    <cellStyle name="표준 4 3 2 2 11" xfId="44630"/>
    <cellStyle name="표준 4 3 2 2 12" xfId="44631"/>
    <cellStyle name="표준 4 3 2 2 13" xfId="44632"/>
    <cellStyle name="표준 4 3 2 2 14" xfId="44633"/>
    <cellStyle name="표준 4 3 2 2 15" xfId="44634"/>
    <cellStyle name="표준 4 3 2 2 16" xfId="44635"/>
    <cellStyle name="표준 4 3 2 2 17" xfId="44636"/>
    <cellStyle name="표준 4 3 2 2 18" xfId="44637"/>
    <cellStyle name="표준 4 3 2 2 19" xfId="44638"/>
    <cellStyle name="표준 4 3 2 2 19 2" xfId="44639"/>
    <cellStyle name="표준 4 3 2 2 19 3" xfId="44640"/>
    <cellStyle name="표준 4 3 2 2 2" xfId="44641"/>
    <cellStyle name="표준 4 3 2 2 2 10" xfId="44642"/>
    <cellStyle name="표준 4 3 2 2 2 11" xfId="44643"/>
    <cellStyle name="표준 4 3 2 2 2 12" xfId="44644"/>
    <cellStyle name="표준 4 3 2 2 2 13" xfId="44645"/>
    <cellStyle name="표준 4 3 2 2 2 14" xfId="44646"/>
    <cellStyle name="표준 4 3 2 2 2 15" xfId="44647"/>
    <cellStyle name="표준 4 3 2 2 2 16" xfId="44648"/>
    <cellStyle name="표준 4 3 2 2 2 17" xfId="44649"/>
    <cellStyle name="표준 4 3 2 2 2 17 2" xfId="44650"/>
    <cellStyle name="표준 4 3 2 2 2 17 3" xfId="44651"/>
    <cellStyle name="표준 4 3 2 2 2 18" xfId="44652"/>
    <cellStyle name="표준 4 3 2 2 2 19" xfId="44653"/>
    <cellStyle name="표준 4 3 2 2 2 2" xfId="44654"/>
    <cellStyle name="표준 4 3 2 2 2 2 10" xfId="44655"/>
    <cellStyle name="표준 4 3 2 2 2 2 11" xfId="44656"/>
    <cellStyle name="표준 4 3 2 2 2 2 12" xfId="44657"/>
    <cellStyle name="표준 4 3 2 2 2 2 13" xfId="44658"/>
    <cellStyle name="표준 4 3 2 2 2 2 14" xfId="44659"/>
    <cellStyle name="표준 4 3 2 2 2 2 15" xfId="44660"/>
    <cellStyle name="표준 4 3 2 2 2 2 16" xfId="44661"/>
    <cellStyle name="표준 4 3 2 2 2 2 16 2" xfId="44662"/>
    <cellStyle name="표준 4 3 2 2 2 2 16 3" xfId="44663"/>
    <cellStyle name="표준 4 3 2 2 2 2 17" xfId="44664"/>
    <cellStyle name="표준 4 3 2 2 2 2 18" xfId="44665"/>
    <cellStyle name="표준 4 3 2 2 2 2 19" xfId="44666"/>
    <cellStyle name="표준 4 3 2 2 2 2 2" xfId="44667"/>
    <cellStyle name="표준 4 3 2 2 2 2 2 2" xfId="44668"/>
    <cellStyle name="표준 4 3 2 2 2 2 2 2 2" xfId="44669"/>
    <cellStyle name="표준 4 3 2 2 2 2 2 2 2 2" xfId="44670"/>
    <cellStyle name="표준 4 3 2 2 2 2 2 2 2 3" xfId="44671"/>
    <cellStyle name="표준 4 3 2 2 2 2 2 2 3" xfId="44672"/>
    <cellStyle name="표준 4 3 2 2 2 2 2 2 4" xfId="44673"/>
    <cellStyle name="표준 4 3 2 2 2 2 2 2 5" xfId="44674"/>
    <cellStyle name="표준 4 3 2 2 2 2 2 3" xfId="44675"/>
    <cellStyle name="표준 4 3 2 2 2 2 2 3 2" xfId="44676"/>
    <cellStyle name="표준 4 3 2 2 2 2 2 3 3" xfId="44677"/>
    <cellStyle name="표준 4 3 2 2 2 2 2 4" xfId="44678"/>
    <cellStyle name="표준 4 3 2 2 2 2 2 5" xfId="44679"/>
    <cellStyle name="표준 4 3 2 2 2 2 2 6" xfId="44680"/>
    <cellStyle name="표준 4 3 2 2 2 2 3" xfId="44681"/>
    <cellStyle name="표준 4 3 2 2 2 2 3 2" xfId="44682"/>
    <cellStyle name="표준 4 3 2 2 2 2 3 2 2" xfId="44683"/>
    <cellStyle name="표준 4 3 2 2 2 2 3 2 2 2" xfId="44684"/>
    <cellStyle name="표준 4 3 2 2 2 2 3 2 2 3" xfId="44685"/>
    <cellStyle name="표준 4 3 2 2 2 2 3 2 3" xfId="44686"/>
    <cellStyle name="표준 4 3 2 2 2 2 3 2 4" xfId="44687"/>
    <cellStyle name="표준 4 3 2 2 2 2 3 2 5" xfId="44688"/>
    <cellStyle name="표준 4 3 2 2 2 2 3 3" xfId="44689"/>
    <cellStyle name="표준 4 3 2 2 2 2 4" xfId="44690"/>
    <cellStyle name="표준 4 3 2 2 2 2 4 2" xfId="44691"/>
    <cellStyle name="표준 4 3 2 2 2 2 4 2 2" xfId="44692"/>
    <cellStyle name="표준 4 3 2 2 2 2 4 2 2 2" xfId="44693"/>
    <cellStyle name="표준 4 3 2 2 2 2 4 2 2 3" xfId="44694"/>
    <cellStyle name="표준 4 3 2 2 2 2 4 2 3" xfId="44695"/>
    <cellStyle name="표준 4 3 2 2 2 2 4 2 4" xfId="44696"/>
    <cellStyle name="표준 4 3 2 2 2 2 4 2 5" xfId="44697"/>
    <cellStyle name="표준 4 3 2 2 2 2 4 3" xfId="44698"/>
    <cellStyle name="표준 4 3 2 2 2 2 5" xfId="44699"/>
    <cellStyle name="표준 4 3 2 2 2 2 6" xfId="44700"/>
    <cellStyle name="표준 4 3 2 2 2 2 7" xfId="44701"/>
    <cellStyle name="표준 4 3 2 2 2 2 8" xfId="44702"/>
    <cellStyle name="표준 4 3 2 2 2 2 9" xfId="44703"/>
    <cellStyle name="표준 4 3 2 2 2 20" xfId="44704"/>
    <cellStyle name="표준 4 3 2 2 2 3" xfId="44705"/>
    <cellStyle name="표준 4 3 2 2 2 3 2" xfId="44706"/>
    <cellStyle name="표준 4 3 2 2 2 3 2 2" xfId="44707"/>
    <cellStyle name="표준 4 3 2 2 2 3 2 2 2" xfId="44708"/>
    <cellStyle name="표준 4 3 2 2 2 3 2 2 3" xfId="44709"/>
    <cellStyle name="표준 4 3 2 2 2 3 2 3" xfId="44710"/>
    <cellStyle name="표준 4 3 2 2 2 3 2 4" xfId="44711"/>
    <cellStyle name="표준 4 3 2 2 2 3 2 5" xfId="44712"/>
    <cellStyle name="표준 4 3 2 2 2 3 3" xfId="44713"/>
    <cellStyle name="표준 4 3 2 2 2 3 3 2" xfId="44714"/>
    <cellStyle name="표준 4 3 2 2 2 3 3 3" xfId="44715"/>
    <cellStyle name="표준 4 3 2 2 2 3 4" xfId="44716"/>
    <cellStyle name="표준 4 3 2 2 2 3 5" xfId="44717"/>
    <cellStyle name="표준 4 3 2 2 2 3 6" xfId="44718"/>
    <cellStyle name="표준 4 3 2 2 2 4" xfId="44719"/>
    <cellStyle name="표준 4 3 2 2 2 4 2" xfId="44720"/>
    <cellStyle name="표준 4 3 2 2 2 4 2 2" xfId="44721"/>
    <cellStyle name="표준 4 3 2 2 2 4 2 2 2" xfId="44722"/>
    <cellStyle name="표준 4 3 2 2 2 4 2 2 3" xfId="44723"/>
    <cellStyle name="표준 4 3 2 2 2 4 2 3" xfId="44724"/>
    <cellStyle name="표준 4 3 2 2 2 4 2 4" xfId="44725"/>
    <cellStyle name="표준 4 3 2 2 2 4 2 5" xfId="44726"/>
    <cellStyle name="표준 4 3 2 2 2 4 3" xfId="44727"/>
    <cellStyle name="표준 4 3 2 2 2 5" xfId="44728"/>
    <cellStyle name="표준 4 3 2 2 2 5 2" xfId="44729"/>
    <cellStyle name="표준 4 3 2 2 2 5 2 2" xfId="44730"/>
    <cellStyle name="표준 4 3 2 2 2 5 2 2 2" xfId="44731"/>
    <cellStyle name="표준 4 3 2 2 2 5 2 2 3" xfId="44732"/>
    <cellStyle name="표준 4 3 2 2 2 5 2 3" xfId="44733"/>
    <cellStyle name="표준 4 3 2 2 2 5 2 4" xfId="44734"/>
    <cellStyle name="표준 4 3 2 2 2 5 2 5" xfId="44735"/>
    <cellStyle name="표준 4 3 2 2 2 5 3" xfId="44736"/>
    <cellStyle name="표준 4 3 2 2 2 6" xfId="44737"/>
    <cellStyle name="표준 4 3 2 2 2 7" xfId="44738"/>
    <cellStyle name="표준 4 3 2 2 2 8" xfId="44739"/>
    <cellStyle name="표준 4 3 2 2 2 9" xfId="44740"/>
    <cellStyle name="표준 4 3 2 2 20" xfId="44741"/>
    <cellStyle name="표준 4 3 2 2 21" xfId="44742"/>
    <cellStyle name="표준 4 3 2 2 22" xfId="44743"/>
    <cellStyle name="표준 4 3 2 2 3" xfId="44744"/>
    <cellStyle name="표준 4 3 2 2 3 10" xfId="44745"/>
    <cellStyle name="표준 4 3 2 2 3 11" xfId="44746"/>
    <cellStyle name="표준 4 3 2 2 3 12" xfId="44747"/>
    <cellStyle name="표준 4 3 2 2 3 13" xfId="44748"/>
    <cellStyle name="표준 4 3 2 2 3 14" xfId="44749"/>
    <cellStyle name="표준 4 3 2 2 3 15" xfId="44750"/>
    <cellStyle name="표준 4 3 2 2 3 16" xfId="44751"/>
    <cellStyle name="표준 4 3 2 2 3 17" xfId="44752"/>
    <cellStyle name="표준 4 3 2 2 3 17 2" xfId="44753"/>
    <cellStyle name="표준 4 3 2 2 3 17 3" xfId="44754"/>
    <cellStyle name="표준 4 3 2 2 3 18" xfId="44755"/>
    <cellStyle name="표준 4 3 2 2 3 19" xfId="44756"/>
    <cellStyle name="표준 4 3 2 2 3 2" xfId="44757"/>
    <cellStyle name="표준 4 3 2 2 3 2 10" xfId="44758"/>
    <cellStyle name="표준 4 3 2 2 3 2 11" xfId="44759"/>
    <cellStyle name="표준 4 3 2 2 3 2 12" xfId="44760"/>
    <cellStyle name="표준 4 3 2 2 3 2 13" xfId="44761"/>
    <cellStyle name="표준 4 3 2 2 3 2 14" xfId="44762"/>
    <cellStyle name="표준 4 3 2 2 3 2 15" xfId="44763"/>
    <cellStyle name="표준 4 3 2 2 3 2 16" xfId="44764"/>
    <cellStyle name="표준 4 3 2 2 3 2 16 2" xfId="44765"/>
    <cellStyle name="표준 4 3 2 2 3 2 16 3" xfId="44766"/>
    <cellStyle name="표준 4 3 2 2 3 2 17" xfId="44767"/>
    <cellStyle name="표준 4 3 2 2 3 2 18" xfId="44768"/>
    <cellStyle name="표준 4 3 2 2 3 2 19" xfId="44769"/>
    <cellStyle name="표준 4 3 2 2 3 2 2" xfId="44770"/>
    <cellStyle name="표준 4 3 2 2 3 2 2 2" xfId="44771"/>
    <cellStyle name="표준 4 3 2 2 3 2 2 2 2" xfId="44772"/>
    <cellStyle name="표준 4 3 2 2 3 2 2 2 2 2" xfId="44773"/>
    <cellStyle name="표준 4 3 2 2 3 2 2 2 2 3" xfId="44774"/>
    <cellStyle name="표준 4 3 2 2 3 2 2 2 3" xfId="44775"/>
    <cellStyle name="표준 4 3 2 2 3 2 2 2 4" xfId="44776"/>
    <cellStyle name="표준 4 3 2 2 3 2 2 2 5" xfId="44777"/>
    <cellStyle name="표준 4 3 2 2 3 2 2 3" xfId="44778"/>
    <cellStyle name="표준 4 3 2 2 3 2 2 3 2" xfId="44779"/>
    <cellStyle name="표준 4 3 2 2 3 2 2 3 3" xfId="44780"/>
    <cellStyle name="표준 4 3 2 2 3 2 2 4" xfId="44781"/>
    <cellStyle name="표준 4 3 2 2 3 2 2 5" xfId="44782"/>
    <cellStyle name="표준 4 3 2 2 3 2 2 6" xfId="44783"/>
    <cellStyle name="표준 4 3 2 2 3 2 3" xfId="44784"/>
    <cellStyle name="표준 4 3 2 2 3 2 3 2" xfId="44785"/>
    <cellStyle name="표준 4 3 2 2 3 2 3 2 2" xfId="44786"/>
    <cellStyle name="표준 4 3 2 2 3 2 3 2 2 2" xfId="44787"/>
    <cellStyle name="표준 4 3 2 2 3 2 3 2 2 3" xfId="44788"/>
    <cellStyle name="표준 4 3 2 2 3 2 3 2 3" xfId="44789"/>
    <cellStyle name="표준 4 3 2 2 3 2 3 2 4" xfId="44790"/>
    <cellStyle name="표준 4 3 2 2 3 2 3 2 5" xfId="44791"/>
    <cellStyle name="표준 4 3 2 2 3 2 3 3" xfId="44792"/>
    <cellStyle name="표준 4 3 2 2 3 2 4" xfId="44793"/>
    <cellStyle name="표준 4 3 2 2 3 2 4 2" xfId="44794"/>
    <cellStyle name="표준 4 3 2 2 3 2 4 2 2" xfId="44795"/>
    <cellStyle name="표준 4 3 2 2 3 2 4 2 2 2" xfId="44796"/>
    <cellStyle name="표준 4 3 2 2 3 2 4 2 2 3" xfId="44797"/>
    <cellStyle name="표준 4 3 2 2 3 2 4 2 3" xfId="44798"/>
    <cellStyle name="표준 4 3 2 2 3 2 4 2 4" xfId="44799"/>
    <cellStyle name="표준 4 3 2 2 3 2 4 2 5" xfId="44800"/>
    <cellStyle name="표준 4 3 2 2 3 2 4 3" xfId="44801"/>
    <cellStyle name="표준 4 3 2 2 3 2 5" xfId="44802"/>
    <cellStyle name="표준 4 3 2 2 3 2 6" xfId="44803"/>
    <cellStyle name="표준 4 3 2 2 3 2 7" xfId="44804"/>
    <cellStyle name="표준 4 3 2 2 3 2 8" xfId="44805"/>
    <cellStyle name="표준 4 3 2 2 3 2 9" xfId="44806"/>
    <cellStyle name="표준 4 3 2 2 3 20" xfId="44807"/>
    <cellStyle name="표준 4 3 2 2 3 3" xfId="44808"/>
    <cellStyle name="표준 4 3 2 2 3 3 2" xfId="44809"/>
    <cellStyle name="표준 4 3 2 2 3 3 2 2" xfId="44810"/>
    <cellStyle name="표준 4 3 2 2 3 3 2 2 2" xfId="44811"/>
    <cellStyle name="표준 4 3 2 2 3 3 2 2 3" xfId="44812"/>
    <cellStyle name="표준 4 3 2 2 3 3 2 3" xfId="44813"/>
    <cellStyle name="표준 4 3 2 2 3 3 2 4" xfId="44814"/>
    <cellStyle name="표준 4 3 2 2 3 3 2 5" xfId="44815"/>
    <cellStyle name="표준 4 3 2 2 3 3 3" xfId="44816"/>
    <cellStyle name="표준 4 3 2 2 3 3 3 2" xfId="44817"/>
    <cellStyle name="표준 4 3 2 2 3 3 3 3" xfId="44818"/>
    <cellStyle name="표준 4 3 2 2 3 3 4" xfId="44819"/>
    <cellStyle name="표준 4 3 2 2 3 3 5" xfId="44820"/>
    <cellStyle name="표준 4 3 2 2 3 3 6" xfId="44821"/>
    <cellStyle name="표준 4 3 2 2 3 4" xfId="44822"/>
    <cellStyle name="표준 4 3 2 2 3 4 2" xfId="44823"/>
    <cellStyle name="표준 4 3 2 2 3 4 2 2" xfId="44824"/>
    <cellStyle name="표준 4 3 2 2 3 4 2 2 2" xfId="44825"/>
    <cellStyle name="표준 4 3 2 2 3 4 2 2 3" xfId="44826"/>
    <cellStyle name="표준 4 3 2 2 3 4 2 3" xfId="44827"/>
    <cellStyle name="표준 4 3 2 2 3 4 2 4" xfId="44828"/>
    <cellStyle name="표준 4 3 2 2 3 4 2 5" xfId="44829"/>
    <cellStyle name="표준 4 3 2 2 3 4 3" xfId="44830"/>
    <cellStyle name="표준 4 3 2 2 3 5" xfId="44831"/>
    <cellStyle name="표준 4 3 2 2 3 5 2" xfId="44832"/>
    <cellStyle name="표준 4 3 2 2 3 5 2 2" xfId="44833"/>
    <cellStyle name="표준 4 3 2 2 3 5 2 2 2" xfId="44834"/>
    <cellStyle name="표준 4 3 2 2 3 5 2 2 3" xfId="44835"/>
    <cellStyle name="표준 4 3 2 2 3 5 2 3" xfId="44836"/>
    <cellStyle name="표준 4 3 2 2 3 5 2 4" xfId="44837"/>
    <cellStyle name="표준 4 3 2 2 3 5 2 5" xfId="44838"/>
    <cellStyle name="표준 4 3 2 2 3 5 3" xfId="44839"/>
    <cellStyle name="표준 4 3 2 2 3 6" xfId="44840"/>
    <cellStyle name="표준 4 3 2 2 3 7" xfId="44841"/>
    <cellStyle name="표준 4 3 2 2 3 8" xfId="44842"/>
    <cellStyle name="표준 4 3 2 2 3 9" xfId="44843"/>
    <cellStyle name="표준 4 3 2 2 4" xfId="44844"/>
    <cellStyle name="표준 4 3 2 2 4 10" xfId="44845"/>
    <cellStyle name="표준 4 3 2 2 4 11" xfId="44846"/>
    <cellStyle name="표준 4 3 2 2 4 12" xfId="44847"/>
    <cellStyle name="표준 4 3 2 2 4 13" xfId="44848"/>
    <cellStyle name="표준 4 3 2 2 4 14" xfId="44849"/>
    <cellStyle name="표준 4 3 2 2 4 15" xfId="44850"/>
    <cellStyle name="표준 4 3 2 2 4 16" xfId="44851"/>
    <cellStyle name="표준 4 3 2 2 4 16 2" xfId="44852"/>
    <cellStyle name="표준 4 3 2 2 4 16 3" xfId="44853"/>
    <cellStyle name="표준 4 3 2 2 4 17" xfId="44854"/>
    <cellStyle name="표준 4 3 2 2 4 18" xfId="44855"/>
    <cellStyle name="표준 4 3 2 2 4 19" xfId="44856"/>
    <cellStyle name="표준 4 3 2 2 4 2" xfId="44857"/>
    <cellStyle name="표준 4 3 2 2 4 2 2" xfId="44858"/>
    <cellStyle name="표준 4 3 2 2 4 2 2 2" xfId="44859"/>
    <cellStyle name="표준 4 3 2 2 4 2 2 2 2" xfId="44860"/>
    <cellStyle name="표준 4 3 2 2 4 2 2 2 3" xfId="44861"/>
    <cellStyle name="표준 4 3 2 2 4 2 2 3" xfId="44862"/>
    <cellStyle name="표준 4 3 2 2 4 2 2 4" xfId="44863"/>
    <cellStyle name="표준 4 3 2 2 4 2 2 5" xfId="44864"/>
    <cellStyle name="표준 4 3 2 2 4 2 3" xfId="44865"/>
    <cellStyle name="표준 4 3 2 2 4 2 3 2" xfId="44866"/>
    <cellStyle name="표준 4 3 2 2 4 2 3 3" xfId="44867"/>
    <cellStyle name="표준 4 3 2 2 4 2 4" xfId="44868"/>
    <cellStyle name="표준 4 3 2 2 4 2 5" xfId="44869"/>
    <cellStyle name="표준 4 3 2 2 4 2 6" xfId="44870"/>
    <cellStyle name="표준 4 3 2 2 4 3" xfId="44871"/>
    <cellStyle name="표준 4 3 2 2 4 3 2" xfId="44872"/>
    <cellStyle name="표준 4 3 2 2 4 3 2 2" xfId="44873"/>
    <cellStyle name="표준 4 3 2 2 4 3 2 2 2" xfId="44874"/>
    <cellStyle name="표준 4 3 2 2 4 3 2 2 3" xfId="44875"/>
    <cellStyle name="표준 4 3 2 2 4 3 2 3" xfId="44876"/>
    <cellStyle name="표준 4 3 2 2 4 3 2 4" xfId="44877"/>
    <cellStyle name="표준 4 3 2 2 4 3 2 5" xfId="44878"/>
    <cellStyle name="표준 4 3 2 2 4 3 3" xfId="44879"/>
    <cellStyle name="표준 4 3 2 2 4 4" xfId="44880"/>
    <cellStyle name="표준 4 3 2 2 4 4 2" xfId="44881"/>
    <cellStyle name="표준 4 3 2 2 4 4 2 2" xfId="44882"/>
    <cellStyle name="표준 4 3 2 2 4 4 2 2 2" xfId="44883"/>
    <cellStyle name="표준 4 3 2 2 4 4 2 2 3" xfId="44884"/>
    <cellStyle name="표준 4 3 2 2 4 4 2 3" xfId="44885"/>
    <cellStyle name="표준 4 3 2 2 4 4 2 4" xfId="44886"/>
    <cellStyle name="표준 4 3 2 2 4 4 2 5" xfId="44887"/>
    <cellStyle name="표준 4 3 2 2 4 4 3" xfId="44888"/>
    <cellStyle name="표준 4 3 2 2 4 5" xfId="44889"/>
    <cellStyle name="표준 4 3 2 2 4 6" xfId="44890"/>
    <cellStyle name="표준 4 3 2 2 4 7" xfId="44891"/>
    <cellStyle name="표준 4 3 2 2 4 8" xfId="44892"/>
    <cellStyle name="표준 4 3 2 2 4 9" xfId="44893"/>
    <cellStyle name="표준 4 3 2 2 5" xfId="44894"/>
    <cellStyle name="표준 4 3 2 2 5 2" xfId="44895"/>
    <cellStyle name="표준 4 3 2 2 5 2 2" xfId="44896"/>
    <cellStyle name="표준 4 3 2 2 5 2 2 2" xfId="44897"/>
    <cellStyle name="표준 4 3 2 2 5 2 2 3" xfId="44898"/>
    <cellStyle name="표준 4 3 2 2 5 2 3" xfId="44899"/>
    <cellStyle name="표준 4 3 2 2 5 2 4" xfId="44900"/>
    <cellStyle name="표준 4 3 2 2 5 2 5" xfId="44901"/>
    <cellStyle name="표준 4 3 2 2 5 3" xfId="44902"/>
    <cellStyle name="표준 4 3 2 2 5 3 2" xfId="44903"/>
    <cellStyle name="표준 4 3 2 2 5 3 3" xfId="44904"/>
    <cellStyle name="표준 4 3 2 2 5 4" xfId="44905"/>
    <cellStyle name="표준 4 3 2 2 5 5" xfId="44906"/>
    <cellStyle name="표준 4 3 2 2 5 6" xfId="44907"/>
    <cellStyle name="표준 4 3 2 2 6" xfId="44908"/>
    <cellStyle name="표준 4 3 2 2 6 2" xfId="44909"/>
    <cellStyle name="표준 4 3 2 2 6 2 2" xfId="44910"/>
    <cellStyle name="표준 4 3 2 2 6 2 2 2" xfId="44911"/>
    <cellStyle name="표준 4 3 2 2 6 2 2 3" xfId="44912"/>
    <cellStyle name="표준 4 3 2 2 6 2 3" xfId="44913"/>
    <cellStyle name="표준 4 3 2 2 6 2 4" xfId="44914"/>
    <cellStyle name="표준 4 3 2 2 6 2 5" xfId="44915"/>
    <cellStyle name="표준 4 3 2 2 6 3" xfId="44916"/>
    <cellStyle name="표준 4 3 2 2 7" xfId="44917"/>
    <cellStyle name="표준 4 3 2 2 7 2" xfId="44918"/>
    <cellStyle name="표준 4 3 2 2 7 2 2" xfId="44919"/>
    <cellStyle name="표준 4 3 2 2 7 2 2 2" xfId="44920"/>
    <cellStyle name="표준 4 3 2 2 7 2 2 3" xfId="44921"/>
    <cellStyle name="표준 4 3 2 2 7 2 3" xfId="44922"/>
    <cellStyle name="표준 4 3 2 2 7 2 4" xfId="44923"/>
    <cellStyle name="표준 4 3 2 2 7 2 5" xfId="44924"/>
    <cellStyle name="표준 4 3 2 2 7 3" xfId="44925"/>
    <cellStyle name="표준 4 3 2 2 8" xfId="44926"/>
    <cellStyle name="표준 4 3 2 2 9" xfId="44927"/>
    <cellStyle name="표준 4 3 2 20" xfId="44928"/>
    <cellStyle name="표준 4 3 2 20 2" xfId="44929"/>
    <cellStyle name="표준 4 3 2 20 3" xfId="44930"/>
    <cellStyle name="표준 4 3 2 21" xfId="44931"/>
    <cellStyle name="표준 4 3 2 22" xfId="44932"/>
    <cellStyle name="표준 4 3 2 23" xfId="44933"/>
    <cellStyle name="표준 4 3 2 3" xfId="44934"/>
    <cellStyle name="표준 4 3 2 3 10" xfId="44935"/>
    <cellStyle name="표준 4 3 2 3 11" xfId="44936"/>
    <cellStyle name="표준 4 3 2 3 12" xfId="44937"/>
    <cellStyle name="표준 4 3 2 3 13" xfId="44938"/>
    <cellStyle name="표준 4 3 2 3 14" xfId="44939"/>
    <cellStyle name="표준 4 3 2 3 15" xfId="44940"/>
    <cellStyle name="표준 4 3 2 3 16" xfId="44941"/>
    <cellStyle name="표준 4 3 2 3 17" xfId="44942"/>
    <cellStyle name="표준 4 3 2 3 17 2" xfId="44943"/>
    <cellStyle name="표준 4 3 2 3 17 3" xfId="44944"/>
    <cellStyle name="표준 4 3 2 3 18" xfId="44945"/>
    <cellStyle name="표준 4 3 2 3 19" xfId="44946"/>
    <cellStyle name="표준 4 3 2 3 2" xfId="44947"/>
    <cellStyle name="표준 4 3 2 3 2 10" xfId="44948"/>
    <cellStyle name="표준 4 3 2 3 2 11" xfId="44949"/>
    <cellStyle name="표준 4 3 2 3 2 12" xfId="44950"/>
    <cellStyle name="표준 4 3 2 3 2 13" xfId="44951"/>
    <cellStyle name="표준 4 3 2 3 2 14" xfId="44952"/>
    <cellStyle name="표준 4 3 2 3 2 15" xfId="44953"/>
    <cellStyle name="표준 4 3 2 3 2 16" xfId="44954"/>
    <cellStyle name="표준 4 3 2 3 2 16 2" xfId="44955"/>
    <cellStyle name="표준 4 3 2 3 2 16 3" xfId="44956"/>
    <cellStyle name="표준 4 3 2 3 2 17" xfId="44957"/>
    <cellStyle name="표준 4 3 2 3 2 18" xfId="44958"/>
    <cellStyle name="표준 4 3 2 3 2 19" xfId="44959"/>
    <cellStyle name="표준 4 3 2 3 2 2" xfId="44960"/>
    <cellStyle name="표준 4 3 2 3 2 2 2" xfId="44961"/>
    <cellStyle name="표준 4 3 2 3 2 2 2 2" xfId="44962"/>
    <cellStyle name="표준 4 3 2 3 2 2 2 2 2" xfId="44963"/>
    <cellStyle name="표준 4 3 2 3 2 2 2 2 3" xfId="44964"/>
    <cellStyle name="표준 4 3 2 3 2 2 2 3" xfId="44965"/>
    <cellStyle name="표준 4 3 2 3 2 2 2 4" xfId="44966"/>
    <cellStyle name="표준 4 3 2 3 2 2 2 5" xfId="44967"/>
    <cellStyle name="표준 4 3 2 3 2 2 3" xfId="44968"/>
    <cellStyle name="표준 4 3 2 3 2 2 3 2" xfId="44969"/>
    <cellStyle name="표준 4 3 2 3 2 2 3 3" xfId="44970"/>
    <cellStyle name="표준 4 3 2 3 2 2 4" xfId="44971"/>
    <cellStyle name="표준 4 3 2 3 2 2 5" xfId="44972"/>
    <cellStyle name="표준 4 3 2 3 2 2 6" xfId="44973"/>
    <cellStyle name="표준 4 3 2 3 2 3" xfId="44974"/>
    <cellStyle name="표준 4 3 2 3 2 3 2" xfId="44975"/>
    <cellStyle name="표준 4 3 2 3 2 3 2 2" xfId="44976"/>
    <cellStyle name="표준 4 3 2 3 2 3 2 2 2" xfId="44977"/>
    <cellStyle name="표준 4 3 2 3 2 3 2 2 3" xfId="44978"/>
    <cellStyle name="표준 4 3 2 3 2 3 2 3" xfId="44979"/>
    <cellStyle name="표준 4 3 2 3 2 3 2 4" xfId="44980"/>
    <cellStyle name="표준 4 3 2 3 2 3 2 5" xfId="44981"/>
    <cellStyle name="표준 4 3 2 3 2 3 3" xfId="44982"/>
    <cellStyle name="표준 4 3 2 3 2 4" xfId="44983"/>
    <cellStyle name="표준 4 3 2 3 2 4 2" xfId="44984"/>
    <cellStyle name="표준 4 3 2 3 2 4 2 2" xfId="44985"/>
    <cellStyle name="표준 4 3 2 3 2 4 2 2 2" xfId="44986"/>
    <cellStyle name="표준 4 3 2 3 2 4 2 2 3" xfId="44987"/>
    <cellStyle name="표준 4 3 2 3 2 4 2 3" xfId="44988"/>
    <cellStyle name="표준 4 3 2 3 2 4 2 4" xfId="44989"/>
    <cellStyle name="표준 4 3 2 3 2 4 2 5" xfId="44990"/>
    <cellStyle name="표준 4 3 2 3 2 4 3" xfId="44991"/>
    <cellStyle name="표준 4 3 2 3 2 5" xfId="44992"/>
    <cellStyle name="표준 4 3 2 3 2 6" xfId="44993"/>
    <cellStyle name="표준 4 3 2 3 2 7" xfId="44994"/>
    <cellStyle name="표준 4 3 2 3 2 8" xfId="44995"/>
    <cellStyle name="표준 4 3 2 3 2 9" xfId="44996"/>
    <cellStyle name="표준 4 3 2 3 20" xfId="44997"/>
    <cellStyle name="표준 4 3 2 3 3" xfId="44998"/>
    <cellStyle name="표준 4 3 2 3 3 2" xfId="44999"/>
    <cellStyle name="표준 4 3 2 3 3 2 2" xfId="45000"/>
    <cellStyle name="표준 4 3 2 3 3 2 2 2" xfId="45001"/>
    <cellStyle name="표준 4 3 2 3 3 2 2 3" xfId="45002"/>
    <cellStyle name="표준 4 3 2 3 3 2 3" xfId="45003"/>
    <cellStyle name="표준 4 3 2 3 3 2 4" xfId="45004"/>
    <cellStyle name="표준 4 3 2 3 3 2 5" xfId="45005"/>
    <cellStyle name="표준 4 3 2 3 3 3" xfId="45006"/>
    <cellStyle name="표준 4 3 2 3 3 3 2" xfId="45007"/>
    <cellStyle name="표준 4 3 2 3 3 3 3" xfId="45008"/>
    <cellStyle name="표준 4 3 2 3 3 4" xfId="45009"/>
    <cellStyle name="표준 4 3 2 3 3 5" xfId="45010"/>
    <cellStyle name="표준 4 3 2 3 3 6" xfId="45011"/>
    <cellStyle name="표준 4 3 2 3 4" xfId="45012"/>
    <cellStyle name="표준 4 3 2 3 4 2" xfId="45013"/>
    <cellStyle name="표준 4 3 2 3 4 2 2" xfId="45014"/>
    <cellStyle name="표준 4 3 2 3 4 2 2 2" xfId="45015"/>
    <cellStyle name="표준 4 3 2 3 4 2 2 3" xfId="45016"/>
    <cellStyle name="표준 4 3 2 3 4 2 3" xfId="45017"/>
    <cellStyle name="표준 4 3 2 3 4 2 4" xfId="45018"/>
    <cellStyle name="표준 4 3 2 3 4 2 5" xfId="45019"/>
    <cellStyle name="표준 4 3 2 3 4 3" xfId="45020"/>
    <cellStyle name="표준 4 3 2 3 5" xfId="45021"/>
    <cellStyle name="표준 4 3 2 3 5 2" xfId="45022"/>
    <cellStyle name="표준 4 3 2 3 5 2 2" xfId="45023"/>
    <cellStyle name="표준 4 3 2 3 5 2 2 2" xfId="45024"/>
    <cellStyle name="표준 4 3 2 3 5 2 2 3" xfId="45025"/>
    <cellStyle name="표준 4 3 2 3 5 2 3" xfId="45026"/>
    <cellStyle name="표준 4 3 2 3 5 2 4" xfId="45027"/>
    <cellStyle name="표준 4 3 2 3 5 2 5" xfId="45028"/>
    <cellStyle name="표준 4 3 2 3 5 3" xfId="45029"/>
    <cellStyle name="표준 4 3 2 3 6" xfId="45030"/>
    <cellStyle name="표준 4 3 2 3 7" xfId="45031"/>
    <cellStyle name="표준 4 3 2 3 8" xfId="45032"/>
    <cellStyle name="표준 4 3 2 3 9" xfId="45033"/>
    <cellStyle name="표준 4 3 2 4" xfId="45034"/>
    <cellStyle name="표준 4 3 2 4 10" xfId="45035"/>
    <cellStyle name="표준 4 3 2 4 11" xfId="45036"/>
    <cellStyle name="표준 4 3 2 4 12" xfId="45037"/>
    <cellStyle name="표준 4 3 2 4 13" xfId="45038"/>
    <cellStyle name="표준 4 3 2 4 14" xfId="45039"/>
    <cellStyle name="표준 4 3 2 4 15" xfId="45040"/>
    <cellStyle name="표준 4 3 2 4 16" xfId="45041"/>
    <cellStyle name="표준 4 3 2 4 17" xfId="45042"/>
    <cellStyle name="표준 4 3 2 4 17 2" xfId="45043"/>
    <cellStyle name="표준 4 3 2 4 17 3" xfId="45044"/>
    <cellStyle name="표준 4 3 2 4 18" xfId="45045"/>
    <cellStyle name="표준 4 3 2 4 19" xfId="45046"/>
    <cellStyle name="표준 4 3 2 4 2" xfId="45047"/>
    <cellStyle name="표준 4 3 2 4 2 10" xfId="45048"/>
    <cellStyle name="표준 4 3 2 4 2 11" xfId="45049"/>
    <cellStyle name="표준 4 3 2 4 2 12" xfId="45050"/>
    <cellStyle name="표준 4 3 2 4 2 13" xfId="45051"/>
    <cellStyle name="표준 4 3 2 4 2 14" xfId="45052"/>
    <cellStyle name="표준 4 3 2 4 2 15" xfId="45053"/>
    <cellStyle name="표준 4 3 2 4 2 16" xfId="45054"/>
    <cellStyle name="표준 4 3 2 4 2 16 2" xfId="45055"/>
    <cellStyle name="표준 4 3 2 4 2 16 3" xfId="45056"/>
    <cellStyle name="표준 4 3 2 4 2 17" xfId="45057"/>
    <cellStyle name="표준 4 3 2 4 2 18" xfId="45058"/>
    <cellStyle name="표준 4 3 2 4 2 19" xfId="45059"/>
    <cellStyle name="표준 4 3 2 4 2 2" xfId="45060"/>
    <cellStyle name="표준 4 3 2 4 2 2 2" xfId="45061"/>
    <cellStyle name="표준 4 3 2 4 2 2 2 2" xfId="45062"/>
    <cellStyle name="표준 4 3 2 4 2 2 2 2 2" xfId="45063"/>
    <cellStyle name="표준 4 3 2 4 2 2 2 2 3" xfId="45064"/>
    <cellStyle name="표준 4 3 2 4 2 2 2 3" xfId="45065"/>
    <cellStyle name="표준 4 3 2 4 2 2 2 4" xfId="45066"/>
    <cellStyle name="표준 4 3 2 4 2 2 2 5" xfId="45067"/>
    <cellStyle name="표준 4 3 2 4 2 2 3" xfId="45068"/>
    <cellStyle name="표준 4 3 2 4 2 2 3 2" xfId="45069"/>
    <cellStyle name="표준 4 3 2 4 2 2 3 3" xfId="45070"/>
    <cellStyle name="표준 4 3 2 4 2 2 4" xfId="45071"/>
    <cellStyle name="표준 4 3 2 4 2 2 5" xfId="45072"/>
    <cellStyle name="표준 4 3 2 4 2 2 6" xfId="45073"/>
    <cellStyle name="표준 4 3 2 4 2 3" xfId="45074"/>
    <cellStyle name="표준 4 3 2 4 2 3 2" xfId="45075"/>
    <cellStyle name="표준 4 3 2 4 2 3 2 2" xfId="45076"/>
    <cellStyle name="표준 4 3 2 4 2 3 2 2 2" xfId="45077"/>
    <cellStyle name="표준 4 3 2 4 2 3 2 2 3" xfId="45078"/>
    <cellStyle name="표준 4 3 2 4 2 3 2 3" xfId="45079"/>
    <cellStyle name="표준 4 3 2 4 2 3 2 4" xfId="45080"/>
    <cellStyle name="표준 4 3 2 4 2 3 2 5" xfId="45081"/>
    <cellStyle name="표준 4 3 2 4 2 3 3" xfId="45082"/>
    <cellStyle name="표준 4 3 2 4 2 4" xfId="45083"/>
    <cellStyle name="표준 4 3 2 4 2 4 2" xfId="45084"/>
    <cellStyle name="표준 4 3 2 4 2 4 2 2" xfId="45085"/>
    <cellStyle name="표준 4 3 2 4 2 4 2 2 2" xfId="45086"/>
    <cellStyle name="표준 4 3 2 4 2 4 2 2 3" xfId="45087"/>
    <cellStyle name="표준 4 3 2 4 2 4 2 3" xfId="45088"/>
    <cellStyle name="표준 4 3 2 4 2 4 2 4" xfId="45089"/>
    <cellStyle name="표준 4 3 2 4 2 4 2 5" xfId="45090"/>
    <cellStyle name="표준 4 3 2 4 2 4 3" xfId="45091"/>
    <cellStyle name="표준 4 3 2 4 2 5" xfId="45092"/>
    <cellStyle name="표준 4 3 2 4 2 6" xfId="45093"/>
    <cellStyle name="표준 4 3 2 4 2 7" xfId="45094"/>
    <cellStyle name="표준 4 3 2 4 2 8" xfId="45095"/>
    <cellStyle name="표준 4 3 2 4 2 9" xfId="45096"/>
    <cellStyle name="표준 4 3 2 4 20" xfId="45097"/>
    <cellStyle name="표준 4 3 2 4 3" xfId="45098"/>
    <cellStyle name="표준 4 3 2 4 3 2" xfId="45099"/>
    <cellStyle name="표준 4 3 2 4 3 2 2" xfId="45100"/>
    <cellStyle name="표준 4 3 2 4 3 2 2 2" xfId="45101"/>
    <cellStyle name="표준 4 3 2 4 3 2 2 3" xfId="45102"/>
    <cellStyle name="표준 4 3 2 4 3 2 3" xfId="45103"/>
    <cellStyle name="표준 4 3 2 4 3 2 4" xfId="45104"/>
    <cellStyle name="표준 4 3 2 4 3 2 5" xfId="45105"/>
    <cellStyle name="표준 4 3 2 4 3 3" xfId="45106"/>
    <cellStyle name="표준 4 3 2 4 3 3 2" xfId="45107"/>
    <cellStyle name="표준 4 3 2 4 3 3 3" xfId="45108"/>
    <cellStyle name="표준 4 3 2 4 3 4" xfId="45109"/>
    <cellStyle name="표준 4 3 2 4 3 5" xfId="45110"/>
    <cellStyle name="표준 4 3 2 4 3 6" xfId="45111"/>
    <cellStyle name="표준 4 3 2 4 4" xfId="45112"/>
    <cellStyle name="표준 4 3 2 4 4 2" xfId="45113"/>
    <cellStyle name="표준 4 3 2 4 4 2 2" xfId="45114"/>
    <cellStyle name="표준 4 3 2 4 4 2 2 2" xfId="45115"/>
    <cellStyle name="표준 4 3 2 4 4 2 2 3" xfId="45116"/>
    <cellStyle name="표준 4 3 2 4 4 2 3" xfId="45117"/>
    <cellStyle name="표준 4 3 2 4 4 2 4" xfId="45118"/>
    <cellStyle name="표준 4 3 2 4 4 2 5" xfId="45119"/>
    <cellStyle name="표준 4 3 2 4 4 3" xfId="45120"/>
    <cellStyle name="표준 4 3 2 4 5" xfId="45121"/>
    <cellStyle name="표준 4 3 2 4 5 2" xfId="45122"/>
    <cellStyle name="표준 4 3 2 4 5 2 2" xfId="45123"/>
    <cellStyle name="표준 4 3 2 4 5 2 2 2" xfId="45124"/>
    <cellStyle name="표준 4 3 2 4 5 2 2 3" xfId="45125"/>
    <cellStyle name="표준 4 3 2 4 5 2 3" xfId="45126"/>
    <cellStyle name="표준 4 3 2 4 5 2 4" xfId="45127"/>
    <cellStyle name="표준 4 3 2 4 5 2 5" xfId="45128"/>
    <cellStyle name="표준 4 3 2 4 5 3" xfId="45129"/>
    <cellStyle name="표준 4 3 2 4 6" xfId="45130"/>
    <cellStyle name="표준 4 3 2 4 7" xfId="45131"/>
    <cellStyle name="표준 4 3 2 4 8" xfId="45132"/>
    <cellStyle name="표준 4 3 2 4 9" xfId="45133"/>
    <cellStyle name="표준 4 3 2 5" xfId="45134"/>
    <cellStyle name="표준 4 3 2 5 10" xfId="45135"/>
    <cellStyle name="표준 4 3 2 5 11" xfId="45136"/>
    <cellStyle name="표준 4 3 2 5 12" xfId="45137"/>
    <cellStyle name="표준 4 3 2 5 13" xfId="45138"/>
    <cellStyle name="표준 4 3 2 5 14" xfId="45139"/>
    <cellStyle name="표준 4 3 2 5 15" xfId="45140"/>
    <cellStyle name="표준 4 3 2 5 16" xfId="45141"/>
    <cellStyle name="표준 4 3 2 5 16 2" xfId="45142"/>
    <cellStyle name="표준 4 3 2 5 16 3" xfId="45143"/>
    <cellStyle name="표준 4 3 2 5 17" xfId="45144"/>
    <cellStyle name="표준 4 3 2 5 18" xfId="45145"/>
    <cellStyle name="표준 4 3 2 5 19" xfId="45146"/>
    <cellStyle name="표준 4 3 2 5 2" xfId="45147"/>
    <cellStyle name="표준 4 3 2 5 2 2" xfId="45148"/>
    <cellStyle name="표준 4 3 2 5 2 2 2" xfId="45149"/>
    <cellStyle name="표준 4 3 2 5 2 2 2 2" xfId="45150"/>
    <cellStyle name="표준 4 3 2 5 2 2 2 3" xfId="45151"/>
    <cellStyle name="표준 4 3 2 5 2 2 3" xfId="45152"/>
    <cellStyle name="표준 4 3 2 5 2 2 4" xfId="45153"/>
    <cellStyle name="표준 4 3 2 5 2 2 5" xfId="45154"/>
    <cellStyle name="표준 4 3 2 5 2 3" xfId="45155"/>
    <cellStyle name="표준 4 3 2 5 2 3 2" xfId="45156"/>
    <cellStyle name="표준 4 3 2 5 2 3 3" xfId="45157"/>
    <cellStyle name="표준 4 3 2 5 2 4" xfId="45158"/>
    <cellStyle name="표준 4 3 2 5 2 5" xfId="45159"/>
    <cellStyle name="표준 4 3 2 5 2 6" xfId="45160"/>
    <cellStyle name="표준 4 3 2 5 3" xfId="45161"/>
    <cellStyle name="표준 4 3 2 5 3 2" xfId="45162"/>
    <cellStyle name="표준 4 3 2 5 3 2 2" xfId="45163"/>
    <cellStyle name="표준 4 3 2 5 3 2 2 2" xfId="45164"/>
    <cellStyle name="표준 4 3 2 5 3 2 2 3" xfId="45165"/>
    <cellStyle name="표준 4 3 2 5 3 2 3" xfId="45166"/>
    <cellStyle name="표준 4 3 2 5 3 2 4" xfId="45167"/>
    <cellStyle name="표준 4 3 2 5 3 2 5" xfId="45168"/>
    <cellStyle name="표준 4 3 2 5 3 3" xfId="45169"/>
    <cellStyle name="표준 4 3 2 5 4" xfId="45170"/>
    <cellStyle name="표준 4 3 2 5 4 2" xfId="45171"/>
    <cellStyle name="표준 4 3 2 5 4 2 2" xfId="45172"/>
    <cellStyle name="표준 4 3 2 5 4 2 2 2" xfId="45173"/>
    <cellStyle name="표준 4 3 2 5 4 2 2 3" xfId="45174"/>
    <cellStyle name="표준 4 3 2 5 4 2 3" xfId="45175"/>
    <cellStyle name="표준 4 3 2 5 4 2 4" xfId="45176"/>
    <cellStyle name="표준 4 3 2 5 4 2 5" xfId="45177"/>
    <cellStyle name="표준 4 3 2 5 4 3" xfId="45178"/>
    <cellStyle name="표준 4 3 2 5 5" xfId="45179"/>
    <cellStyle name="표준 4 3 2 5 6" xfId="45180"/>
    <cellStyle name="표준 4 3 2 5 7" xfId="45181"/>
    <cellStyle name="표준 4 3 2 5 8" xfId="45182"/>
    <cellStyle name="표준 4 3 2 5 9" xfId="45183"/>
    <cellStyle name="표준 4 3 2 6" xfId="45184"/>
    <cellStyle name="표준 4 3 2 6 2" xfId="45185"/>
    <cellStyle name="표준 4 3 2 6 2 2" xfId="45186"/>
    <cellStyle name="표준 4 3 2 6 2 2 2" xfId="45187"/>
    <cellStyle name="표준 4 3 2 6 2 2 3" xfId="45188"/>
    <cellStyle name="표준 4 3 2 6 2 3" xfId="45189"/>
    <cellStyle name="표준 4 3 2 6 2 4" xfId="45190"/>
    <cellStyle name="표준 4 3 2 6 2 5" xfId="45191"/>
    <cellStyle name="표준 4 3 2 6 3" xfId="45192"/>
    <cellStyle name="표준 4 3 2 6 3 2" xfId="45193"/>
    <cellStyle name="표준 4 3 2 6 3 3" xfId="45194"/>
    <cellStyle name="표준 4 3 2 6 4" xfId="45195"/>
    <cellStyle name="표준 4 3 2 6 5" xfId="45196"/>
    <cellStyle name="표준 4 3 2 6 6" xfId="45197"/>
    <cellStyle name="표준 4 3 2 7" xfId="45198"/>
    <cellStyle name="표준 4 3 2 7 2" xfId="45199"/>
    <cellStyle name="표준 4 3 2 7 2 2" xfId="45200"/>
    <cellStyle name="표준 4 3 2 7 2 2 2" xfId="45201"/>
    <cellStyle name="표준 4 3 2 7 2 2 3" xfId="45202"/>
    <cellStyle name="표준 4 3 2 7 2 3" xfId="45203"/>
    <cellStyle name="표준 4 3 2 7 2 4" xfId="45204"/>
    <cellStyle name="표준 4 3 2 7 2 5" xfId="45205"/>
    <cellStyle name="표준 4 3 2 7 3" xfId="45206"/>
    <cellStyle name="표준 4 3 2 8" xfId="45207"/>
    <cellStyle name="표준 4 3 2 8 2" xfId="45208"/>
    <cellStyle name="표준 4 3 2 8 2 2" xfId="45209"/>
    <cellStyle name="표준 4 3 2 8 2 2 2" xfId="45210"/>
    <cellStyle name="표준 4 3 2 8 2 2 3" xfId="45211"/>
    <cellStyle name="표준 4 3 2 8 2 3" xfId="45212"/>
    <cellStyle name="표준 4 3 2 8 2 4" xfId="45213"/>
    <cellStyle name="표준 4 3 2 8 2 5" xfId="45214"/>
    <cellStyle name="표준 4 3 2 8 3" xfId="45215"/>
    <cellStyle name="표준 4 3 2 9" xfId="45216"/>
    <cellStyle name="표준 4 3 20" xfId="45217"/>
    <cellStyle name="표준 4 3 21" xfId="45218"/>
    <cellStyle name="표준 4 3 21 2" xfId="45219"/>
    <cellStyle name="표준 4 3 21 3" xfId="45220"/>
    <cellStyle name="표준 4 3 22" xfId="45221"/>
    <cellStyle name="표준 4 3 23" xfId="45222"/>
    <cellStyle name="표준 4 3 24" xfId="45223"/>
    <cellStyle name="표준 4 3 3" xfId="45224"/>
    <cellStyle name="표준 4 3 3 10" xfId="45225"/>
    <cellStyle name="표준 4 3 3 11" xfId="45226"/>
    <cellStyle name="표준 4 3 3 12" xfId="45227"/>
    <cellStyle name="표준 4 3 3 13" xfId="45228"/>
    <cellStyle name="표준 4 3 3 14" xfId="45229"/>
    <cellStyle name="표준 4 3 3 15" xfId="45230"/>
    <cellStyle name="표준 4 3 3 16" xfId="45231"/>
    <cellStyle name="표준 4 3 3 17" xfId="45232"/>
    <cellStyle name="표준 4 3 3 18" xfId="45233"/>
    <cellStyle name="표준 4 3 3 19" xfId="45234"/>
    <cellStyle name="표준 4 3 3 19 2" xfId="45235"/>
    <cellStyle name="표준 4 3 3 19 3" xfId="45236"/>
    <cellStyle name="표준 4 3 3 2" xfId="45237"/>
    <cellStyle name="표준 4 3 3 2 10" xfId="45238"/>
    <cellStyle name="표준 4 3 3 2 11" xfId="45239"/>
    <cellStyle name="표준 4 3 3 2 12" xfId="45240"/>
    <cellStyle name="표준 4 3 3 2 13" xfId="45241"/>
    <cellStyle name="표준 4 3 3 2 14" xfId="45242"/>
    <cellStyle name="표준 4 3 3 2 15" xfId="45243"/>
    <cellStyle name="표준 4 3 3 2 16" xfId="45244"/>
    <cellStyle name="표준 4 3 3 2 17" xfId="45245"/>
    <cellStyle name="표준 4 3 3 2 17 2" xfId="45246"/>
    <cellStyle name="표준 4 3 3 2 17 3" xfId="45247"/>
    <cellStyle name="표준 4 3 3 2 18" xfId="45248"/>
    <cellStyle name="표준 4 3 3 2 19" xfId="45249"/>
    <cellStyle name="표준 4 3 3 2 2" xfId="45250"/>
    <cellStyle name="표준 4 3 3 2 2 10" xfId="45251"/>
    <cellStyle name="표준 4 3 3 2 2 11" xfId="45252"/>
    <cellStyle name="표준 4 3 3 2 2 12" xfId="45253"/>
    <cellStyle name="표준 4 3 3 2 2 13" xfId="45254"/>
    <cellStyle name="표준 4 3 3 2 2 14" xfId="45255"/>
    <cellStyle name="표준 4 3 3 2 2 15" xfId="45256"/>
    <cellStyle name="표준 4 3 3 2 2 16" xfId="45257"/>
    <cellStyle name="표준 4 3 3 2 2 16 2" xfId="45258"/>
    <cellStyle name="표준 4 3 3 2 2 16 3" xfId="45259"/>
    <cellStyle name="표준 4 3 3 2 2 17" xfId="45260"/>
    <cellStyle name="표준 4 3 3 2 2 18" xfId="45261"/>
    <cellStyle name="표준 4 3 3 2 2 19" xfId="45262"/>
    <cellStyle name="표준 4 3 3 2 2 2" xfId="45263"/>
    <cellStyle name="표준 4 3 3 2 2 2 2" xfId="45264"/>
    <cellStyle name="표준 4 3 3 2 2 2 2 2" xfId="45265"/>
    <cellStyle name="표준 4 3 3 2 2 2 2 2 2" xfId="45266"/>
    <cellStyle name="표준 4 3 3 2 2 2 2 2 3" xfId="45267"/>
    <cellStyle name="표준 4 3 3 2 2 2 2 3" xfId="45268"/>
    <cellStyle name="표준 4 3 3 2 2 2 2 4" xfId="45269"/>
    <cellStyle name="표준 4 3 3 2 2 2 2 5" xfId="45270"/>
    <cellStyle name="표준 4 3 3 2 2 2 3" xfId="45271"/>
    <cellStyle name="표준 4 3 3 2 2 2 3 2" xfId="45272"/>
    <cellStyle name="표준 4 3 3 2 2 2 3 3" xfId="45273"/>
    <cellStyle name="표준 4 3 3 2 2 2 4" xfId="45274"/>
    <cellStyle name="표준 4 3 3 2 2 2 5" xfId="45275"/>
    <cellStyle name="표준 4 3 3 2 2 2 6" xfId="45276"/>
    <cellStyle name="표준 4 3 3 2 2 3" xfId="45277"/>
    <cellStyle name="표준 4 3 3 2 2 3 2" xfId="45278"/>
    <cellStyle name="표준 4 3 3 2 2 3 2 2" xfId="45279"/>
    <cellStyle name="표준 4 3 3 2 2 3 2 2 2" xfId="45280"/>
    <cellStyle name="표준 4 3 3 2 2 3 2 2 3" xfId="45281"/>
    <cellStyle name="표준 4 3 3 2 2 3 2 3" xfId="45282"/>
    <cellStyle name="표준 4 3 3 2 2 3 2 4" xfId="45283"/>
    <cellStyle name="표준 4 3 3 2 2 3 2 5" xfId="45284"/>
    <cellStyle name="표준 4 3 3 2 2 3 3" xfId="45285"/>
    <cellStyle name="표준 4 3 3 2 2 4" xfId="45286"/>
    <cellStyle name="표준 4 3 3 2 2 4 2" xfId="45287"/>
    <cellStyle name="표준 4 3 3 2 2 4 2 2" xfId="45288"/>
    <cellStyle name="표준 4 3 3 2 2 4 2 2 2" xfId="45289"/>
    <cellStyle name="표준 4 3 3 2 2 4 2 2 3" xfId="45290"/>
    <cellStyle name="표준 4 3 3 2 2 4 2 3" xfId="45291"/>
    <cellStyle name="표준 4 3 3 2 2 4 2 4" xfId="45292"/>
    <cellStyle name="표준 4 3 3 2 2 4 2 5" xfId="45293"/>
    <cellStyle name="표준 4 3 3 2 2 4 3" xfId="45294"/>
    <cellStyle name="표준 4 3 3 2 2 5" xfId="45295"/>
    <cellStyle name="표준 4 3 3 2 2 6" xfId="45296"/>
    <cellStyle name="표준 4 3 3 2 2 7" xfId="45297"/>
    <cellStyle name="표준 4 3 3 2 2 8" xfId="45298"/>
    <cellStyle name="표준 4 3 3 2 2 9" xfId="45299"/>
    <cellStyle name="표준 4 3 3 2 20" xfId="45300"/>
    <cellStyle name="표준 4 3 3 2 3" xfId="45301"/>
    <cellStyle name="표준 4 3 3 2 3 2" xfId="45302"/>
    <cellStyle name="표준 4 3 3 2 3 2 2" xfId="45303"/>
    <cellStyle name="표준 4 3 3 2 3 2 2 2" xfId="45304"/>
    <cellStyle name="표준 4 3 3 2 3 2 2 3" xfId="45305"/>
    <cellStyle name="표준 4 3 3 2 3 2 3" xfId="45306"/>
    <cellStyle name="표준 4 3 3 2 3 2 4" xfId="45307"/>
    <cellStyle name="표준 4 3 3 2 3 2 5" xfId="45308"/>
    <cellStyle name="표준 4 3 3 2 3 3" xfId="45309"/>
    <cellStyle name="표준 4 3 3 2 3 3 2" xfId="45310"/>
    <cellStyle name="표준 4 3 3 2 3 3 3" xfId="45311"/>
    <cellStyle name="표준 4 3 3 2 3 4" xfId="45312"/>
    <cellStyle name="표준 4 3 3 2 3 5" xfId="45313"/>
    <cellStyle name="표준 4 3 3 2 3 6" xfId="45314"/>
    <cellStyle name="표준 4 3 3 2 4" xfId="45315"/>
    <cellStyle name="표준 4 3 3 2 4 2" xfId="45316"/>
    <cellStyle name="표준 4 3 3 2 4 2 2" xfId="45317"/>
    <cellStyle name="표준 4 3 3 2 4 2 2 2" xfId="45318"/>
    <cellStyle name="표준 4 3 3 2 4 2 2 3" xfId="45319"/>
    <cellStyle name="표준 4 3 3 2 4 2 3" xfId="45320"/>
    <cellStyle name="표준 4 3 3 2 4 2 4" xfId="45321"/>
    <cellStyle name="표준 4 3 3 2 4 2 5" xfId="45322"/>
    <cellStyle name="표준 4 3 3 2 4 3" xfId="45323"/>
    <cellStyle name="표준 4 3 3 2 5" xfId="45324"/>
    <cellStyle name="표준 4 3 3 2 5 2" xfId="45325"/>
    <cellStyle name="표준 4 3 3 2 5 2 2" xfId="45326"/>
    <cellStyle name="표준 4 3 3 2 5 2 2 2" xfId="45327"/>
    <cellStyle name="표준 4 3 3 2 5 2 2 3" xfId="45328"/>
    <cellStyle name="표준 4 3 3 2 5 2 3" xfId="45329"/>
    <cellStyle name="표준 4 3 3 2 5 2 4" xfId="45330"/>
    <cellStyle name="표준 4 3 3 2 5 2 5" xfId="45331"/>
    <cellStyle name="표준 4 3 3 2 5 3" xfId="45332"/>
    <cellStyle name="표준 4 3 3 2 6" xfId="45333"/>
    <cellStyle name="표준 4 3 3 2 7" xfId="45334"/>
    <cellStyle name="표준 4 3 3 2 8" xfId="45335"/>
    <cellStyle name="표준 4 3 3 2 9" xfId="45336"/>
    <cellStyle name="표준 4 3 3 20" xfId="45337"/>
    <cellStyle name="표준 4 3 3 21" xfId="45338"/>
    <cellStyle name="표준 4 3 3 22" xfId="45339"/>
    <cellStyle name="표준 4 3 3 3" xfId="45340"/>
    <cellStyle name="표준 4 3 3 3 10" xfId="45341"/>
    <cellStyle name="표준 4 3 3 3 11" xfId="45342"/>
    <cellStyle name="표준 4 3 3 3 12" xfId="45343"/>
    <cellStyle name="표준 4 3 3 3 13" xfId="45344"/>
    <cellStyle name="표준 4 3 3 3 14" xfId="45345"/>
    <cellStyle name="표준 4 3 3 3 15" xfId="45346"/>
    <cellStyle name="표준 4 3 3 3 16" xfId="45347"/>
    <cellStyle name="표준 4 3 3 3 17" xfId="45348"/>
    <cellStyle name="표준 4 3 3 3 17 2" xfId="45349"/>
    <cellStyle name="표준 4 3 3 3 17 3" xfId="45350"/>
    <cellStyle name="표준 4 3 3 3 18" xfId="45351"/>
    <cellStyle name="표준 4 3 3 3 19" xfId="45352"/>
    <cellStyle name="표준 4 3 3 3 2" xfId="45353"/>
    <cellStyle name="표준 4 3 3 3 2 10" xfId="45354"/>
    <cellStyle name="표준 4 3 3 3 2 11" xfId="45355"/>
    <cellStyle name="표준 4 3 3 3 2 12" xfId="45356"/>
    <cellStyle name="표준 4 3 3 3 2 13" xfId="45357"/>
    <cellStyle name="표준 4 3 3 3 2 14" xfId="45358"/>
    <cellStyle name="표준 4 3 3 3 2 15" xfId="45359"/>
    <cellStyle name="표준 4 3 3 3 2 16" xfId="45360"/>
    <cellStyle name="표준 4 3 3 3 2 16 2" xfId="45361"/>
    <cellStyle name="표준 4 3 3 3 2 16 3" xfId="45362"/>
    <cellStyle name="표준 4 3 3 3 2 17" xfId="45363"/>
    <cellStyle name="표준 4 3 3 3 2 18" xfId="45364"/>
    <cellStyle name="표준 4 3 3 3 2 19" xfId="45365"/>
    <cellStyle name="표준 4 3 3 3 2 2" xfId="45366"/>
    <cellStyle name="표준 4 3 3 3 2 2 2" xfId="45367"/>
    <cellStyle name="표준 4 3 3 3 2 2 2 2" xfId="45368"/>
    <cellStyle name="표준 4 3 3 3 2 2 2 2 2" xfId="45369"/>
    <cellStyle name="표준 4 3 3 3 2 2 2 2 3" xfId="45370"/>
    <cellStyle name="표준 4 3 3 3 2 2 2 3" xfId="45371"/>
    <cellStyle name="표준 4 3 3 3 2 2 2 4" xfId="45372"/>
    <cellStyle name="표준 4 3 3 3 2 2 2 5" xfId="45373"/>
    <cellStyle name="표준 4 3 3 3 2 2 3" xfId="45374"/>
    <cellStyle name="표준 4 3 3 3 2 2 3 2" xfId="45375"/>
    <cellStyle name="표준 4 3 3 3 2 2 3 3" xfId="45376"/>
    <cellStyle name="표준 4 3 3 3 2 2 4" xfId="45377"/>
    <cellStyle name="표준 4 3 3 3 2 2 5" xfId="45378"/>
    <cellStyle name="표준 4 3 3 3 2 2 6" xfId="45379"/>
    <cellStyle name="표준 4 3 3 3 2 3" xfId="45380"/>
    <cellStyle name="표준 4 3 3 3 2 3 2" xfId="45381"/>
    <cellStyle name="표준 4 3 3 3 2 3 2 2" xfId="45382"/>
    <cellStyle name="표준 4 3 3 3 2 3 2 2 2" xfId="45383"/>
    <cellStyle name="표준 4 3 3 3 2 3 2 2 3" xfId="45384"/>
    <cellStyle name="표준 4 3 3 3 2 3 2 3" xfId="45385"/>
    <cellStyle name="표준 4 3 3 3 2 3 2 4" xfId="45386"/>
    <cellStyle name="표준 4 3 3 3 2 3 2 5" xfId="45387"/>
    <cellStyle name="표준 4 3 3 3 2 3 3" xfId="45388"/>
    <cellStyle name="표준 4 3 3 3 2 4" xfId="45389"/>
    <cellStyle name="표준 4 3 3 3 2 4 2" xfId="45390"/>
    <cellStyle name="표준 4 3 3 3 2 4 2 2" xfId="45391"/>
    <cellStyle name="표준 4 3 3 3 2 4 2 2 2" xfId="45392"/>
    <cellStyle name="표준 4 3 3 3 2 4 2 2 3" xfId="45393"/>
    <cellStyle name="표준 4 3 3 3 2 4 2 3" xfId="45394"/>
    <cellStyle name="표준 4 3 3 3 2 4 2 4" xfId="45395"/>
    <cellStyle name="표준 4 3 3 3 2 4 2 5" xfId="45396"/>
    <cellStyle name="표준 4 3 3 3 2 4 3" xfId="45397"/>
    <cellStyle name="표준 4 3 3 3 2 5" xfId="45398"/>
    <cellStyle name="표준 4 3 3 3 2 6" xfId="45399"/>
    <cellStyle name="표준 4 3 3 3 2 7" xfId="45400"/>
    <cellStyle name="표준 4 3 3 3 2 8" xfId="45401"/>
    <cellStyle name="표준 4 3 3 3 2 9" xfId="45402"/>
    <cellStyle name="표준 4 3 3 3 20" xfId="45403"/>
    <cellStyle name="표준 4 3 3 3 3" xfId="45404"/>
    <cellStyle name="표준 4 3 3 3 3 2" xfId="45405"/>
    <cellStyle name="표준 4 3 3 3 3 2 2" xfId="45406"/>
    <cellStyle name="표준 4 3 3 3 3 2 2 2" xfId="45407"/>
    <cellStyle name="표준 4 3 3 3 3 2 2 3" xfId="45408"/>
    <cellStyle name="표준 4 3 3 3 3 2 3" xfId="45409"/>
    <cellStyle name="표준 4 3 3 3 3 2 4" xfId="45410"/>
    <cellStyle name="표준 4 3 3 3 3 2 5" xfId="45411"/>
    <cellStyle name="표준 4 3 3 3 3 3" xfId="45412"/>
    <cellStyle name="표준 4 3 3 3 3 3 2" xfId="45413"/>
    <cellStyle name="표준 4 3 3 3 3 3 3" xfId="45414"/>
    <cellStyle name="표준 4 3 3 3 3 4" xfId="45415"/>
    <cellStyle name="표준 4 3 3 3 3 5" xfId="45416"/>
    <cellStyle name="표준 4 3 3 3 3 6" xfId="45417"/>
    <cellStyle name="표준 4 3 3 3 4" xfId="45418"/>
    <cellStyle name="표준 4 3 3 3 4 2" xfId="45419"/>
    <cellStyle name="표준 4 3 3 3 4 2 2" xfId="45420"/>
    <cellStyle name="표준 4 3 3 3 4 2 2 2" xfId="45421"/>
    <cellStyle name="표준 4 3 3 3 4 2 2 3" xfId="45422"/>
    <cellStyle name="표준 4 3 3 3 4 2 3" xfId="45423"/>
    <cellStyle name="표준 4 3 3 3 4 2 4" xfId="45424"/>
    <cellStyle name="표준 4 3 3 3 4 2 5" xfId="45425"/>
    <cellStyle name="표준 4 3 3 3 4 3" xfId="45426"/>
    <cellStyle name="표준 4 3 3 3 5" xfId="45427"/>
    <cellStyle name="표준 4 3 3 3 5 2" xfId="45428"/>
    <cellStyle name="표준 4 3 3 3 5 2 2" xfId="45429"/>
    <cellStyle name="표준 4 3 3 3 5 2 2 2" xfId="45430"/>
    <cellStyle name="표준 4 3 3 3 5 2 2 3" xfId="45431"/>
    <cellStyle name="표준 4 3 3 3 5 2 3" xfId="45432"/>
    <cellStyle name="표준 4 3 3 3 5 2 4" xfId="45433"/>
    <cellStyle name="표준 4 3 3 3 5 2 5" xfId="45434"/>
    <cellStyle name="표준 4 3 3 3 5 3" xfId="45435"/>
    <cellStyle name="표준 4 3 3 3 6" xfId="45436"/>
    <cellStyle name="표준 4 3 3 3 7" xfId="45437"/>
    <cellStyle name="표준 4 3 3 3 8" xfId="45438"/>
    <cellStyle name="표준 4 3 3 3 9" xfId="45439"/>
    <cellStyle name="표준 4 3 3 4" xfId="45440"/>
    <cellStyle name="표준 4 3 3 4 10" xfId="45441"/>
    <cellStyle name="표준 4 3 3 4 11" xfId="45442"/>
    <cellStyle name="표준 4 3 3 4 12" xfId="45443"/>
    <cellStyle name="표준 4 3 3 4 13" xfId="45444"/>
    <cellStyle name="표준 4 3 3 4 14" xfId="45445"/>
    <cellStyle name="표준 4 3 3 4 15" xfId="45446"/>
    <cellStyle name="표준 4 3 3 4 16" xfId="45447"/>
    <cellStyle name="표준 4 3 3 4 16 2" xfId="45448"/>
    <cellStyle name="표준 4 3 3 4 16 3" xfId="45449"/>
    <cellStyle name="표준 4 3 3 4 17" xfId="45450"/>
    <cellStyle name="표준 4 3 3 4 18" xfId="45451"/>
    <cellStyle name="표준 4 3 3 4 19" xfId="45452"/>
    <cellStyle name="표준 4 3 3 4 2" xfId="45453"/>
    <cellStyle name="표준 4 3 3 4 2 2" xfId="45454"/>
    <cellStyle name="표준 4 3 3 4 2 2 2" xfId="45455"/>
    <cellStyle name="표준 4 3 3 4 2 2 2 2" xfId="45456"/>
    <cellStyle name="표준 4 3 3 4 2 2 2 3" xfId="45457"/>
    <cellStyle name="표준 4 3 3 4 2 2 3" xfId="45458"/>
    <cellStyle name="표준 4 3 3 4 2 2 4" xfId="45459"/>
    <cellStyle name="표준 4 3 3 4 2 2 5" xfId="45460"/>
    <cellStyle name="표준 4 3 3 4 2 3" xfId="45461"/>
    <cellStyle name="표준 4 3 3 4 2 3 2" xfId="45462"/>
    <cellStyle name="표준 4 3 3 4 2 3 3" xfId="45463"/>
    <cellStyle name="표준 4 3 3 4 2 4" xfId="45464"/>
    <cellStyle name="표준 4 3 3 4 2 5" xfId="45465"/>
    <cellStyle name="표준 4 3 3 4 2 6" xfId="45466"/>
    <cellStyle name="표준 4 3 3 4 3" xfId="45467"/>
    <cellStyle name="표준 4 3 3 4 3 2" xfId="45468"/>
    <cellStyle name="표준 4 3 3 4 3 2 2" xfId="45469"/>
    <cellStyle name="표준 4 3 3 4 3 2 2 2" xfId="45470"/>
    <cellStyle name="표준 4 3 3 4 3 2 2 3" xfId="45471"/>
    <cellStyle name="표준 4 3 3 4 3 2 3" xfId="45472"/>
    <cellStyle name="표준 4 3 3 4 3 2 4" xfId="45473"/>
    <cellStyle name="표준 4 3 3 4 3 2 5" xfId="45474"/>
    <cellStyle name="표준 4 3 3 4 3 3" xfId="45475"/>
    <cellStyle name="표준 4 3 3 4 4" xfId="45476"/>
    <cellStyle name="표준 4 3 3 4 4 2" xfId="45477"/>
    <cellStyle name="표준 4 3 3 4 4 2 2" xfId="45478"/>
    <cellStyle name="표준 4 3 3 4 4 2 2 2" xfId="45479"/>
    <cellStyle name="표준 4 3 3 4 4 2 2 3" xfId="45480"/>
    <cellStyle name="표준 4 3 3 4 4 2 3" xfId="45481"/>
    <cellStyle name="표준 4 3 3 4 4 2 4" xfId="45482"/>
    <cellStyle name="표준 4 3 3 4 4 2 5" xfId="45483"/>
    <cellStyle name="표준 4 3 3 4 4 3" xfId="45484"/>
    <cellStyle name="표준 4 3 3 4 5" xfId="45485"/>
    <cellStyle name="표준 4 3 3 4 6" xfId="45486"/>
    <cellStyle name="표준 4 3 3 4 7" xfId="45487"/>
    <cellStyle name="표준 4 3 3 4 8" xfId="45488"/>
    <cellStyle name="표준 4 3 3 4 9" xfId="45489"/>
    <cellStyle name="표준 4 3 3 5" xfId="45490"/>
    <cellStyle name="표준 4 3 3 5 2" xfId="45491"/>
    <cellStyle name="표준 4 3 3 5 2 2" xfId="45492"/>
    <cellStyle name="표준 4 3 3 5 2 2 2" xfId="45493"/>
    <cellStyle name="표준 4 3 3 5 2 2 3" xfId="45494"/>
    <cellStyle name="표준 4 3 3 5 2 3" xfId="45495"/>
    <cellStyle name="표준 4 3 3 5 2 4" xfId="45496"/>
    <cellStyle name="표준 4 3 3 5 2 5" xfId="45497"/>
    <cellStyle name="표준 4 3 3 5 3" xfId="45498"/>
    <cellStyle name="표준 4 3 3 5 3 2" xfId="45499"/>
    <cellStyle name="표준 4 3 3 5 3 3" xfId="45500"/>
    <cellStyle name="표준 4 3 3 5 4" xfId="45501"/>
    <cellStyle name="표준 4 3 3 5 5" xfId="45502"/>
    <cellStyle name="표준 4 3 3 5 6" xfId="45503"/>
    <cellStyle name="표준 4 3 3 6" xfId="45504"/>
    <cellStyle name="표준 4 3 3 6 2" xfId="45505"/>
    <cellStyle name="표준 4 3 3 6 2 2" xfId="45506"/>
    <cellStyle name="표준 4 3 3 6 2 2 2" xfId="45507"/>
    <cellStyle name="표준 4 3 3 6 2 2 3" xfId="45508"/>
    <cellStyle name="표준 4 3 3 6 2 3" xfId="45509"/>
    <cellStyle name="표준 4 3 3 6 2 4" xfId="45510"/>
    <cellStyle name="표준 4 3 3 6 2 5" xfId="45511"/>
    <cellStyle name="표준 4 3 3 6 3" xfId="45512"/>
    <cellStyle name="표준 4 3 3 7" xfId="45513"/>
    <cellStyle name="표준 4 3 3 7 2" xfId="45514"/>
    <cellStyle name="표준 4 3 3 7 2 2" xfId="45515"/>
    <cellStyle name="표준 4 3 3 7 2 2 2" xfId="45516"/>
    <cellStyle name="표준 4 3 3 7 2 2 3" xfId="45517"/>
    <cellStyle name="표준 4 3 3 7 2 3" xfId="45518"/>
    <cellStyle name="표준 4 3 3 7 2 4" xfId="45519"/>
    <cellStyle name="표준 4 3 3 7 2 5" xfId="45520"/>
    <cellStyle name="표준 4 3 3 7 3" xfId="45521"/>
    <cellStyle name="표준 4 3 3 8" xfId="45522"/>
    <cellStyle name="표준 4 3 3 9" xfId="45523"/>
    <cellStyle name="표준 4 3 4" xfId="45524"/>
    <cellStyle name="표준 4 3 4 10" xfId="45525"/>
    <cellStyle name="표준 4 3 4 11" xfId="45526"/>
    <cellStyle name="표준 4 3 4 12" xfId="45527"/>
    <cellStyle name="표준 4 3 4 13" xfId="45528"/>
    <cellStyle name="표준 4 3 4 14" xfId="45529"/>
    <cellStyle name="표준 4 3 4 15" xfId="45530"/>
    <cellStyle name="표준 4 3 4 16" xfId="45531"/>
    <cellStyle name="표준 4 3 4 17" xfId="45532"/>
    <cellStyle name="표준 4 3 4 17 2" xfId="45533"/>
    <cellStyle name="표준 4 3 4 17 3" xfId="45534"/>
    <cellStyle name="표준 4 3 4 18" xfId="45535"/>
    <cellStyle name="표준 4 3 4 19" xfId="45536"/>
    <cellStyle name="표준 4 3 4 2" xfId="45537"/>
    <cellStyle name="표준 4 3 4 2 10" xfId="45538"/>
    <cellStyle name="표준 4 3 4 2 11" xfId="45539"/>
    <cellStyle name="표준 4 3 4 2 12" xfId="45540"/>
    <cellStyle name="표준 4 3 4 2 13" xfId="45541"/>
    <cellStyle name="표준 4 3 4 2 14" xfId="45542"/>
    <cellStyle name="표준 4 3 4 2 15" xfId="45543"/>
    <cellStyle name="표준 4 3 4 2 16" xfId="45544"/>
    <cellStyle name="표준 4 3 4 2 16 2" xfId="45545"/>
    <cellStyle name="표준 4 3 4 2 16 3" xfId="45546"/>
    <cellStyle name="표준 4 3 4 2 17" xfId="45547"/>
    <cellStyle name="표준 4 3 4 2 18" xfId="45548"/>
    <cellStyle name="표준 4 3 4 2 19" xfId="45549"/>
    <cellStyle name="표준 4 3 4 2 2" xfId="45550"/>
    <cellStyle name="표준 4 3 4 2 2 2" xfId="45551"/>
    <cellStyle name="표준 4 3 4 2 2 2 2" xfId="45552"/>
    <cellStyle name="표준 4 3 4 2 2 2 2 2" xfId="45553"/>
    <cellStyle name="표준 4 3 4 2 2 2 2 3" xfId="45554"/>
    <cellStyle name="표준 4 3 4 2 2 2 3" xfId="45555"/>
    <cellStyle name="표준 4 3 4 2 2 2 4" xfId="45556"/>
    <cellStyle name="표준 4 3 4 2 2 2 5" xfId="45557"/>
    <cellStyle name="표준 4 3 4 2 2 3" xfId="45558"/>
    <cellStyle name="표준 4 3 4 2 2 3 2" xfId="45559"/>
    <cellStyle name="표준 4 3 4 2 2 3 3" xfId="45560"/>
    <cellStyle name="표준 4 3 4 2 2 4" xfId="45561"/>
    <cellStyle name="표준 4 3 4 2 2 5" xfId="45562"/>
    <cellStyle name="표준 4 3 4 2 2 6" xfId="45563"/>
    <cellStyle name="표준 4 3 4 2 3" xfId="45564"/>
    <cellStyle name="표준 4 3 4 2 3 2" xfId="45565"/>
    <cellStyle name="표준 4 3 4 2 3 2 2" xfId="45566"/>
    <cellStyle name="표준 4 3 4 2 3 2 2 2" xfId="45567"/>
    <cellStyle name="표준 4 3 4 2 3 2 2 3" xfId="45568"/>
    <cellStyle name="표준 4 3 4 2 3 2 3" xfId="45569"/>
    <cellStyle name="표준 4 3 4 2 3 2 4" xfId="45570"/>
    <cellStyle name="표준 4 3 4 2 3 2 5" xfId="45571"/>
    <cellStyle name="표준 4 3 4 2 3 3" xfId="45572"/>
    <cellStyle name="표준 4 3 4 2 4" xfId="45573"/>
    <cellStyle name="표준 4 3 4 2 4 2" xfId="45574"/>
    <cellStyle name="표준 4 3 4 2 4 2 2" xfId="45575"/>
    <cellStyle name="표준 4 3 4 2 4 2 2 2" xfId="45576"/>
    <cellStyle name="표준 4 3 4 2 4 2 2 3" xfId="45577"/>
    <cellStyle name="표준 4 3 4 2 4 2 3" xfId="45578"/>
    <cellStyle name="표준 4 3 4 2 4 2 4" xfId="45579"/>
    <cellStyle name="표준 4 3 4 2 4 2 5" xfId="45580"/>
    <cellStyle name="표준 4 3 4 2 4 3" xfId="45581"/>
    <cellStyle name="표준 4 3 4 2 5" xfId="45582"/>
    <cellStyle name="표준 4 3 4 2 6" xfId="45583"/>
    <cellStyle name="표준 4 3 4 2 7" xfId="45584"/>
    <cellStyle name="표준 4 3 4 2 8" xfId="45585"/>
    <cellStyle name="표준 4 3 4 2 9" xfId="45586"/>
    <cellStyle name="표준 4 3 4 20" xfId="45587"/>
    <cellStyle name="표준 4 3 4 3" xfId="45588"/>
    <cellStyle name="표준 4 3 4 3 2" xfId="45589"/>
    <cellStyle name="표준 4 3 4 3 2 2" xfId="45590"/>
    <cellStyle name="표준 4 3 4 3 2 2 2" xfId="45591"/>
    <cellStyle name="표준 4 3 4 3 2 2 3" xfId="45592"/>
    <cellStyle name="표준 4 3 4 3 2 3" xfId="45593"/>
    <cellStyle name="표준 4 3 4 3 2 4" xfId="45594"/>
    <cellStyle name="표준 4 3 4 3 2 5" xfId="45595"/>
    <cellStyle name="표준 4 3 4 3 3" xfId="45596"/>
    <cellStyle name="표준 4 3 4 3 3 2" xfId="45597"/>
    <cellStyle name="표준 4 3 4 3 3 3" xfId="45598"/>
    <cellStyle name="표준 4 3 4 3 4" xfId="45599"/>
    <cellStyle name="표준 4 3 4 3 5" xfId="45600"/>
    <cellStyle name="표준 4 3 4 3 6" xfId="45601"/>
    <cellStyle name="표준 4 3 4 4" xfId="45602"/>
    <cellStyle name="표준 4 3 4 4 2" xfId="45603"/>
    <cellStyle name="표준 4 3 4 4 2 2" xfId="45604"/>
    <cellStyle name="표준 4 3 4 4 2 2 2" xfId="45605"/>
    <cellStyle name="표준 4 3 4 4 2 2 3" xfId="45606"/>
    <cellStyle name="표준 4 3 4 4 2 3" xfId="45607"/>
    <cellStyle name="표준 4 3 4 4 2 4" xfId="45608"/>
    <cellStyle name="표준 4 3 4 4 2 5" xfId="45609"/>
    <cellStyle name="표준 4 3 4 4 3" xfId="45610"/>
    <cellStyle name="표준 4 3 4 5" xfId="45611"/>
    <cellStyle name="표준 4 3 4 5 2" xfId="45612"/>
    <cellStyle name="표준 4 3 4 5 2 2" xfId="45613"/>
    <cellStyle name="표준 4 3 4 5 2 2 2" xfId="45614"/>
    <cellStyle name="표준 4 3 4 5 2 2 3" xfId="45615"/>
    <cellStyle name="표준 4 3 4 5 2 3" xfId="45616"/>
    <cellStyle name="표준 4 3 4 5 2 4" xfId="45617"/>
    <cellStyle name="표준 4 3 4 5 2 5" xfId="45618"/>
    <cellStyle name="표준 4 3 4 5 3" xfId="45619"/>
    <cellStyle name="표준 4 3 4 6" xfId="45620"/>
    <cellStyle name="표준 4 3 4 7" xfId="45621"/>
    <cellStyle name="표준 4 3 4 8" xfId="45622"/>
    <cellStyle name="표준 4 3 4 9" xfId="45623"/>
    <cellStyle name="표준 4 3 5" xfId="45624"/>
    <cellStyle name="표준 4 3 5 10" xfId="45625"/>
    <cellStyle name="표준 4 3 5 11" xfId="45626"/>
    <cellStyle name="표준 4 3 5 12" xfId="45627"/>
    <cellStyle name="표준 4 3 5 13" xfId="45628"/>
    <cellStyle name="표준 4 3 5 14" xfId="45629"/>
    <cellStyle name="표준 4 3 5 15" xfId="45630"/>
    <cellStyle name="표준 4 3 5 16" xfId="45631"/>
    <cellStyle name="표준 4 3 5 17" xfId="45632"/>
    <cellStyle name="표준 4 3 5 17 2" xfId="45633"/>
    <cellStyle name="표준 4 3 5 17 3" xfId="45634"/>
    <cellStyle name="표준 4 3 5 18" xfId="45635"/>
    <cellStyle name="표준 4 3 5 19" xfId="45636"/>
    <cellStyle name="표준 4 3 5 2" xfId="45637"/>
    <cellStyle name="표준 4 3 5 2 10" xfId="45638"/>
    <cellStyle name="표준 4 3 5 2 11" xfId="45639"/>
    <cellStyle name="표준 4 3 5 2 12" xfId="45640"/>
    <cellStyle name="표준 4 3 5 2 13" xfId="45641"/>
    <cellStyle name="표준 4 3 5 2 14" xfId="45642"/>
    <cellStyle name="표준 4 3 5 2 15" xfId="45643"/>
    <cellStyle name="표준 4 3 5 2 16" xfId="45644"/>
    <cellStyle name="표준 4 3 5 2 16 2" xfId="45645"/>
    <cellStyle name="표준 4 3 5 2 16 3" xfId="45646"/>
    <cellStyle name="표준 4 3 5 2 17" xfId="45647"/>
    <cellStyle name="표준 4 3 5 2 18" xfId="45648"/>
    <cellStyle name="표준 4 3 5 2 19" xfId="45649"/>
    <cellStyle name="표준 4 3 5 2 2" xfId="45650"/>
    <cellStyle name="표준 4 3 5 2 2 2" xfId="45651"/>
    <cellStyle name="표준 4 3 5 2 2 2 2" xfId="45652"/>
    <cellStyle name="표준 4 3 5 2 2 2 2 2" xfId="45653"/>
    <cellStyle name="표준 4 3 5 2 2 2 2 3" xfId="45654"/>
    <cellStyle name="표준 4 3 5 2 2 2 3" xfId="45655"/>
    <cellStyle name="표준 4 3 5 2 2 2 4" xfId="45656"/>
    <cellStyle name="표준 4 3 5 2 2 2 5" xfId="45657"/>
    <cellStyle name="표준 4 3 5 2 2 3" xfId="45658"/>
    <cellStyle name="표준 4 3 5 2 2 3 2" xfId="45659"/>
    <cellStyle name="표준 4 3 5 2 2 3 3" xfId="45660"/>
    <cellStyle name="표준 4 3 5 2 2 4" xfId="45661"/>
    <cellStyle name="표준 4 3 5 2 2 5" xfId="45662"/>
    <cellStyle name="표준 4 3 5 2 2 6" xfId="45663"/>
    <cellStyle name="표준 4 3 5 2 3" xfId="45664"/>
    <cellStyle name="표준 4 3 5 2 3 2" xfId="45665"/>
    <cellStyle name="표준 4 3 5 2 3 2 2" xfId="45666"/>
    <cellStyle name="표준 4 3 5 2 3 2 2 2" xfId="45667"/>
    <cellStyle name="표준 4 3 5 2 3 2 2 3" xfId="45668"/>
    <cellStyle name="표준 4 3 5 2 3 2 3" xfId="45669"/>
    <cellStyle name="표준 4 3 5 2 3 2 4" xfId="45670"/>
    <cellStyle name="표준 4 3 5 2 3 2 5" xfId="45671"/>
    <cellStyle name="표준 4 3 5 2 3 3" xfId="45672"/>
    <cellStyle name="표준 4 3 5 2 4" xfId="45673"/>
    <cellStyle name="표준 4 3 5 2 4 2" xfId="45674"/>
    <cellStyle name="표준 4 3 5 2 4 2 2" xfId="45675"/>
    <cellStyle name="표준 4 3 5 2 4 2 2 2" xfId="45676"/>
    <cellStyle name="표준 4 3 5 2 4 2 2 3" xfId="45677"/>
    <cellStyle name="표준 4 3 5 2 4 2 3" xfId="45678"/>
    <cellStyle name="표준 4 3 5 2 4 2 4" xfId="45679"/>
    <cellStyle name="표준 4 3 5 2 4 2 5" xfId="45680"/>
    <cellStyle name="표준 4 3 5 2 4 3" xfId="45681"/>
    <cellStyle name="표준 4 3 5 2 5" xfId="45682"/>
    <cellStyle name="표준 4 3 5 2 6" xfId="45683"/>
    <cellStyle name="표준 4 3 5 2 7" xfId="45684"/>
    <cellStyle name="표준 4 3 5 2 8" xfId="45685"/>
    <cellStyle name="표준 4 3 5 2 9" xfId="45686"/>
    <cellStyle name="표준 4 3 5 20" xfId="45687"/>
    <cellStyle name="표준 4 3 5 3" xfId="45688"/>
    <cellStyle name="표준 4 3 5 3 2" xfId="45689"/>
    <cellStyle name="표준 4 3 5 3 2 2" xfId="45690"/>
    <cellStyle name="표준 4 3 5 3 2 2 2" xfId="45691"/>
    <cellStyle name="표준 4 3 5 3 2 2 3" xfId="45692"/>
    <cellStyle name="표준 4 3 5 3 2 3" xfId="45693"/>
    <cellStyle name="표준 4 3 5 3 2 4" xfId="45694"/>
    <cellStyle name="표준 4 3 5 3 2 5" xfId="45695"/>
    <cellStyle name="표준 4 3 5 3 3" xfId="45696"/>
    <cellStyle name="표준 4 3 5 3 3 2" xfId="45697"/>
    <cellStyle name="표준 4 3 5 3 3 3" xfId="45698"/>
    <cellStyle name="표준 4 3 5 3 4" xfId="45699"/>
    <cellStyle name="표준 4 3 5 3 5" xfId="45700"/>
    <cellStyle name="표준 4 3 5 3 6" xfId="45701"/>
    <cellStyle name="표준 4 3 5 4" xfId="45702"/>
    <cellStyle name="표준 4 3 5 4 2" xfId="45703"/>
    <cellStyle name="표준 4 3 5 4 2 2" xfId="45704"/>
    <cellStyle name="표준 4 3 5 4 2 2 2" xfId="45705"/>
    <cellStyle name="표준 4 3 5 4 2 2 3" xfId="45706"/>
    <cellStyle name="표준 4 3 5 4 2 3" xfId="45707"/>
    <cellStyle name="표준 4 3 5 4 2 4" xfId="45708"/>
    <cellStyle name="표준 4 3 5 4 2 5" xfId="45709"/>
    <cellStyle name="표준 4 3 5 4 3" xfId="45710"/>
    <cellStyle name="표준 4 3 5 5" xfId="45711"/>
    <cellStyle name="표준 4 3 5 5 2" xfId="45712"/>
    <cellStyle name="표준 4 3 5 5 2 2" xfId="45713"/>
    <cellStyle name="표준 4 3 5 5 2 2 2" xfId="45714"/>
    <cellStyle name="표준 4 3 5 5 2 2 3" xfId="45715"/>
    <cellStyle name="표준 4 3 5 5 2 3" xfId="45716"/>
    <cellStyle name="표준 4 3 5 5 2 4" xfId="45717"/>
    <cellStyle name="표준 4 3 5 5 2 5" xfId="45718"/>
    <cellStyle name="표준 4 3 5 5 3" xfId="45719"/>
    <cellStyle name="표준 4 3 5 6" xfId="45720"/>
    <cellStyle name="표준 4 3 5 7" xfId="45721"/>
    <cellStyle name="표준 4 3 5 8" xfId="45722"/>
    <cellStyle name="표준 4 3 5 9" xfId="45723"/>
    <cellStyle name="표준 4 3 6" xfId="45724"/>
    <cellStyle name="표준 4 3 6 10" xfId="45725"/>
    <cellStyle name="표준 4 3 6 11" xfId="45726"/>
    <cellStyle name="표준 4 3 6 12" xfId="45727"/>
    <cellStyle name="표준 4 3 6 13" xfId="45728"/>
    <cellStyle name="표준 4 3 6 14" xfId="45729"/>
    <cellStyle name="표준 4 3 6 15" xfId="45730"/>
    <cellStyle name="표준 4 3 6 16" xfId="45731"/>
    <cellStyle name="표준 4 3 6 16 2" xfId="45732"/>
    <cellStyle name="표준 4 3 6 16 3" xfId="45733"/>
    <cellStyle name="표준 4 3 6 17" xfId="45734"/>
    <cellStyle name="표준 4 3 6 18" xfId="45735"/>
    <cellStyle name="표준 4 3 6 19" xfId="45736"/>
    <cellStyle name="표준 4 3 6 2" xfId="45737"/>
    <cellStyle name="표준 4 3 6 2 2" xfId="45738"/>
    <cellStyle name="표준 4 3 6 2 2 2" xfId="45739"/>
    <cellStyle name="표준 4 3 6 2 2 2 2" xfId="45740"/>
    <cellStyle name="표준 4 3 6 2 2 2 3" xfId="45741"/>
    <cellStyle name="표준 4 3 6 2 2 3" xfId="45742"/>
    <cellStyle name="표준 4 3 6 2 2 4" xfId="45743"/>
    <cellStyle name="표준 4 3 6 2 2 5" xfId="45744"/>
    <cellStyle name="표준 4 3 6 2 3" xfId="45745"/>
    <cellStyle name="표준 4 3 6 2 3 2" xfId="45746"/>
    <cellStyle name="표준 4 3 6 2 3 3" xfId="45747"/>
    <cellStyle name="표준 4 3 6 2 4" xfId="45748"/>
    <cellStyle name="표준 4 3 6 2 5" xfId="45749"/>
    <cellStyle name="표준 4 3 6 2 6" xfId="45750"/>
    <cellStyle name="표준 4 3 6 3" xfId="45751"/>
    <cellStyle name="표준 4 3 6 3 2" xfId="45752"/>
    <cellStyle name="표준 4 3 6 3 2 2" xfId="45753"/>
    <cellStyle name="표준 4 3 6 3 2 2 2" xfId="45754"/>
    <cellStyle name="표준 4 3 6 3 2 2 3" xfId="45755"/>
    <cellStyle name="표준 4 3 6 3 2 3" xfId="45756"/>
    <cellStyle name="표준 4 3 6 3 2 4" xfId="45757"/>
    <cellStyle name="표준 4 3 6 3 2 5" xfId="45758"/>
    <cellStyle name="표준 4 3 6 3 3" xfId="45759"/>
    <cellStyle name="표준 4 3 6 4" xfId="45760"/>
    <cellStyle name="표준 4 3 6 4 2" xfId="45761"/>
    <cellStyle name="표준 4 3 6 4 2 2" xfId="45762"/>
    <cellStyle name="표준 4 3 6 4 2 2 2" xfId="45763"/>
    <cellStyle name="표준 4 3 6 4 2 2 3" xfId="45764"/>
    <cellStyle name="표준 4 3 6 4 2 3" xfId="45765"/>
    <cellStyle name="표준 4 3 6 4 2 4" xfId="45766"/>
    <cellStyle name="표준 4 3 6 4 2 5" xfId="45767"/>
    <cellStyle name="표준 4 3 6 4 3" xfId="45768"/>
    <cellStyle name="표준 4 3 6 5" xfId="45769"/>
    <cellStyle name="표준 4 3 6 6" xfId="45770"/>
    <cellStyle name="표준 4 3 6 7" xfId="45771"/>
    <cellStyle name="표준 4 3 6 8" xfId="45772"/>
    <cellStyle name="표준 4 3 6 9" xfId="45773"/>
    <cellStyle name="표준 4 3 7" xfId="45774"/>
    <cellStyle name="표준 4 3 7 2" xfId="45775"/>
    <cellStyle name="표준 4 3 7 2 2" xfId="45776"/>
    <cellStyle name="표준 4 3 7 2 2 2" xfId="45777"/>
    <cellStyle name="표준 4 3 7 2 2 3" xfId="45778"/>
    <cellStyle name="표준 4 3 7 2 3" xfId="45779"/>
    <cellStyle name="표준 4 3 7 2 4" xfId="45780"/>
    <cellStyle name="표준 4 3 7 2 5" xfId="45781"/>
    <cellStyle name="표준 4 3 7 3" xfId="45782"/>
    <cellStyle name="표준 4 3 7 3 2" xfId="45783"/>
    <cellStyle name="표준 4 3 7 3 3" xfId="45784"/>
    <cellStyle name="표준 4 3 7 4" xfId="45785"/>
    <cellStyle name="표준 4 3 7 5" xfId="45786"/>
    <cellStyle name="표준 4 3 7 6" xfId="45787"/>
    <cellStyle name="표준 4 3 8" xfId="45788"/>
    <cellStyle name="표준 4 3 8 2" xfId="45789"/>
    <cellStyle name="표준 4 3 8 2 2" xfId="45790"/>
    <cellStyle name="표준 4 3 8 2 2 2" xfId="45791"/>
    <cellStyle name="표준 4 3 8 2 2 3" xfId="45792"/>
    <cellStyle name="표준 4 3 8 2 3" xfId="45793"/>
    <cellStyle name="표준 4 3 8 2 4" xfId="45794"/>
    <cellStyle name="표준 4 3 8 2 5" xfId="45795"/>
    <cellStyle name="표준 4 3 8 3" xfId="45796"/>
    <cellStyle name="표준 4 3 9" xfId="45797"/>
    <cellStyle name="표준 4 3 9 2" xfId="45798"/>
    <cellStyle name="표준 4 3 9 2 2" xfId="45799"/>
    <cellStyle name="표준 4 3 9 2 2 2" xfId="45800"/>
    <cellStyle name="표준 4 3 9 2 2 3" xfId="45801"/>
    <cellStyle name="표준 4 3 9 2 3" xfId="45802"/>
    <cellStyle name="표준 4 3 9 2 4" xfId="45803"/>
    <cellStyle name="표준 4 3 9 2 5" xfId="45804"/>
    <cellStyle name="표준 4 3 9 3" xfId="45805"/>
    <cellStyle name="표준 4 4" xfId="45806"/>
    <cellStyle name="표준 4 4 10" xfId="45807"/>
    <cellStyle name="표준 4 4 11" xfId="45808"/>
    <cellStyle name="표준 4 4 12" xfId="45809"/>
    <cellStyle name="표준 4 4 13" xfId="45810"/>
    <cellStyle name="표준 4 4 14" xfId="45811"/>
    <cellStyle name="표준 4 4 15" xfId="45812"/>
    <cellStyle name="표준 4 4 16" xfId="45813"/>
    <cellStyle name="표준 4 4 17" xfId="45814"/>
    <cellStyle name="표준 4 4 18" xfId="45815"/>
    <cellStyle name="표준 4 4 19" xfId="45816"/>
    <cellStyle name="표준 4 4 2" xfId="45817"/>
    <cellStyle name="표준 4 4 2 10" xfId="45818"/>
    <cellStyle name="표준 4 4 2 11" xfId="45819"/>
    <cellStyle name="표준 4 4 2 12" xfId="45820"/>
    <cellStyle name="표준 4 4 2 13" xfId="45821"/>
    <cellStyle name="표준 4 4 2 14" xfId="45822"/>
    <cellStyle name="표준 4 4 2 15" xfId="45823"/>
    <cellStyle name="표준 4 4 2 16" xfId="45824"/>
    <cellStyle name="표준 4 4 2 17" xfId="45825"/>
    <cellStyle name="표준 4 4 2 18" xfId="45826"/>
    <cellStyle name="표준 4 4 2 19" xfId="45827"/>
    <cellStyle name="표준 4 4 2 19 2" xfId="45828"/>
    <cellStyle name="표준 4 4 2 19 3" xfId="45829"/>
    <cellStyle name="표준 4 4 2 2" xfId="45830"/>
    <cellStyle name="표준 4 4 2 2 10" xfId="45831"/>
    <cellStyle name="표준 4 4 2 2 11" xfId="45832"/>
    <cellStyle name="표준 4 4 2 2 12" xfId="45833"/>
    <cellStyle name="표준 4 4 2 2 13" xfId="45834"/>
    <cellStyle name="표준 4 4 2 2 14" xfId="45835"/>
    <cellStyle name="표준 4 4 2 2 15" xfId="45836"/>
    <cellStyle name="표준 4 4 2 2 16" xfId="45837"/>
    <cellStyle name="표준 4 4 2 2 17" xfId="45838"/>
    <cellStyle name="표준 4 4 2 2 17 2" xfId="45839"/>
    <cellStyle name="표준 4 4 2 2 17 3" xfId="45840"/>
    <cellStyle name="표준 4 4 2 2 18" xfId="45841"/>
    <cellStyle name="표준 4 4 2 2 19" xfId="45842"/>
    <cellStyle name="표준 4 4 2 2 2" xfId="45843"/>
    <cellStyle name="표준 4 4 2 2 2 10" xfId="45844"/>
    <cellStyle name="표준 4 4 2 2 2 11" xfId="45845"/>
    <cellStyle name="표준 4 4 2 2 2 12" xfId="45846"/>
    <cellStyle name="표준 4 4 2 2 2 13" xfId="45847"/>
    <cellStyle name="표준 4 4 2 2 2 14" xfId="45848"/>
    <cellStyle name="표준 4 4 2 2 2 15" xfId="45849"/>
    <cellStyle name="표준 4 4 2 2 2 16" xfId="45850"/>
    <cellStyle name="표준 4 4 2 2 2 16 2" xfId="45851"/>
    <cellStyle name="표준 4 4 2 2 2 16 3" xfId="45852"/>
    <cellStyle name="표준 4 4 2 2 2 17" xfId="45853"/>
    <cellStyle name="표준 4 4 2 2 2 18" xfId="45854"/>
    <cellStyle name="표준 4 4 2 2 2 19" xfId="45855"/>
    <cellStyle name="표준 4 4 2 2 2 2" xfId="45856"/>
    <cellStyle name="표준 4 4 2 2 2 2 2" xfId="45857"/>
    <cellStyle name="표준 4 4 2 2 2 2 2 2" xfId="45858"/>
    <cellStyle name="표준 4 4 2 2 2 2 2 2 2" xfId="45859"/>
    <cellStyle name="표준 4 4 2 2 2 2 2 2 3" xfId="45860"/>
    <cellStyle name="표준 4 4 2 2 2 2 2 3" xfId="45861"/>
    <cellStyle name="표준 4 4 2 2 2 2 2 4" xfId="45862"/>
    <cellStyle name="표준 4 4 2 2 2 2 2 5" xfId="45863"/>
    <cellStyle name="표준 4 4 2 2 2 2 3" xfId="45864"/>
    <cellStyle name="표준 4 4 2 2 2 2 3 2" xfId="45865"/>
    <cellStyle name="표준 4 4 2 2 2 2 3 3" xfId="45866"/>
    <cellStyle name="표준 4 4 2 2 2 2 4" xfId="45867"/>
    <cellStyle name="표준 4 4 2 2 2 2 5" xfId="45868"/>
    <cellStyle name="표준 4 4 2 2 2 2 6" xfId="45869"/>
    <cellStyle name="표준 4 4 2 2 2 3" xfId="45870"/>
    <cellStyle name="표준 4 4 2 2 2 3 2" xfId="45871"/>
    <cellStyle name="표준 4 4 2 2 2 3 2 2" xfId="45872"/>
    <cellStyle name="표준 4 4 2 2 2 3 2 2 2" xfId="45873"/>
    <cellStyle name="표준 4 4 2 2 2 3 2 2 3" xfId="45874"/>
    <cellStyle name="표준 4 4 2 2 2 3 2 3" xfId="45875"/>
    <cellStyle name="표준 4 4 2 2 2 3 2 4" xfId="45876"/>
    <cellStyle name="표준 4 4 2 2 2 3 2 5" xfId="45877"/>
    <cellStyle name="표준 4 4 2 2 2 3 3" xfId="45878"/>
    <cellStyle name="표준 4 4 2 2 2 4" xfId="45879"/>
    <cellStyle name="표준 4 4 2 2 2 4 2" xfId="45880"/>
    <cellStyle name="표준 4 4 2 2 2 4 2 2" xfId="45881"/>
    <cellStyle name="표준 4 4 2 2 2 4 2 2 2" xfId="45882"/>
    <cellStyle name="표준 4 4 2 2 2 4 2 2 3" xfId="45883"/>
    <cellStyle name="표준 4 4 2 2 2 4 2 3" xfId="45884"/>
    <cellStyle name="표준 4 4 2 2 2 4 2 4" xfId="45885"/>
    <cellStyle name="표준 4 4 2 2 2 4 2 5" xfId="45886"/>
    <cellStyle name="표준 4 4 2 2 2 4 3" xfId="45887"/>
    <cellStyle name="표준 4 4 2 2 2 5" xfId="45888"/>
    <cellStyle name="표준 4 4 2 2 2 6" xfId="45889"/>
    <cellStyle name="표준 4 4 2 2 2 7" xfId="45890"/>
    <cellStyle name="표준 4 4 2 2 2 8" xfId="45891"/>
    <cellStyle name="표준 4 4 2 2 2 9" xfId="45892"/>
    <cellStyle name="표준 4 4 2 2 20" xfId="45893"/>
    <cellStyle name="표준 4 4 2 2 3" xfId="45894"/>
    <cellStyle name="표준 4 4 2 2 3 2" xfId="45895"/>
    <cellStyle name="표준 4 4 2 2 3 2 2" xfId="45896"/>
    <cellStyle name="표준 4 4 2 2 3 2 2 2" xfId="45897"/>
    <cellStyle name="표준 4 4 2 2 3 2 2 3" xfId="45898"/>
    <cellStyle name="표준 4 4 2 2 3 2 3" xfId="45899"/>
    <cellStyle name="표준 4 4 2 2 3 2 4" xfId="45900"/>
    <cellStyle name="표준 4 4 2 2 3 2 5" xfId="45901"/>
    <cellStyle name="표준 4 4 2 2 3 3" xfId="45902"/>
    <cellStyle name="표준 4 4 2 2 3 3 2" xfId="45903"/>
    <cellStyle name="표준 4 4 2 2 3 3 3" xfId="45904"/>
    <cellStyle name="표준 4 4 2 2 3 4" xfId="45905"/>
    <cellStyle name="표준 4 4 2 2 3 5" xfId="45906"/>
    <cellStyle name="표준 4 4 2 2 3 6" xfId="45907"/>
    <cellStyle name="표준 4 4 2 2 4" xfId="45908"/>
    <cellStyle name="표준 4 4 2 2 4 2" xfId="45909"/>
    <cellStyle name="표준 4 4 2 2 4 2 2" xfId="45910"/>
    <cellStyle name="표준 4 4 2 2 4 2 2 2" xfId="45911"/>
    <cellStyle name="표준 4 4 2 2 4 2 2 3" xfId="45912"/>
    <cellStyle name="표준 4 4 2 2 4 2 3" xfId="45913"/>
    <cellStyle name="표준 4 4 2 2 4 2 4" xfId="45914"/>
    <cellStyle name="표준 4 4 2 2 4 2 5" xfId="45915"/>
    <cellStyle name="표준 4 4 2 2 4 3" xfId="45916"/>
    <cellStyle name="표준 4 4 2 2 5" xfId="45917"/>
    <cellStyle name="표준 4 4 2 2 5 2" xfId="45918"/>
    <cellStyle name="표준 4 4 2 2 5 2 2" xfId="45919"/>
    <cellStyle name="표준 4 4 2 2 5 2 2 2" xfId="45920"/>
    <cellStyle name="표준 4 4 2 2 5 2 2 3" xfId="45921"/>
    <cellStyle name="표준 4 4 2 2 5 2 3" xfId="45922"/>
    <cellStyle name="표준 4 4 2 2 5 2 4" xfId="45923"/>
    <cellStyle name="표준 4 4 2 2 5 2 5" xfId="45924"/>
    <cellStyle name="표준 4 4 2 2 5 3" xfId="45925"/>
    <cellStyle name="표준 4 4 2 2 6" xfId="45926"/>
    <cellStyle name="표준 4 4 2 2 7" xfId="45927"/>
    <cellStyle name="표준 4 4 2 2 8" xfId="45928"/>
    <cellStyle name="표준 4 4 2 2 9" xfId="45929"/>
    <cellStyle name="표준 4 4 2 20" xfId="45930"/>
    <cellStyle name="표준 4 4 2 21" xfId="45931"/>
    <cellStyle name="표준 4 4 2 22" xfId="45932"/>
    <cellStyle name="표준 4 4 2 3" xfId="45933"/>
    <cellStyle name="표준 4 4 2 3 10" xfId="45934"/>
    <cellStyle name="표준 4 4 2 3 11" xfId="45935"/>
    <cellStyle name="표준 4 4 2 3 12" xfId="45936"/>
    <cellStyle name="표준 4 4 2 3 13" xfId="45937"/>
    <cellStyle name="표준 4 4 2 3 14" xfId="45938"/>
    <cellStyle name="표준 4 4 2 3 15" xfId="45939"/>
    <cellStyle name="표준 4 4 2 3 16" xfId="45940"/>
    <cellStyle name="표준 4 4 2 3 17" xfId="45941"/>
    <cellStyle name="표준 4 4 2 3 17 2" xfId="45942"/>
    <cellStyle name="표준 4 4 2 3 17 3" xfId="45943"/>
    <cellStyle name="표준 4 4 2 3 18" xfId="45944"/>
    <cellStyle name="표준 4 4 2 3 19" xfId="45945"/>
    <cellStyle name="표준 4 4 2 3 2" xfId="45946"/>
    <cellStyle name="표준 4 4 2 3 2 10" xfId="45947"/>
    <cellStyle name="표준 4 4 2 3 2 11" xfId="45948"/>
    <cellStyle name="표준 4 4 2 3 2 12" xfId="45949"/>
    <cellStyle name="표준 4 4 2 3 2 13" xfId="45950"/>
    <cellStyle name="표준 4 4 2 3 2 14" xfId="45951"/>
    <cellStyle name="표준 4 4 2 3 2 15" xfId="45952"/>
    <cellStyle name="표준 4 4 2 3 2 16" xfId="45953"/>
    <cellStyle name="표준 4 4 2 3 2 16 2" xfId="45954"/>
    <cellStyle name="표준 4 4 2 3 2 16 3" xfId="45955"/>
    <cellStyle name="표준 4 4 2 3 2 17" xfId="45956"/>
    <cellStyle name="표준 4 4 2 3 2 18" xfId="45957"/>
    <cellStyle name="표준 4 4 2 3 2 19" xfId="45958"/>
    <cellStyle name="표준 4 4 2 3 2 2" xfId="45959"/>
    <cellStyle name="표준 4 4 2 3 2 2 2" xfId="45960"/>
    <cellStyle name="표준 4 4 2 3 2 2 2 2" xfId="45961"/>
    <cellStyle name="표준 4 4 2 3 2 2 2 2 2" xfId="45962"/>
    <cellStyle name="표준 4 4 2 3 2 2 2 2 3" xfId="45963"/>
    <cellStyle name="표준 4 4 2 3 2 2 2 3" xfId="45964"/>
    <cellStyle name="표준 4 4 2 3 2 2 2 4" xfId="45965"/>
    <cellStyle name="표준 4 4 2 3 2 2 2 5" xfId="45966"/>
    <cellStyle name="표준 4 4 2 3 2 2 3" xfId="45967"/>
    <cellStyle name="표준 4 4 2 3 2 2 3 2" xfId="45968"/>
    <cellStyle name="표준 4 4 2 3 2 2 3 3" xfId="45969"/>
    <cellStyle name="표준 4 4 2 3 2 2 4" xfId="45970"/>
    <cellStyle name="표준 4 4 2 3 2 2 5" xfId="45971"/>
    <cellStyle name="표준 4 4 2 3 2 2 6" xfId="45972"/>
    <cellStyle name="표준 4 4 2 3 2 3" xfId="45973"/>
    <cellStyle name="표준 4 4 2 3 2 3 2" xfId="45974"/>
    <cellStyle name="표준 4 4 2 3 2 3 2 2" xfId="45975"/>
    <cellStyle name="표준 4 4 2 3 2 3 2 2 2" xfId="45976"/>
    <cellStyle name="표준 4 4 2 3 2 3 2 2 3" xfId="45977"/>
    <cellStyle name="표준 4 4 2 3 2 3 2 3" xfId="45978"/>
    <cellStyle name="표준 4 4 2 3 2 3 2 4" xfId="45979"/>
    <cellStyle name="표준 4 4 2 3 2 3 2 5" xfId="45980"/>
    <cellStyle name="표준 4 4 2 3 2 3 3" xfId="45981"/>
    <cellStyle name="표준 4 4 2 3 2 4" xfId="45982"/>
    <cellStyle name="표준 4 4 2 3 2 4 2" xfId="45983"/>
    <cellStyle name="표준 4 4 2 3 2 4 2 2" xfId="45984"/>
    <cellStyle name="표준 4 4 2 3 2 4 2 2 2" xfId="45985"/>
    <cellStyle name="표준 4 4 2 3 2 4 2 2 3" xfId="45986"/>
    <cellStyle name="표준 4 4 2 3 2 4 2 3" xfId="45987"/>
    <cellStyle name="표준 4 4 2 3 2 4 2 4" xfId="45988"/>
    <cellStyle name="표준 4 4 2 3 2 4 2 5" xfId="45989"/>
    <cellStyle name="표준 4 4 2 3 2 4 3" xfId="45990"/>
    <cellStyle name="표준 4 4 2 3 2 5" xfId="45991"/>
    <cellStyle name="표준 4 4 2 3 2 6" xfId="45992"/>
    <cellStyle name="표준 4 4 2 3 2 7" xfId="45993"/>
    <cellStyle name="표준 4 4 2 3 2 8" xfId="45994"/>
    <cellStyle name="표준 4 4 2 3 2 9" xfId="45995"/>
    <cellStyle name="표준 4 4 2 3 20" xfId="45996"/>
    <cellStyle name="표준 4 4 2 3 3" xfId="45997"/>
    <cellStyle name="표준 4 4 2 3 3 2" xfId="45998"/>
    <cellStyle name="표준 4 4 2 3 3 2 2" xfId="45999"/>
    <cellStyle name="표준 4 4 2 3 3 2 2 2" xfId="46000"/>
    <cellStyle name="표준 4 4 2 3 3 2 2 3" xfId="46001"/>
    <cellStyle name="표준 4 4 2 3 3 2 3" xfId="46002"/>
    <cellStyle name="표준 4 4 2 3 3 2 4" xfId="46003"/>
    <cellStyle name="표준 4 4 2 3 3 2 5" xfId="46004"/>
    <cellStyle name="표준 4 4 2 3 3 3" xfId="46005"/>
    <cellStyle name="표준 4 4 2 3 3 3 2" xfId="46006"/>
    <cellStyle name="표준 4 4 2 3 3 3 3" xfId="46007"/>
    <cellStyle name="표준 4 4 2 3 3 4" xfId="46008"/>
    <cellStyle name="표준 4 4 2 3 3 5" xfId="46009"/>
    <cellStyle name="표준 4 4 2 3 3 6" xfId="46010"/>
    <cellStyle name="표준 4 4 2 3 4" xfId="46011"/>
    <cellStyle name="표준 4 4 2 3 4 2" xfId="46012"/>
    <cellStyle name="표준 4 4 2 3 4 2 2" xfId="46013"/>
    <cellStyle name="표준 4 4 2 3 4 2 2 2" xfId="46014"/>
    <cellStyle name="표준 4 4 2 3 4 2 2 3" xfId="46015"/>
    <cellStyle name="표준 4 4 2 3 4 2 3" xfId="46016"/>
    <cellStyle name="표준 4 4 2 3 4 2 4" xfId="46017"/>
    <cellStyle name="표준 4 4 2 3 4 2 5" xfId="46018"/>
    <cellStyle name="표준 4 4 2 3 4 3" xfId="46019"/>
    <cellStyle name="표준 4 4 2 3 5" xfId="46020"/>
    <cellStyle name="표준 4 4 2 3 5 2" xfId="46021"/>
    <cellStyle name="표준 4 4 2 3 5 2 2" xfId="46022"/>
    <cellStyle name="표준 4 4 2 3 5 2 2 2" xfId="46023"/>
    <cellStyle name="표준 4 4 2 3 5 2 2 3" xfId="46024"/>
    <cellStyle name="표준 4 4 2 3 5 2 3" xfId="46025"/>
    <cellStyle name="표준 4 4 2 3 5 2 4" xfId="46026"/>
    <cellStyle name="표준 4 4 2 3 5 2 5" xfId="46027"/>
    <cellStyle name="표준 4 4 2 3 5 3" xfId="46028"/>
    <cellStyle name="표준 4 4 2 3 6" xfId="46029"/>
    <cellStyle name="표준 4 4 2 3 7" xfId="46030"/>
    <cellStyle name="표준 4 4 2 3 8" xfId="46031"/>
    <cellStyle name="표준 4 4 2 3 9" xfId="46032"/>
    <cellStyle name="표준 4 4 2 4" xfId="46033"/>
    <cellStyle name="표준 4 4 2 4 10" xfId="46034"/>
    <cellStyle name="표준 4 4 2 4 11" xfId="46035"/>
    <cellStyle name="표준 4 4 2 4 12" xfId="46036"/>
    <cellStyle name="표준 4 4 2 4 13" xfId="46037"/>
    <cellStyle name="표준 4 4 2 4 14" xfId="46038"/>
    <cellStyle name="표준 4 4 2 4 15" xfId="46039"/>
    <cellStyle name="표준 4 4 2 4 16" xfId="46040"/>
    <cellStyle name="표준 4 4 2 4 16 2" xfId="46041"/>
    <cellStyle name="표준 4 4 2 4 16 3" xfId="46042"/>
    <cellStyle name="표준 4 4 2 4 17" xfId="46043"/>
    <cellStyle name="표준 4 4 2 4 18" xfId="46044"/>
    <cellStyle name="표준 4 4 2 4 19" xfId="46045"/>
    <cellStyle name="표준 4 4 2 4 2" xfId="46046"/>
    <cellStyle name="표준 4 4 2 4 2 2" xfId="46047"/>
    <cellStyle name="표준 4 4 2 4 2 2 2" xfId="46048"/>
    <cellStyle name="표준 4 4 2 4 2 2 2 2" xfId="46049"/>
    <cellStyle name="표준 4 4 2 4 2 2 2 3" xfId="46050"/>
    <cellStyle name="표준 4 4 2 4 2 2 3" xfId="46051"/>
    <cellStyle name="표준 4 4 2 4 2 2 4" xfId="46052"/>
    <cellStyle name="표준 4 4 2 4 2 2 5" xfId="46053"/>
    <cellStyle name="표준 4 4 2 4 2 3" xfId="46054"/>
    <cellStyle name="표준 4 4 2 4 2 3 2" xfId="46055"/>
    <cellStyle name="표준 4 4 2 4 2 3 3" xfId="46056"/>
    <cellStyle name="표준 4 4 2 4 2 4" xfId="46057"/>
    <cellStyle name="표준 4 4 2 4 2 5" xfId="46058"/>
    <cellStyle name="표준 4 4 2 4 2 6" xfId="46059"/>
    <cellStyle name="표준 4 4 2 4 3" xfId="46060"/>
    <cellStyle name="표준 4 4 2 4 3 2" xfId="46061"/>
    <cellStyle name="표준 4 4 2 4 3 2 2" xfId="46062"/>
    <cellStyle name="표준 4 4 2 4 3 2 2 2" xfId="46063"/>
    <cellStyle name="표준 4 4 2 4 3 2 2 3" xfId="46064"/>
    <cellStyle name="표준 4 4 2 4 3 2 3" xfId="46065"/>
    <cellStyle name="표준 4 4 2 4 3 2 4" xfId="46066"/>
    <cellStyle name="표준 4 4 2 4 3 2 5" xfId="46067"/>
    <cellStyle name="표준 4 4 2 4 3 3" xfId="46068"/>
    <cellStyle name="표준 4 4 2 4 4" xfId="46069"/>
    <cellStyle name="표준 4 4 2 4 4 2" xfId="46070"/>
    <cellStyle name="표준 4 4 2 4 4 2 2" xfId="46071"/>
    <cellStyle name="표준 4 4 2 4 4 2 2 2" xfId="46072"/>
    <cellStyle name="표준 4 4 2 4 4 2 2 3" xfId="46073"/>
    <cellStyle name="표준 4 4 2 4 4 2 3" xfId="46074"/>
    <cellStyle name="표준 4 4 2 4 4 2 4" xfId="46075"/>
    <cellStyle name="표준 4 4 2 4 4 2 5" xfId="46076"/>
    <cellStyle name="표준 4 4 2 4 4 3" xfId="46077"/>
    <cellStyle name="표준 4 4 2 4 5" xfId="46078"/>
    <cellStyle name="표준 4 4 2 4 6" xfId="46079"/>
    <cellStyle name="표준 4 4 2 4 7" xfId="46080"/>
    <cellStyle name="표준 4 4 2 4 8" xfId="46081"/>
    <cellStyle name="표준 4 4 2 4 9" xfId="46082"/>
    <cellStyle name="표준 4 4 2 5" xfId="46083"/>
    <cellStyle name="표준 4 4 2 5 2" xfId="46084"/>
    <cellStyle name="표준 4 4 2 5 2 2" xfId="46085"/>
    <cellStyle name="표준 4 4 2 5 2 2 2" xfId="46086"/>
    <cellStyle name="표준 4 4 2 5 2 2 3" xfId="46087"/>
    <cellStyle name="표준 4 4 2 5 2 3" xfId="46088"/>
    <cellStyle name="표준 4 4 2 5 2 4" xfId="46089"/>
    <cellStyle name="표준 4 4 2 5 2 5" xfId="46090"/>
    <cellStyle name="표준 4 4 2 5 3" xfId="46091"/>
    <cellStyle name="표준 4 4 2 5 3 2" xfId="46092"/>
    <cellStyle name="표준 4 4 2 5 3 3" xfId="46093"/>
    <cellStyle name="표준 4 4 2 5 4" xfId="46094"/>
    <cellStyle name="표준 4 4 2 5 5" xfId="46095"/>
    <cellStyle name="표준 4 4 2 5 6" xfId="46096"/>
    <cellStyle name="표준 4 4 2 6" xfId="46097"/>
    <cellStyle name="표준 4 4 2 6 2" xfId="46098"/>
    <cellStyle name="표준 4 4 2 6 2 2" xfId="46099"/>
    <cellStyle name="표준 4 4 2 6 2 2 2" xfId="46100"/>
    <cellStyle name="표준 4 4 2 6 2 2 3" xfId="46101"/>
    <cellStyle name="표준 4 4 2 6 2 3" xfId="46102"/>
    <cellStyle name="표준 4 4 2 6 2 4" xfId="46103"/>
    <cellStyle name="표준 4 4 2 6 2 5" xfId="46104"/>
    <cellStyle name="표준 4 4 2 6 3" xfId="46105"/>
    <cellStyle name="표준 4 4 2 7" xfId="46106"/>
    <cellStyle name="표준 4 4 2 7 2" xfId="46107"/>
    <cellStyle name="표준 4 4 2 7 2 2" xfId="46108"/>
    <cellStyle name="표준 4 4 2 7 2 2 2" xfId="46109"/>
    <cellStyle name="표준 4 4 2 7 2 2 3" xfId="46110"/>
    <cellStyle name="표준 4 4 2 7 2 3" xfId="46111"/>
    <cellStyle name="표준 4 4 2 7 2 4" xfId="46112"/>
    <cellStyle name="표준 4 4 2 7 2 5" xfId="46113"/>
    <cellStyle name="표준 4 4 2 7 3" xfId="46114"/>
    <cellStyle name="표준 4 4 2 8" xfId="46115"/>
    <cellStyle name="표준 4 4 2 9" xfId="46116"/>
    <cellStyle name="표준 4 4 20" xfId="46117"/>
    <cellStyle name="표준 4 4 20 2" xfId="46118"/>
    <cellStyle name="표준 4 4 20 3" xfId="46119"/>
    <cellStyle name="표준 4 4 21" xfId="46120"/>
    <cellStyle name="표준 4 4 22" xfId="46121"/>
    <cellStyle name="표준 4 4 23" xfId="46122"/>
    <cellStyle name="표준 4 4 3" xfId="46123"/>
    <cellStyle name="표준 4 4 3 10" xfId="46124"/>
    <cellStyle name="표준 4 4 3 11" xfId="46125"/>
    <cellStyle name="표준 4 4 3 12" xfId="46126"/>
    <cellStyle name="표준 4 4 3 13" xfId="46127"/>
    <cellStyle name="표준 4 4 3 14" xfId="46128"/>
    <cellStyle name="표준 4 4 3 15" xfId="46129"/>
    <cellStyle name="표준 4 4 3 16" xfId="46130"/>
    <cellStyle name="표준 4 4 3 17" xfId="46131"/>
    <cellStyle name="표준 4 4 3 17 2" xfId="46132"/>
    <cellStyle name="표준 4 4 3 17 3" xfId="46133"/>
    <cellStyle name="표준 4 4 3 18" xfId="46134"/>
    <cellStyle name="표준 4 4 3 19" xfId="46135"/>
    <cellStyle name="표준 4 4 3 2" xfId="46136"/>
    <cellStyle name="표준 4 4 3 2 10" xfId="46137"/>
    <cellStyle name="표준 4 4 3 2 11" xfId="46138"/>
    <cellStyle name="표준 4 4 3 2 12" xfId="46139"/>
    <cellStyle name="표준 4 4 3 2 13" xfId="46140"/>
    <cellStyle name="표준 4 4 3 2 14" xfId="46141"/>
    <cellStyle name="표준 4 4 3 2 15" xfId="46142"/>
    <cellStyle name="표준 4 4 3 2 16" xfId="46143"/>
    <cellStyle name="표준 4 4 3 2 16 2" xfId="46144"/>
    <cellStyle name="표준 4 4 3 2 16 3" xfId="46145"/>
    <cellStyle name="표준 4 4 3 2 17" xfId="46146"/>
    <cellStyle name="표준 4 4 3 2 18" xfId="46147"/>
    <cellStyle name="표준 4 4 3 2 19" xfId="46148"/>
    <cellStyle name="표준 4 4 3 2 2" xfId="46149"/>
    <cellStyle name="표준 4 4 3 2 2 2" xfId="46150"/>
    <cellStyle name="표준 4 4 3 2 2 2 2" xfId="46151"/>
    <cellStyle name="표준 4 4 3 2 2 2 2 2" xfId="46152"/>
    <cellStyle name="표준 4 4 3 2 2 2 2 3" xfId="46153"/>
    <cellStyle name="표준 4 4 3 2 2 2 3" xfId="46154"/>
    <cellStyle name="표준 4 4 3 2 2 2 4" xfId="46155"/>
    <cellStyle name="표준 4 4 3 2 2 2 5" xfId="46156"/>
    <cellStyle name="표준 4 4 3 2 2 3" xfId="46157"/>
    <cellStyle name="표준 4 4 3 2 2 3 2" xfId="46158"/>
    <cellStyle name="표준 4 4 3 2 2 3 3" xfId="46159"/>
    <cellStyle name="표준 4 4 3 2 2 4" xfId="46160"/>
    <cellStyle name="표준 4 4 3 2 2 5" xfId="46161"/>
    <cellStyle name="표준 4 4 3 2 2 6" xfId="46162"/>
    <cellStyle name="표준 4 4 3 2 3" xfId="46163"/>
    <cellStyle name="표준 4 4 3 2 3 2" xfId="46164"/>
    <cellStyle name="표준 4 4 3 2 3 2 2" xfId="46165"/>
    <cellStyle name="표준 4 4 3 2 3 2 2 2" xfId="46166"/>
    <cellStyle name="표준 4 4 3 2 3 2 2 3" xfId="46167"/>
    <cellStyle name="표준 4 4 3 2 3 2 3" xfId="46168"/>
    <cellStyle name="표준 4 4 3 2 3 2 4" xfId="46169"/>
    <cellStyle name="표준 4 4 3 2 3 2 5" xfId="46170"/>
    <cellStyle name="표준 4 4 3 2 3 3" xfId="46171"/>
    <cellStyle name="표준 4 4 3 2 4" xfId="46172"/>
    <cellStyle name="표준 4 4 3 2 4 2" xfId="46173"/>
    <cellStyle name="표준 4 4 3 2 4 2 2" xfId="46174"/>
    <cellStyle name="표준 4 4 3 2 4 2 2 2" xfId="46175"/>
    <cellStyle name="표준 4 4 3 2 4 2 2 3" xfId="46176"/>
    <cellStyle name="표준 4 4 3 2 4 2 3" xfId="46177"/>
    <cellStyle name="표준 4 4 3 2 4 2 4" xfId="46178"/>
    <cellStyle name="표준 4 4 3 2 4 2 5" xfId="46179"/>
    <cellStyle name="표준 4 4 3 2 4 3" xfId="46180"/>
    <cellStyle name="표준 4 4 3 2 5" xfId="46181"/>
    <cellStyle name="표준 4 4 3 2 6" xfId="46182"/>
    <cellStyle name="표준 4 4 3 2 7" xfId="46183"/>
    <cellStyle name="표준 4 4 3 2 8" xfId="46184"/>
    <cellStyle name="표준 4 4 3 2 9" xfId="46185"/>
    <cellStyle name="표준 4 4 3 20" xfId="46186"/>
    <cellStyle name="표준 4 4 3 3" xfId="46187"/>
    <cellStyle name="표준 4 4 3 3 2" xfId="46188"/>
    <cellStyle name="표준 4 4 3 3 2 2" xfId="46189"/>
    <cellStyle name="표준 4 4 3 3 2 2 2" xfId="46190"/>
    <cellStyle name="표준 4 4 3 3 2 2 3" xfId="46191"/>
    <cellStyle name="표준 4 4 3 3 2 3" xfId="46192"/>
    <cellStyle name="표준 4 4 3 3 2 4" xfId="46193"/>
    <cellStyle name="표준 4 4 3 3 2 5" xfId="46194"/>
    <cellStyle name="표준 4 4 3 3 3" xfId="46195"/>
    <cellStyle name="표준 4 4 3 3 3 2" xfId="46196"/>
    <cellStyle name="표준 4 4 3 3 3 3" xfId="46197"/>
    <cellStyle name="표준 4 4 3 3 4" xfId="46198"/>
    <cellStyle name="표준 4 4 3 3 5" xfId="46199"/>
    <cellStyle name="표준 4 4 3 3 6" xfId="46200"/>
    <cellStyle name="표준 4 4 3 4" xfId="46201"/>
    <cellStyle name="표준 4 4 3 4 2" xfId="46202"/>
    <cellStyle name="표준 4 4 3 4 2 2" xfId="46203"/>
    <cellStyle name="표준 4 4 3 4 2 2 2" xfId="46204"/>
    <cellStyle name="표준 4 4 3 4 2 2 3" xfId="46205"/>
    <cellStyle name="표준 4 4 3 4 2 3" xfId="46206"/>
    <cellStyle name="표준 4 4 3 4 2 4" xfId="46207"/>
    <cellStyle name="표준 4 4 3 4 2 5" xfId="46208"/>
    <cellStyle name="표준 4 4 3 4 3" xfId="46209"/>
    <cellStyle name="표준 4 4 3 5" xfId="46210"/>
    <cellStyle name="표준 4 4 3 5 2" xfId="46211"/>
    <cellStyle name="표준 4 4 3 5 2 2" xfId="46212"/>
    <cellStyle name="표준 4 4 3 5 2 2 2" xfId="46213"/>
    <cellStyle name="표준 4 4 3 5 2 2 3" xfId="46214"/>
    <cellStyle name="표준 4 4 3 5 2 3" xfId="46215"/>
    <cellStyle name="표준 4 4 3 5 2 4" xfId="46216"/>
    <cellStyle name="표준 4 4 3 5 2 5" xfId="46217"/>
    <cellStyle name="표준 4 4 3 5 3" xfId="46218"/>
    <cellStyle name="표준 4 4 3 6" xfId="46219"/>
    <cellStyle name="표준 4 4 3 7" xfId="46220"/>
    <cellStyle name="표준 4 4 3 8" xfId="46221"/>
    <cellStyle name="표준 4 4 3 9" xfId="46222"/>
    <cellStyle name="표준 4 4 4" xfId="46223"/>
    <cellStyle name="표준 4 4 4 10" xfId="46224"/>
    <cellStyle name="표준 4 4 4 11" xfId="46225"/>
    <cellStyle name="표준 4 4 4 12" xfId="46226"/>
    <cellStyle name="표준 4 4 4 13" xfId="46227"/>
    <cellStyle name="표준 4 4 4 14" xfId="46228"/>
    <cellStyle name="표준 4 4 4 15" xfId="46229"/>
    <cellStyle name="표준 4 4 4 16" xfId="46230"/>
    <cellStyle name="표준 4 4 4 17" xfId="46231"/>
    <cellStyle name="표준 4 4 4 17 2" xfId="46232"/>
    <cellStyle name="표준 4 4 4 17 3" xfId="46233"/>
    <cellStyle name="표준 4 4 4 18" xfId="46234"/>
    <cellStyle name="표준 4 4 4 19" xfId="46235"/>
    <cellStyle name="표준 4 4 4 2" xfId="46236"/>
    <cellStyle name="표준 4 4 4 2 10" xfId="46237"/>
    <cellStyle name="표준 4 4 4 2 11" xfId="46238"/>
    <cellStyle name="표준 4 4 4 2 12" xfId="46239"/>
    <cellStyle name="표준 4 4 4 2 13" xfId="46240"/>
    <cellStyle name="표준 4 4 4 2 14" xfId="46241"/>
    <cellStyle name="표준 4 4 4 2 15" xfId="46242"/>
    <cellStyle name="표준 4 4 4 2 16" xfId="46243"/>
    <cellStyle name="표준 4 4 4 2 16 2" xfId="46244"/>
    <cellStyle name="표준 4 4 4 2 16 3" xfId="46245"/>
    <cellStyle name="표준 4 4 4 2 17" xfId="46246"/>
    <cellStyle name="표준 4 4 4 2 18" xfId="46247"/>
    <cellStyle name="표준 4 4 4 2 19" xfId="46248"/>
    <cellStyle name="표준 4 4 4 2 2" xfId="46249"/>
    <cellStyle name="표준 4 4 4 2 2 2" xfId="46250"/>
    <cellStyle name="표준 4 4 4 2 2 2 2" xfId="46251"/>
    <cellStyle name="표준 4 4 4 2 2 2 2 2" xfId="46252"/>
    <cellStyle name="표준 4 4 4 2 2 2 2 3" xfId="46253"/>
    <cellStyle name="표준 4 4 4 2 2 2 3" xfId="46254"/>
    <cellStyle name="표준 4 4 4 2 2 2 4" xfId="46255"/>
    <cellStyle name="표준 4 4 4 2 2 2 5" xfId="46256"/>
    <cellStyle name="표준 4 4 4 2 2 3" xfId="46257"/>
    <cellStyle name="표준 4 4 4 2 2 3 2" xfId="46258"/>
    <cellStyle name="표준 4 4 4 2 2 3 3" xfId="46259"/>
    <cellStyle name="표준 4 4 4 2 2 4" xfId="46260"/>
    <cellStyle name="표준 4 4 4 2 2 5" xfId="46261"/>
    <cellStyle name="표준 4 4 4 2 2 6" xfId="46262"/>
    <cellStyle name="표준 4 4 4 2 3" xfId="46263"/>
    <cellStyle name="표준 4 4 4 2 3 2" xfId="46264"/>
    <cellStyle name="표준 4 4 4 2 3 2 2" xfId="46265"/>
    <cellStyle name="표준 4 4 4 2 3 2 2 2" xfId="46266"/>
    <cellStyle name="표준 4 4 4 2 3 2 2 3" xfId="46267"/>
    <cellStyle name="표준 4 4 4 2 3 2 3" xfId="46268"/>
    <cellStyle name="표준 4 4 4 2 3 2 4" xfId="46269"/>
    <cellStyle name="표준 4 4 4 2 3 2 5" xfId="46270"/>
    <cellStyle name="표준 4 4 4 2 3 3" xfId="46271"/>
    <cellStyle name="표준 4 4 4 2 4" xfId="46272"/>
    <cellStyle name="표준 4 4 4 2 4 2" xfId="46273"/>
    <cellStyle name="표준 4 4 4 2 4 2 2" xfId="46274"/>
    <cellStyle name="표준 4 4 4 2 4 2 2 2" xfId="46275"/>
    <cellStyle name="표준 4 4 4 2 4 2 2 3" xfId="46276"/>
    <cellStyle name="표준 4 4 4 2 4 2 3" xfId="46277"/>
    <cellStyle name="표준 4 4 4 2 4 2 4" xfId="46278"/>
    <cellStyle name="표준 4 4 4 2 4 2 5" xfId="46279"/>
    <cellStyle name="표준 4 4 4 2 4 3" xfId="46280"/>
    <cellStyle name="표준 4 4 4 2 5" xfId="46281"/>
    <cellStyle name="표준 4 4 4 2 6" xfId="46282"/>
    <cellStyle name="표준 4 4 4 2 7" xfId="46283"/>
    <cellStyle name="표준 4 4 4 2 8" xfId="46284"/>
    <cellStyle name="표준 4 4 4 2 9" xfId="46285"/>
    <cellStyle name="표준 4 4 4 20" xfId="46286"/>
    <cellStyle name="표준 4 4 4 3" xfId="46287"/>
    <cellStyle name="표준 4 4 4 3 2" xfId="46288"/>
    <cellStyle name="표준 4 4 4 3 2 2" xfId="46289"/>
    <cellStyle name="표준 4 4 4 3 2 2 2" xfId="46290"/>
    <cellStyle name="표준 4 4 4 3 2 2 3" xfId="46291"/>
    <cellStyle name="표준 4 4 4 3 2 3" xfId="46292"/>
    <cellStyle name="표준 4 4 4 3 2 4" xfId="46293"/>
    <cellStyle name="표준 4 4 4 3 2 5" xfId="46294"/>
    <cellStyle name="표준 4 4 4 3 3" xfId="46295"/>
    <cellStyle name="표준 4 4 4 3 3 2" xfId="46296"/>
    <cellStyle name="표준 4 4 4 3 3 3" xfId="46297"/>
    <cellStyle name="표준 4 4 4 3 4" xfId="46298"/>
    <cellStyle name="표준 4 4 4 3 5" xfId="46299"/>
    <cellStyle name="표준 4 4 4 3 6" xfId="46300"/>
    <cellStyle name="표준 4 4 4 4" xfId="46301"/>
    <cellStyle name="표준 4 4 4 4 2" xfId="46302"/>
    <cellStyle name="표준 4 4 4 4 2 2" xfId="46303"/>
    <cellStyle name="표준 4 4 4 4 2 2 2" xfId="46304"/>
    <cellStyle name="표준 4 4 4 4 2 2 3" xfId="46305"/>
    <cellStyle name="표준 4 4 4 4 2 3" xfId="46306"/>
    <cellStyle name="표준 4 4 4 4 2 4" xfId="46307"/>
    <cellStyle name="표준 4 4 4 4 2 5" xfId="46308"/>
    <cellStyle name="표준 4 4 4 4 3" xfId="46309"/>
    <cellStyle name="표준 4 4 4 5" xfId="46310"/>
    <cellStyle name="표준 4 4 4 5 2" xfId="46311"/>
    <cellStyle name="표준 4 4 4 5 2 2" xfId="46312"/>
    <cellStyle name="표준 4 4 4 5 2 2 2" xfId="46313"/>
    <cellStyle name="표준 4 4 4 5 2 2 3" xfId="46314"/>
    <cellStyle name="표준 4 4 4 5 2 3" xfId="46315"/>
    <cellStyle name="표준 4 4 4 5 2 4" xfId="46316"/>
    <cellStyle name="표준 4 4 4 5 2 5" xfId="46317"/>
    <cellStyle name="표준 4 4 4 5 3" xfId="46318"/>
    <cellStyle name="표준 4 4 4 6" xfId="46319"/>
    <cellStyle name="표준 4 4 4 7" xfId="46320"/>
    <cellStyle name="표준 4 4 4 8" xfId="46321"/>
    <cellStyle name="표준 4 4 4 9" xfId="46322"/>
    <cellStyle name="표준 4 4 5" xfId="46323"/>
    <cellStyle name="표준 4 4 5 10" xfId="46324"/>
    <cellStyle name="표준 4 4 5 11" xfId="46325"/>
    <cellStyle name="표준 4 4 5 12" xfId="46326"/>
    <cellStyle name="표준 4 4 5 13" xfId="46327"/>
    <cellStyle name="표준 4 4 5 14" xfId="46328"/>
    <cellStyle name="표준 4 4 5 15" xfId="46329"/>
    <cellStyle name="표준 4 4 5 16" xfId="46330"/>
    <cellStyle name="표준 4 4 5 16 2" xfId="46331"/>
    <cellStyle name="표준 4 4 5 16 3" xfId="46332"/>
    <cellStyle name="표준 4 4 5 17" xfId="46333"/>
    <cellStyle name="표준 4 4 5 18" xfId="46334"/>
    <cellStyle name="표준 4 4 5 19" xfId="46335"/>
    <cellStyle name="표준 4 4 5 2" xfId="46336"/>
    <cellStyle name="표준 4 4 5 2 2" xfId="46337"/>
    <cellStyle name="표준 4 4 5 2 2 2" xfId="46338"/>
    <cellStyle name="표준 4 4 5 2 2 2 2" xfId="46339"/>
    <cellStyle name="표준 4 4 5 2 2 2 3" xfId="46340"/>
    <cellStyle name="표준 4 4 5 2 2 3" xfId="46341"/>
    <cellStyle name="표준 4 4 5 2 2 4" xfId="46342"/>
    <cellStyle name="표준 4 4 5 2 2 5" xfId="46343"/>
    <cellStyle name="표준 4 4 5 2 3" xfId="46344"/>
    <cellStyle name="표준 4 4 5 2 3 2" xfId="46345"/>
    <cellStyle name="표준 4 4 5 2 3 3" xfId="46346"/>
    <cellStyle name="표준 4 4 5 2 4" xfId="46347"/>
    <cellStyle name="표준 4 4 5 2 5" xfId="46348"/>
    <cellStyle name="표준 4 4 5 2 6" xfId="46349"/>
    <cellStyle name="표준 4 4 5 3" xfId="46350"/>
    <cellStyle name="표준 4 4 5 3 2" xfId="46351"/>
    <cellStyle name="표준 4 4 5 3 2 2" xfId="46352"/>
    <cellStyle name="표준 4 4 5 3 2 2 2" xfId="46353"/>
    <cellStyle name="표준 4 4 5 3 2 2 3" xfId="46354"/>
    <cellStyle name="표준 4 4 5 3 2 3" xfId="46355"/>
    <cellStyle name="표준 4 4 5 3 2 4" xfId="46356"/>
    <cellStyle name="표준 4 4 5 3 2 5" xfId="46357"/>
    <cellStyle name="표준 4 4 5 3 3" xfId="46358"/>
    <cellStyle name="표준 4 4 5 4" xfId="46359"/>
    <cellStyle name="표준 4 4 5 4 2" xfId="46360"/>
    <cellStyle name="표준 4 4 5 4 2 2" xfId="46361"/>
    <cellStyle name="표준 4 4 5 4 2 2 2" xfId="46362"/>
    <cellStyle name="표준 4 4 5 4 2 2 3" xfId="46363"/>
    <cellStyle name="표준 4 4 5 4 2 3" xfId="46364"/>
    <cellStyle name="표준 4 4 5 4 2 4" xfId="46365"/>
    <cellStyle name="표준 4 4 5 4 2 5" xfId="46366"/>
    <cellStyle name="표준 4 4 5 4 3" xfId="46367"/>
    <cellStyle name="표준 4 4 5 5" xfId="46368"/>
    <cellStyle name="표준 4 4 5 6" xfId="46369"/>
    <cellStyle name="표준 4 4 5 7" xfId="46370"/>
    <cellStyle name="표준 4 4 5 8" xfId="46371"/>
    <cellStyle name="표준 4 4 5 9" xfId="46372"/>
    <cellStyle name="표준 4 4 6" xfId="46373"/>
    <cellStyle name="표준 4 4 6 2" xfId="46374"/>
    <cellStyle name="표준 4 4 6 2 2" xfId="46375"/>
    <cellStyle name="표준 4 4 6 2 2 2" xfId="46376"/>
    <cellStyle name="표준 4 4 6 2 2 3" xfId="46377"/>
    <cellStyle name="표준 4 4 6 2 3" xfId="46378"/>
    <cellStyle name="표준 4 4 6 2 4" xfId="46379"/>
    <cellStyle name="표준 4 4 6 2 5" xfId="46380"/>
    <cellStyle name="표준 4 4 6 3" xfId="46381"/>
    <cellStyle name="표준 4 4 6 3 2" xfId="46382"/>
    <cellStyle name="표준 4 4 6 3 3" xfId="46383"/>
    <cellStyle name="표준 4 4 6 4" xfId="46384"/>
    <cellStyle name="표준 4 4 6 5" xfId="46385"/>
    <cellStyle name="표준 4 4 6 6" xfId="46386"/>
    <cellStyle name="표준 4 4 7" xfId="46387"/>
    <cellStyle name="표준 4 4 7 2" xfId="46388"/>
    <cellStyle name="표준 4 4 7 2 2" xfId="46389"/>
    <cellStyle name="표준 4 4 7 2 2 2" xfId="46390"/>
    <cellStyle name="표준 4 4 7 2 2 3" xfId="46391"/>
    <cellStyle name="표준 4 4 7 2 3" xfId="46392"/>
    <cellStyle name="표준 4 4 7 2 4" xfId="46393"/>
    <cellStyle name="표준 4 4 7 2 5" xfId="46394"/>
    <cellStyle name="표준 4 4 7 3" xfId="46395"/>
    <cellStyle name="표준 4 4 8" xfId="46396"/>
    <cellStyle name="표준 4 4 8 2" xfId="46397"/>
    <cellStyle name="표준 4 4 8 2 2" xfId="46398"/>
    <cellStyle name="표준 4 4 8 2 2 2" xfId="46399"/>
    <cellStyle name="표준 4 4 8 2 2 3" xfId="46400"/>
    <cellStyle name="표준 4 4 8 2 3" xfId="46401"/>
    <cellStyle name="표준 4 4 8 2 4" xfId="46402"/>
    <cellStyle name="표준 4 4 8 2 5" xfId="46403"/>
    <cellStyle name="표준 4 4 8 3" xfId="46404"/>
    <cellStyle name="표준 4 4 9" xfId="46405"/>
    <cellStyle name="표준 4 5" xfId="46406"/>
    <cellStyle name="표준 4 5 10" xfId="46407"/>
    <cellStyle name="표준 4 5 11" xfId="46408"/>
    <cellStyle name="표준 4 5 12" xfId="46409"/>
    <cellStyle name="표준 4 5 13" xfId="46410"/>
    <cellStyle name="표준 4 5 14" xfId="46411"/>
    <cellStyle name="표준 4 5 15" xfId="46412"/>
    <cellStyle name="표준 4 5 16" xfId="46413"/>
    <cellStyle name="표준 4 5 17" xfId="46414"/>
    <cellStyle name="표준 4 5 18" xfId="46415"/>
    <cellStyle name="표준 4 5 19" xfId="46416"/>
    <cellStyle name="표준 4 5 19 2" xfId="46417"/>
    <cellStyle name="표준 4 5 19 3" xfId="46418"/>
    <cellStyle name="표준 4 5 2" xfId="46419"/>
    <cellStyle name="표준 4 5 2 10" xfId="46420"/>
    <cellStyle name="표준 4 5 2 11" xfId="46421"/>
    <cellStyle name="표준 4 5 2 12" xfId="46422"/>
    <cellStyle name="표준 4 5 2 13" xfId="46423"/>
    <cellStyle name="표준 4 5 2 14" xfId="46424"/>
    <cellStyle name="표준 4 5 2 15" xfId="46425"/>
    <cellStyle name="표준 4 5 2 16" xfId="46426"/>
    <cellStyle name="표준 4 5 2 17" xfId="46427"/>
    <cellStyle name="표준 4 5 2 17 2" xfId="46428"/>
    <cellStyle name="표준 4 5 2 17 3" xfId="46429"/>
    <cellStyle name="표준 4 5 2 18" xfId="46430"/>
    <cellStyle name="표준 4 5 2 19" xfId="46431"/>
    <cellStyle name="표준 4 5 2 2" xfId="46432"/>
    <cellStyle name="표준 4 5 2 2 10" xfId="46433"/>
    <cellStyle name="표준 4 5 2 2 11" xfId="46434"/>
    <cellStyle name="표준 4 5 2 2 12" xfId="46435"/>
    <cellStyle name="표준 4 5 2 2 13" xfId="46436"/>
    <cellStyle name="표준 4 5 2 2 14" xfId="46437"/>
    <cellStyle name="표준 4 5 2 2 15" xfId="46438"/>
    <cellStyle name="표준 4 5 2 2 16" xfId="46439"/>
    <cellStyle name="표준 4 5 2 2 16 2" xfId="46440"/>
    <cellStyle name="표준 4 5 2 2 16 3" xfId="46441"/>
    <cellStyle name="표준 4 5 2 2 17" xfId="46442"/>
    <cellStyle name="표준 4 5 2 2 18" xfId="46443"/>
    <cellStyle name="표준 4 5 2 2 19" xfId="46444"/>
    <cellStyle name="표준 4 5 2 2 2" xfId="46445"/>
    <cellStyle name="표준 4 5 2 2 2 2" xfId="46446"/>
    <cellStyle name="표준 4 5 2 2 2 2 2" xfId="46447"/>
    <cellStyle name="표준 4 5 2 2 2 2 2 2" xfId="46448"/>
    <cellStyle name="표준 4 5 2 2 2 2 2 3" xfId="46449"/>
    <cellStyle name="표준 4 5 2 2 2 2 3" xfId="46450"/>
    <cellStyle name="표준 4 5 2 2 2 2 4" xfId="46451"/>
    <cellStyle name="표준 4 5 2 2 2 2 5" xfId="46452"/>
    <cellStyle name="표준 4 5 2 2 2 3" xfId="46453"/>
    <cellStyle name="표준 4 5 2 2 2 3 2" xfId="46454"/>
    <cellStyle name="표준 4 5 2 2 2 3 3" xfId="46455"/>
    <cellStyle name="표준 4 5 2 2 2 4" xfId="46456"/>
    <cellStyle name="표준 4 5 2 2 2 5" xfId="46457"/>
    <cellStyle name="표준 4 5 2 2 2 6" xfId="46458"/>
    <cellStyle name="표준 4 5 2 2 3" xfId="46459"/>
    <cellStyle name="표준 4 5 2 2 3 2" xfId="46460"/>
    <cellStyle name="표준 4 5 2 2 3 2 2" xfId="46461"/>
    <cellStyle name="표준 4 5 2 2 3 2 2 2" xfId="46462"/>
    <cellStyle name="표준 4 5 2 2 3 2 2 3" xfId="46463"/>
    <cellStyle name="표준 4 5 2 2 3 2 3" xfId="46464"/>
    <cellStyle name="표준 4 5 2 2 3 2 4" xfId="46465"/>
    <cellStyle name="표준 4 5 2 2 3 2 5" xfId="46466"/>
    <cellStyle name="표준 4 5 2 2 3 3" xfId="46467"/>
    <cellStyle name="표준 4 5 2 2 4" xfId="46468"/>
    <cellStyle name="표준 4 5 2 2 4 2" xfId="46469"/>
    <cellStyle name="표준 4 5 2 2 4 2 2" xfId="46470"/>
    <cellStyle name="표준 4 5 2 2 4 2 2 2" xfId="46471"/>
    <cellStyle name="표준 4 5 2 2 4 2 2 3" xfId="46472"/>
    <cellStyle name="표준 4 5 2 2 4 2 3" xfId="46473"/>
    <cellStyle name="표준 4 5 2 2 4 2 4" xfId="46474"/>
    <cellStyle name="표준 4 5 2 2 4 2 5" xfId="46475"/>
    <cellStyle name="표준 4 5 2 2 4 3" xfId="46476"/>
    <cellStyle name="표준 4 5 2 2 5" xfId="46477"/>
    <cellStyle name="표준 4 5 2 2 6" xfId="46478"/>
    <cellStyle name="표준 4 5 2 2 7" xfId="46479"/>
    <cellStyle name="표준 4 5 2 2 8" xfId="46480"/>
    <cellStyle name="표준 4 5 2 2 9" xfId="46481"/>
    <cellStyle name="표준 4 5 2 20" xfId="46482"/>
    <cellStyle name="표준 4 5 2 3" xfId="46483"/>
    <cellStyle name="표준 4 5 2 3 2" xfId="46484"/>
    <cellStyle name="표준 4 5 2 3 2 2" xfId="46485"/>
    <cellStyle name="표준 4 5 2 3 2 2 2" xfId="46486"/>
    <cellStyle name="표준 4 5 2 3 2 2 3" xfId="46487"/>
    <cellStyle name="표준 4 5 2 3 2 3" xfId="46488"/>
    <cellStyle name="표준 4 5 2 3 2 4" xfId="46489"/>
    <cellStyle name="표준 4 5 2 3 2 5" xfId="46490"/>
    <cellStyle name="표준 4 5 2 3 3" xfId="46491"/>
    <cellStyle name="표준 4 5 2 3 3 2" xfId="46492"/>
    <cellStyle name="표준 4 5 2 3 3 3" xfId="46493"/>
    <cellStyle name="표준 4 5 2 3 4" xfId="46494"/>
    <cellStyle name="표준 4 5 2 3 5" xfId="46495"/>
    <cellStyle name="표준 4 5 2 3 6" xfId="46496"/>
    <cellStyle name="표준 4 5 2 4" xfId="46497"/>
    <cellStyle name="표준 4 5 2 4 2" xfId="46498"/>
    <cellStyle name="표준 4 5 2 4 2 2" xfId="46499"/>
    <cellStyle name="표준 4 5 2 4 2 2 2" xfId="46500"/>
    <cellStyle name="표준 4 5 2 4 2 2 3" xfId="46501"/>
    <cellStyle name="표준 4 5 2 4 2 3" xfId="46502"/>
    <cellStyle name="표준 4 5 2 4 2 4" xfId="46503"/>
    <cellStyle name="표준 4 5 2 4 2 5" xfId="46504"/>
    <cellStyle name="표준 4 5 2 4 3" xfId="46505"/>
    <cellStyle name="표준 4 5 2 5" xfId="46506"/>
    <cellStyle name="표준 4 5 2 5 2" xfId="46507"/>
    <cellStyle name="표준 4 5 2 5 2 2" xfId="46508"/>
    <cellStyle name="표준 4 5 2 5 2 2 2" xfId="46509"/>
    <cellStyle name="표준 4 5 2 5 2 2 3" xfId="46510"/>
    <cellStyle name="표준 4 5 2 5 2 3" xfId="46511"/>
    <cellStyle name="표준 4 5 2 5 2 4" xfId="46512"/>
    <cellStyle name="표준 4 5 2 5 2 5" xfId="46513"/>
    <cellStyle name="표준 4 5 2 5 3" xfId="46514"/>
    <cellStyle name="표준 4 5 2 6" xfId="46515"/>
    <cellStyle name="표준 4 5 2 7" xfId="46516"/>
    <cellStyle name="표준 4 5 2 8" xfId="46517"/>
    <cellStyle name="표준 4 5 2 9" xfId="46518"/>
    <cellStyle name="표준 4 5 20" xfId="46519"/>
    <cellStyle name="표준 4 5 21" xfId="46520"/>
    <cellStyle name="표준 4 5 22" xfId="46521"/>
    <cellStyle name="표준 4 5 3" xfId="46522"/>
    <cellStyle name="표준 4 5 3 10" xfId="46523"/>
    <cellStyle name="표준 4 5 3 11" xfId="46524"/>
    <cellStyle name="표준 4 5 3 12" xfId="46525"/>
    <cellStyle name="표준 4 5 3 13" xfId="46526"/>
    <cellStyle name="표준 4 5 3 14" xfId="46527"/>
    <cellStyle name="표준 4 5 3 15" xfId="46528"/>
    <cellStyle name="표준 4 5 3 16" xfId="46529"/>
    <cellStyle name="표준 4 5 3 17" xfId="46530"/>
    <cellStyle name="표준 4 5 3 17 2" xfId="46531"/>
    <cellStyle name="표준 4 5 3 17 3" xfId="46532"/>
    <cellStyle name="표준 4 5 3 18" xfId="46533"/>
    <cellStyle name="표준 4 5 3 19" xfId="46534"/>
    <cellStyle name="표준 4 5 3 2" xfId="46535"/>
    <cellStyle name="표준 4 5 3 2 10" xfId="46536"/>
    <cellStyle name="표준 4 5 3 2 11" xfId="46537"/>
    <cellStyle name="표준 4 5 3 2 12" xfId="46538"/>
    <cellStyle name="표준 4 5 3 2 13" xfId="46539"/>
    <cellStyle name="표준 4 5 3 2 14" xfId="46540"/>
    <cellStyle name="표준 4 5 3 2 15" xfId="46541"/>
    <cellStyle name="표준 4 5 3 2 16" xfId="46542"/>
    <cellStyle name="표준 4 5 3 2 16 2" xfId="46543"/>
    <cellStyle name="표준 4 5 3 2 16 3" xfId="46544"/>
    <cellStyle name="표준 4 5 3 2 17" xfId="46545"/>
    <cellStyle name="표준 4 5 3 2 18" xfId="46546"/>
    <cellStyle name="표준 4 5 3 2 19" xfId="46547"/>
    <cellStyle name="표준 4 5 3 2 2" xfId="46548"/>
    <cellStyle name="표준 4 5 3 2 2 2" xfId="46549"/>
    <cellStyle name="표준 4 5 3 2 2 2 2" xfId="46550"/>
    <cellStyle name="표준 4 5 3 2 2 2 2 2" xfId="46551"/>
    <cellStyle name="표준 4 5 3 2 2 2 2 3" xfId="46552"/>
    <cellStyle name="표준 4 5 3 2 2 2 3" xfId="46553"/>
    <cellStyle name="표준 4 5 3 2 2 2 4" xfId="46554"/>
    <cellStyle name="표준 4 5 3 2 2 2 5" xfId="46555"/>
    <cellStyle name="표준 4 5 3 2 2 3" xfId="46556"/>
    <cellStyle name="표준 4 5 3 2 2 3 2" xfId="46557"/>
    <cellStyle name="표준 4 5 3 2 2 3 3" xfId="46558"/>
    <cellStyle name="표준 4 5 3 2 2 4" xfId="46559"/>
    <cellStyle name="표준 4 5 3 2 2 5" xfId="46560"/>
    <cellStyle name="표준 4 5 3 2 2 6" xfId="46561"/>
    <cellStyle name="표준 4 5 3 2 3" xfId="46562"/>
    <cellStyle name="표준 4 5 3 2 3 2" xfId="46563"/>
    <cellStyle name="표준 4 5 3 2 3 2 2" xfId="46564"/>
    <cellStyle name="표준 4 5 3 2 3 2 2 2" xfId="46565"/>
    <cellStyle name="표준 4 5 3 2 3 2 2 3" xfId="46566"/>
    <cellStyle name="표준 4 5 3 2 3 2 3" xfId="46567"/>
    <cellStyle name="표준 4 5 3 2 3 2 4" xfId="46568"/>
    <cellStyle name="표준 4 5 3 2 3 2 5" xfId="46569"/>
    <cellStyle name="표준 4 5 3 2 3 3" xfId="46570"/>
    <cellStyle name="표준 4 5 3 2 4" xfId="46571"/>
    <cellStyle name="표준 4 5 3 2 4 2" xfId="46572"/>
    <cellStyle name="표준 4 5 3 2 4 2 2" xfId="46573"/>
    <cellStyle name="표준 4 5 3 2 4 2 2 2" xfId="46574"/>
    <cellStyle name="표준 4 5 3 2 4 2 2 3" xfId="46575"/>
    <cellStyle name="표준 4 5 3 2 4 2 3" xfId="46576"/>
    <cellStyle name="표준 4 5 3 2 4 2 4" xfId="46577"/>
    <cellStyle name="표준 4 5 3 2 4 2 5" xfId="46578"/>
    <cellStyle name="표준 4 5 3 2 4 3" xfId="46579"/>
    <cellStyle name="표준 4 5 3 2 5" xfId="46580"/>
    <cellStyle name="표준 4 5 3 2 6" xfId="46581"/>
    <cellStyle name="표준 4 5 3 2 7" xfId="46582"/>
    <cellStyle name="표준 4 5 3 2 8" xfId="46583"/>
    <cellStyle name="표준 4 5 3 2 9" xfId="46584"/>
    <cellStyle name="표준 4 5 3 20" xfId="46585"/>
    <cellStyle name="표준 4 5 3 3" xfId="46586"/>
    <cellStyle name="표준 4 5 3 3 2" xfId="46587"/>
    <cellStyle name="표준 4 5 3 3 2 2" xfId="46588"/>
    <cellStyle name="표준 4 5 3 3 2 2 2" xfId="46589"/>
    <cellStyle name="표준 4 5 3 3 2 2 3" xfId="46590"/>
    <cellStyle name="표준 4 5 3 3 2 3" xfId="46591"/>
    <cellStyle name="표준 4 5 3 3 2 4" xfId="46592"/>
    <cellStyle name="표준 4 5 3 3 2 5" xfId="46593"/>
    <cellStyle name="표준 4 5 3 3 3" xfId="46594"/>
    <cellStyle name="표준 4 5 3 3 3 2" xfId="46595"/>
    <cellStyle name="표준 4 5 3 3 3 3" xfId="46596"/>
    <cellStyle name="표준 4 5 3 3 4" xfId="46597"/>
    <cellStyle name="표준 4 5 3 3 5" xfId="46598"/>
    <cellStyle name="표준 4 5 3 3 6" xfId="46599"/>
    <cellStyle name="표준 4 5 3 4" xfId="46600"/>
    <cellStyle name="표준 4 5 3 4 2" xfId="46601"/>
    <cellStyle name="표준 4 5 3 4 2 2" xfId="46602"/>
    <cellStyle name="표준 4 5 3 4 2 2 2" xfId="46603"/>
    <cellStyle name="표준 4 5 3 4 2 2 3" xfId="46604"/>
    <cellStyle name="표준 4 5 3 4 2 3" xfId="46605"/>
    <cellStyle name="표준 4 5 3 4 2 4" xfId="46606"/>
    <cellStyle name="표준 4 5 3 4 2 5" xfId="46607"/>
    <cellStyle name="표준 4 5 3 4 3" xfId="46608"/>
    <cellStyle name="표준 4 5 3 5" xfId="46609"/>
    <cellStyle name="표준 4 5 3 5 2" xfId="46610"/>
    <cellStyle name="표준 4 5 3 5 2 2" xfId="46611"/>
    <cellStyle name="표준 4 5 3 5 2 2 2" xfId="46612"/>
    <cellStyle name="표준 4 5 3 5 2 2 3" xfId="46613"/>
    <cellStyle name="표준 4 5 3 5 2 3" xfId="46614"/>
    <cellStyle name="표준 4 5 3 5 2 4" xfId="46615"/>
    <cellStyle name="표준 4 5 3 5 2 5" xfId="46616"/>
    <cellStyle name="표준 4 5 3 5 3" xfId="46617"/>
    <cellStyle name="표준 4 5 3 6" xfId="46618"/>
    <cellStyle name="표준 4 5 3 7" xfId="46619"/>
    <cellStyle name="표준 4 5 3 8" xfId="46620"/>
    <cellStyle name="표준 4 5 3 9" xfId="46621"/>
    <cellStyle name="표준 4 5 4" xfId="46622"/>
    <cellStyle name="표준 4 5 4 10" xfId="46623"/>
    <cellStyle name="표준 4 5 4 11" xfId="46624"/>
    <cellStyle name="표준 4 5 4 12" xfId="46625"/>
    <cellStyle name="표준 4 5 4 13" xfId="46626"/>
    <cellStyle name="표준 4 5 4 14" xfId="46627"/>
    <cellStyle name="표준 4 5 4 15" xfId="46628"/>
    <cellStyle name="표준 4 5 4 16" xfId="46629"/>
    <cellStyle name="표준 4 5 4 16 2" xfId="46630"/>
    <cellStyle name="표준 4 5 4 16 3" xfId="46631"/>
    <cellStyle name="표준 4 5 4 17" xfId="46632"/>
    <cellStyle name="표준 4 5 4 18" xfId="46633"/>
    <cellStyle name="표준 4 5 4 19" xfId="46634"/>
    <cellStyle name="표준 4 5 4 2" xfId="46635"/>
    <cellStyle name="표준 4 5 4 2 2" xfId="46636"/>
    <cellStyle name="표준 4 5 4 2 2 2" xfId="46637"/>
    <cellStyle name="표준 4 5 4 2 2 2 2" xfId="46638"/>
    <cellStyle name="표준 4 5 4 2 2 2 3" xfId="46639"/>
    <cellStyle name="표준 4 5 4 2 2 3" xfId="46640"/>
    <cellStyle name="표준 4 5 4 2 2 4" xfId="46641"/>
    <cellStyle name="표준 4 5 4 2 2 5" xfId="46642"/>
    <cellStyle name="표준 4 5 4 2 3" xfId="46643"/>
    <cellStyle name="표준 4 5 4 2 3 2" xfId="46644"/>
    <cellStyle name="표준 4 5 4 2 3 3" xfId="46645"/>
    <cellStyle name="표준 4 5 4 2 4" xfId="46646"/>
    <cellStyle name="표준 4 5 4 2 5" xfId="46647"/>
    <cellStyle name="표준 4 5 4 2 6" xfId="46648"/>
    <cellStyle name="표준 4 5 4 3" xfId="46649"/>
    <cellStyle name="표준 4 5 4 3 2" xfId="46650"/>
    <cellStyle name="표준 4 5 4 3 2 2" xfId="46651"/>
    <cellStyle name="표준 4 5 4 3 2 2 2" xfId="46652"/>
    <cellStyle name="표준 4 5 4 3 2 2 3" xfId="46653"/>
    <cellStyle name="표준 4 5 4 3 2 3" xfId="46654"/>
    <cellStyle name="표준 4 5 4 3 2 4" xfId="46655"/>
    <cellStyle name="표준 4 5 4 3 2 5" xfId="46656"/>
    <cellStyle name="표준 4 5 4 3 3" xfId="46657"/>
    <cellStyle name="표준 4 5 4 4" xfId="46658"/>
    <cellStyle name="표준 4 5 4 4 2" xfId="46659"/>
    <cellStyle name="표준 4 5 4 4 2 2" xfId="46660"/>
    <cellStyle name="표준 4 5 4 4 2 2 2" xfId="46661"/>
    <cellStyle name="표준 4 5 4 4 2 2 3" xfId="46662"/>
    <cellStyle name="표준 4 5 4 4 2 3" xfId="46663"/>
    <cellStyle name="표준 4 5 4 4 2 4" xfId="46664"/>
    <cellStyle name="표준 4 5 4 4 2 5" xfId="46665"/>
    <cellStyle name="표준 4 5 4 4 3" xfId="46666"/>
    <cellStyle name="표준 4 5 4 5" xfId="46667"/>
    <cellStyle name="표준 4 5 4 6" xfId="46668"/>
    <cellStyle name="표준 4 5 4 7" xfId="46669"/>
    <cellStyle name="표준 4 5 4 8" xfId="46670"/>
    <cellStyle name="표준 4 5 4 9" xfId="46671"/>
    <cellStyle name="표준 4 5 5" xfId="46672"/>
    <cellStyle name="표준 4 5 5 2" xfId="46673"/>
    <cellStyle name="표준 4 5 5 2 2" xfId="46674"/>
    <cellStyle name="표준 4 5 5 2 2 2" xfId="46675"/>
    <cellStyle name="표준 4 5 5 2 2 3" xfId="46676"/>
    <cellStyle name="표준 4 5 5 2 3" xfId="46677"/>
    <cellStyle name="표준 4 5 5 2 4" xfId="46678"/>
    <cellStyle name="표준 4 5 5 2 5" xfId="46679"/>
    <cellStyle name="표준 4 5 5 3" xfId="46680"/>
    <cellStyle name="표준 4 5 5 3 2" xfId="46681"/>
    <cellStyle name="표준 4 5 5 3 3" xfId="46682"/>
    <cellStyle name="표준 4 5 5 4" xfId="46683"/>
    <cellStyle name="표준 4 5 5 5" xfId="46684"/>
    <cellStyle name="표준 4 5 5 6" xfId="46685"/>
    <cellStyle name="표준 4 5 6" xfId="46686"/>
    <cellStyle name="표준 4 5 6 2" xfId="46687"/>
    <cellStyle name="표준 4 5 6 2 2" xfId="46688"/>
    <cellStyle name="표준 4 5 6 2 2 2" xfId="46689"/>
    <cellStyle name="표준 4 5 6 2 2 3" xfId="46690"/>
    <cellStyle name="표준 4 5 6 2 3" xfId="46691"/>
    <cellStyle name="표준 4 5 6 2 4" xfId="46692"/>
    <cellStyle name="표준 4 5 6 2 5" xfId="46693"/>
    <cellStyle name="표준 4 5 6 3" xfId="46694"/>
    <cellStyle name="표준 4 5 7" xfId="46695"/>
    <cellStyle name="표준 4 5 7 2" xfId="46696"/>
    <cellStyle name="표준 4 5 7 2 2" xfId="46697"/>
    <cellStyle name="표준 4 5 7 2 2 2" xfId="46698"/>
    <cellStyle name="표준 4 5 7 2 2 3" xfId="46699"/>
    <cellStyle name="표준 4 5 7 2 3" xfId="46700"/>
    <cellStyle name="표준 4 5 7 2 4" xfId="46701"/>
    <cellStyle name="표준 4 5 7 2 5" xfId="46702"/>
    <cellStyle name="표준 4 5 7 3" xfId="46703"/>
    <cellStyle name="표준 4 5 8" xfId="46704"/>
    <cellStyle name="표준 4 5 9" xfId="46705"/>
    <cellStyle name="표준 4 6" xfId="46706"/>
    <cellStyle name="표준 4 6 10" xfId="46707"/>
    <cellStyle name="표준 4 6 11" xfId="46708"/>
    <cellStyle name="표준 4 6 12" xfId="46709"/>
    <cellStyle name="표준 4 6 13" xfId="46710"/>
    <cellStyle name="표준 4 6 14" xfId="46711"/>
    <cellStyle name="표준 4 6 15" xfId="46712"/>
    <cellStyle name="표준 4 6 16" xfId="46713"/>
    <cellStyle name="표준 4 6 17" xfId="46714"/>
    <cellStyle name="표준 4 6 17 2" xfId="46715"/>
    <cellStyle name="표준 4 6 17 3" xfId="46716"/>
    <cellStyle name="표준 4 6 18" xfId="46717"/>
    <cellStyle name="표준 4 6 19" xfId="46718"/>
    <cellStyle name="표준 4 6 2" xfId="46719"/>
    <cellStyle name="표준 4 6 2 10" xfId="46720"/>
    <cellStyle name="표준 4 6 2 11" xfId="46721"/>
    <cellStyle name="표준 4 6 2 12" xfId="46722"/>
    <cellStyle name="표준 4 6 2 13" xfId="46723"/>
    <cellStyle name="표준 4 6 2 14" xfId="46724"/>
    <cellStyle name="표준 4 6 2 15" xfId="46725"/>
    <cellStyle name="표준 4 6 2 16" xfId="46726"/>
    <cellStyle name="표준 4 6 2 16 2" xfId="46727"/>
    <cellStyle name="표준 4 6 2 16 3" xfId="46728"/>
    <cellStyle name="표준 4 6 2 17" xfId="46729"/>
    <cellStyle name="표준 4 6 2 18" xfId="46730"/>
    <cellStyle name="표준 4 6 2 19" xfId="46731"/>
    <cellStyle name="표준 4 6 2 2" xfId="46732"/>
    <cellStyle name="표준 4 6 2 2 2" xfId="46733"/>
    <cellStyle name="표준 4 6 2 2 2 2" xfId="46734"/>
    <cellStyle name="표준 4 6 2 2 2 2 2" xfId="46735"/>
    <cellStyle name="표준 4 6 2 2 2 2 3" xfId="46736"/>
    <cellStyle name="표준 4 6 2 2 2 3" xfId="46737"/>
    <cellStyle name="표준 4 6 2 2 2 4" xfId="46738"/>
    <cellStyle name="표준 4 6 2 2 2 5" xfId="46739"/>
    <cellStyle name="표준 4 6 2 2 3" xfId="46740"/>
    <cellStyle name="표준 4 6 2 2 3 2" xfId="46741"/>
    <cellStyle name="표준 4 6 2 2 3 3" xfId="46742"/>
    <cellStyle name="표준 4 6 2 2 4" xfId="46743"/>
    <cellStyle name="표준 4 6 2 2 5" xfId="46744"/>
    <cellStyle name="표준 4 6 2 2 6" xfId="46745"/>
    <cellStyle name="표준 4 6 2 3" xfId="46746"/>
    <cellStyle name="표준 4 6 2 3 2" xfId="46747"/>
    <cellStyle name="표준 4 6 2 3 2 2" xfId="46748"/>
    <cellStyle name="표준 4 6 2 3 2 2 2" xfId="46749"/>
    <cellStyle name="표준 4 6 2 3 2 2 3" xfId="46750"/>
    <cellStyle name="표준 4 6 2 3 2 3" xfId="46751"/>
    <cellStyle name="표준 4 6 2 3 2 4" xfId="46752"/>
    <cellStyle name="표준 4 6 2 3 2 5" xfId="46753"/>
    <cellStyle name="표준 4 6 2 3 3" xfId="46754"/>
    <cellStyle name="표준 4 6 2 4" xfId="46755"/>
    <cellStyle name="표준 4 6 2 4 2" xfId="46756"/>
    <cellStyle name="표준 4 6 2 4 2 2" xfId="46757"/>
    <cellStyle name="표준 4 6 2 4 2 2 2" xfId="46758"/>
    <cellStyle name="표준 4 6 2 4 2 2 3" xfId="46759"/>
    <cellStyle name="표준 4 6 2 4 2 3" xfId="46760"/>
    <cellStyle name="표준 4 6 2 4 2 4" xfId="46761"/>
    <cellStyle name="표준 4 6 2 4 2 5" xfId="46762"/>
    <cellStyle name="표준 4 6 2 4 3" xfId="46763"/>
    <cellStyle name="표준 4 6 2 5" xfId="46764"/>
    <cellStyle name="표준 4 6 2 6" xfId="46765"/>
    <cellStyle name="표준 4 6 2 7" xfId="46766"/>
    <cellStyle name="표준 4 6 2 8" xfId="46767"/>
    <cellStyle name="표준 4 6 2 9" xfId="46768"/>
    <cellStyle name="표준 4 6 20" xfId="46769"/>
    <cellStyle name="표준 4 6 3" xfId="46770"/>
    <cellStyle name="표준 4 6 3 2" xfId="46771"/>
    <cellStyle name="표준 4 6 3 2 2" xfId="46772"/>
    <cellStyle name="표준 4 6 3 2 2 2" xfId="46773"/>
    <cellStyle name="표준 4 6 3 2 2 3" xfId="46774"/>
    <cellStyle name="표준 4 6 3 2 3" xfId="46775"/>
    <cellStyle name="표준 4 6 3 2 4" xfId="46776"/>
    <cellStyle name="표준 4 6 3 2 5" xfId="46777"/>
    <cellStyle name="표준 4 6 3 3" xfId="46778"/>
    <cellStyle name="표준 4 6 3 3 2" xfId="46779"/>
    <cellStyle name="표준 4 6 3 3 3" xfId="46780"/>
    <cellStyle name="표준 4 6 3 4" xfId="46781"/>
    <cellStyle name="표준 4 6 3 5" xfId="46782"/>
    <cellStyle name="표준 4 6 3 6" xfId="46783"/>
    <cellStyle name="표준 4 6 4" xfId="46784"/>
    <cellStyle name="표준 4 6 4 2" xfId="46785"/>
    <cellStyle name="표준 4 6 4 2 2" xfId="46786"/>
    <cellStyle name="표준 4 6 4 2 2 2" xfId="46787"/>
    <cellStyle name="표준 4 6 4 2 2 3" xfId="46788"/>
    <cellStyle name="표준 4 6 4 2 3" xfId="46789"/>
    <cellStyle name="표준 4 6 4 2 4" xfId="46790"/>
    <cellStyle name="표준 4 6 4 2 5" xfId="46791"/>
    <cellStyle name="표준 4 6 4 3" xfId="46792"/>
    <cellStyle name="표준 4 6 5" xfId="46793"/>
    <cellStyle name="표준 4 6 5 2" xfId="46794"/>
    <cellStyle name="표준 4 6 5 2 2" xfId="46795"/>
    <cellStyle name="표준 4 6 5 2 2 2" xfId="46796"/>
    <cellStyle name="표준 4 6 5 2 2 3" xfId="46797"/>
    <cellStyle name="표준 4 6 5 2 3" xfId="46798"/>
    <cellStyle name="표준 4 6 5 2 4" xfId="46799"/>
    <cellStyle name="표준 4 6 5 2 5" xfId="46800"/>
    <cellStyle name="표준 4 6 5 3" xfId="46801"/>
    <cellStyle name="표준 4 6 6" xfId="46802"/>
    <cellStyle name="표준 4 6 7" xfId="46803"/>
    <cellStyle name="표준 4 6 8" xfId="46804"/>
    <cellStyle name="표준 4 6 9" xfId="46805"/>
    <cellStyle name="표준 4 7" xfId="46806"/>
    <cellStyle name="표준 4 7 10" xfId="46807"/>
    <cellStyle name="표준 4 7 11" xfId="46808"/>
    <cellStyle name="표준 4 7 12" xfId="46809"/>
    <cellStyle name="표준 4 7 13" xfId="46810"/>
    <cellStyle name="표준 4 7 14" xfId="46811"/>
    <cellStyle name="표준 4 7 15" xfId="46812"/>
    <cellStyle name="표준 4 7 16" xfId="46813"/>
    <cellStyle name="표준 4 7 17" xfId="46814"/>
    <cellStyle name="표준 4 7 17 2" xfId="46815"/>
    <cellStyle name="표준 4 7 17 3" xfId="46816"/>
    <cellStyle name="표준 4 7 18" xfId="46817"/>
    <cellStyle name="표준 4 7 19" xfId="46818"/>
    <cellStyle name="표준 4 7 2" xfId="46819"/>
    <cellStyle name="표준 4 7 2 10" xfId="46820"/>
    <cellStyle name="표준 4 7 2 11" xfId="46821"/>
    <cellStyle name="표준 4 7 2 12" xfId="46822"/>
    <cellStyle name="표준 4 7 2 13" xfId="46823"/>
    <cellStyle name="표준 4 7 2 14" xfId="46824"/>
    <cellStyle name="표준 4 7 2 15" xfId="46825"/>
    <cellStyle name="표준 4 7 2 16" xfId="46826"/>
    <cellStyle name="표준 4 7 2 16 2" xfId="46827"/>
    <cellStyle name="표준 4 7 2 16 3" xfId="46828"/>
    <cellStyle name="표준 4 7 2 17" xfId="46829"/>
    <cellStyle name="표준 4 7 2 18" xfId="46830"/>
    <cellStyle name="표준 4 7 2 19" xfId="46831"/>
    <cellStyle name="표준 4 7 2 2" xfId="46832"/>
    <cellStyle name="표준 4 7 2 2 2" xfId="46833"/>
    <cellStyle name="표준 4 7 2 2 2 2" xfId="46834"/>
    <cellStyle name="표준 4 7 2 2 2 2 2" xfId="46835"/>
    <cellStyle name="표준 4 7 2 2 2 2 3" xfId="46836"/>
    <cellStyle name="표준 4 7 2 2 2 3" xfId="46837"/>
    <cellStyle name="표준 4 7 2 2 2 4" xfId="46838"/>
    <cellStyle name="표준 4 7 2 2 2 5" xfId="46839"/>
    <cellStyle name="표준 4 7 2 2 3" xfId="46840"/>
    <cellStyle name="표준 4 7 2 2 3 2" xfId="46841"/>
    <cellStyle name="표준 4 7 2 2 3 3" xfId="46842"/>
    <cellStyle name="표준 4 7 2 2 4" xfId="46843"/>
    <cellStyle name="표준 4 7 2 2 5" xfId="46844"/>
    <cellStyle name="표준 4 7 2 2 6" xfId="46845"/>
    <cellStyle name="표준 4 7 2 3" xfId="46846"/>
    <cellStyle name="표준 4 7 2 3 2" xfId="46847"/>
    <cellStyle name="표준 4 7 2 3 2 2" xfId="46848"/>
    <cellStyle name="표준 4 7 2 3 2 2 2" xfId="46849"/>
    <cellStyle name="표준 4 7 2 3 2 2 3" xfId="46850"/>
    <cellStyle name="표준 4 7 2 3 2 3" xfId="46851"/>
    <cellStyle name="표준 4 7 2 3 2 4" xfId="46852"/>
    <cellStyle name="표준 4 7 2 3 2 5" xfId="46853"/>
    <cellStyle name="표준 4 7 2 3 3" xfId="46854"/>
    <cellStyle name="표준 4 7 2 4" xfId="46855"/>
    <cellStyle name="표준 4 7 2 4 2" xfId="46856"/>
    <cellStyle name="표준 4 7 2 4 2 2" xfId="46857"/>
    <cellStyle name="표준 4 7 2 4 2 2 2" xfId="46858"/>
    <cellStyle name="표준 4 7 2 4 2 2 3" xfId="46859"/>
    <cellStyle name="표준 4 7 2 4 2 3" xfId="46860"/>
    <cellStyle name="표준 4 7 2 4 2 4" xfId="46861"/>
    <cellStyle name="표준 4 7 2 4 2 5" xfId="46862"/>
    <cellStyle name="표준 4 7 2 4 3" xfId="46863"/>
    <cellStyle name="표준 4 7 2 5" xfId="46864"/>
    <cellStyle name="표준 4 7 2 6" xfId="46865"/>
    <cellStyle name="표준 4 7 2 7" xfId="46866"/>
    <cellStyle name="표준 4 7 2 8" xfId="46867"/>
    <cellStyle name="표준 4 7 2 9" xfId="46868"/>
    <cellStyle name="표준 4 7 20" xfId="46869"/>
    <cellStyle name="표준 4 7 3" xfId="46870"/>
    <cellStyle name="표준 4 7 3 2" xfId="46871"/>
    <cellStyle name="표준 4 7 3 2 2" xfId="46872"/>
    <cellStyle name="표준 4 7 3 2 2 2" xfId="46873"/>
    <cellStyle name="표준 4 7 3 2 2 3" xfId="46874"/>
    <cellStyle name="표준 4 7 3 2 3" xfId="46875"/>
    <cellStyle name="표준 4 7 3 2 4" xfId="46876"/>
    <cellStyle name="표준 4 7 3 2 5" xfId="46877"/>
    <cellStyle name="표준 4 7 3 3" xfId="46878"/>
    <cellStyle name="표준 4 7 3 3 2" xfId="46879"/>
    <cellStyle name="표준 4 7 3 3 3" xfId="46880"/>
    <cellStyle name="표준 4 7 3 4" xfId="46881"/>
    <cellStyle name="표준 4 7 3 5" xfId="46882"/>
    <cellStyle name="표준 4 7 3 6" xfId="46883"/>
    <cellStyle name="표준 4 7 4" xfId="46884"/>
    <cellStyle name="표준 4 7 4 2" xfId="46885"/>
    <cellStyle name="표준 4 7 4 2 2" xfId="46886"/>
    <cellStyle name="표준 4 7 4 2 2 2" xfId="46887"/>
    <cellStyle name="표준 4 7 4 2 2 3" xfId="46888"/>
    <cellStyle name="표준 4 7 4 2 3" xfId="46889"/>
    <cellStyle name="표준 4 7 4 2 4" xfId="46890"/>
    <cellStyle name="표준 4 7 4 2 5" xfId="46891"/>
    <cellStyle name="표준 4 7 4 3" xfId="46892"/>
    <cellStyle name="표준 4 7 5" xfId="46893"/>
    <cellStyle name="표준 4 7 5 2" xfId="46894"/>
    <cellStyle name="표준 4 7 5 2 2" xfId="46895"/>
    <cellStyle name="표준 4 7 5 2 2 2" xfId="46896"/>
    <cellStyle name="표준 4 7 5 2 2 3" xfId="46897"/>
    <cellStyle name="표준 4 7 5 2 3" xfId="46898"/>
    <cellStyle name="표준 4 7 5 2 4" xfId="46899"/>
    <cellStyle name="표준 4 7 5 2 5" xfId="46900"/>
    <cellStyle name="표준 4 7 5 3" xfId="46901"/>
    <cellStyle name="표준 4 7 6" xfId="46902"/>
    <cellStyle name="표준 4 7 7" xfId="46903"/>
    <cellStyle name="표준 4 7 8" xfId="46904"/>
    <cellStyle name="표준 4 7 9" xfId="46905"/>
    <cellStyle name="표준 4 8" xfId="46906"/>
    <cellStyle name="표준 4 8 10" xfId="46907"/>
    <cellStyle name="표준 4 8 11" xfId="46908"/>
    <cellStyle name="표준 4 8 12" xfId="46909"/>
    <cellStyle name="표준 4 8 13" xfId="46910"/>
    <cellStyle name="표준 4 8 14" xfId="46911"/>
    <cellStyle name="표준 4 8 15" xfId="46912"/>
    <cellStyle name="표준 4 8 16" xfId="46913"/>
    <cellStyle name="표준 4 8 16 2" xfId="46914"/>
    <cellStyle name="표준 4 8 16 3" xfId="46915"/>
    <cellStyle name="표준 4 8 17" xfId="46916"/>
    <cellStyle name="표준 4 8 18" xfId="46917"/>
    <cellStyle name="표준 4 8 19" xfId="46918"/>
    <cellStyle name="표준 4 8 2" xfId="46919"/>
    <cellStyle name="표준 4 8 2 2" xfId="46920"/>
    <cellStyle name="표준 4 8 2 3" xfId="46921"/>
    <cellStyle name="표준 4 8 2 3 2" xfId="46922"/>
    <cellStyle name="표준 4 8 2 3 3" xfId="46923"/>
    <cellStyle name="표준 4 8 2 4" xfId="46924"/>
    <cellStyle name="표준 4 8 2 5" xfId="46925"/>
    <cellStyle name="표준 4 8 2 6" xfId="46926"/>
    <cellStyle name="표준 4 8 3" xfId="46927"/>
    <cellStyle name="표준 4 8 3 2" xfId="46928"/>
    <cellStyle name="표준 4 8 3 2 2" xfId="46929"/>
    <cellStyle name="표준 4 8 3 2 2 2" xfId="46930"/>
    <cellStyle name="표준 4 8 3 2 2 3" xfId="46931"/>
    <cellStyle name="표준 4 8 3 2 3" xfId="46932"/>
    <cellStyle name="표준 4 8 3 2 4" xfId="46933"/>
    <cellStyle name="표준 4 8 3 2 5" xfId="46934"/>
    <cellStyle name="표준 4 8 3 3" xfId="46935"/>
    <cellStyle name="표준 4 8 4" xfId="46936"/>
    <cellStyle name="표준 4 8 4 2" xfId="46937"/>
    <cellStyle name="표준 4 8 4 2 2" xfId="46938"/>
    <cellStyle name="표준 4 8 4 2 2 2" xfId="46939"/>
    <cellStyle name="표준 4 8 4 2 2 3" xfId="46940"/>
    <cellStyle name="표준 4 8 4 2 3" xfId="46941"/>
    <cellStyle name="표준 4 8 4 2 4" xfId="46942"/>
    <cellStyle name="표준 4 8 4 2 5" xfId="46943"/>
    <cellStyle name="표준 4 8 4 3" xfId="46944"/>
    <cellStyle name="표준 4 8 5" xfId="46945"/>
    <cellStyle name="표준 4 8 6" xfId="46946"/>
    <cellStyle name="표준 4 8 7" xfId="46947"/>
    <cellStyle name="표준 4 8 8" xfId="46948"/>
    <cellStyle name="표준 4 8 9" xfId="46949"/>
    <cellStyle name="표준 4 9" xfId="46950"/>
    <cellStyle name="표준 4 9 10" xfId="46951"/>
    <cellStyle name="표준 4 9 11" xfId="46952"/>
    <cellStyle name="표준 4 9 12" xfId="46953"/>
    <cellStyle name="표준 4 9 13" xfId="46954"/>
    <cellStyle name="표준 4 9 14" xfId="46955"/>
    <cellStyle name="표준 4 9 15" xfId="46956"/>
    <cellStyle name="표준 4 9 16" xfId="46957"/>
    <cellStyle name="표준 4 9 16 2" xfId="46958"/>
    <cellStyle name="표준 4 9 16 3" xfId="46959"/>
    <cellStyle name="표준 4 9 17" xfId="46960"/>
    <cellStyle name="표준 4 9 18" xfId="46961"/>
    <cellStyle name="표준 4 9 19" xfId="46962"/>
    <cellStyle name="표준 4 9 2" xfId="46963"/>
    <cellStyle name="표준 4 9 2 2" xfId="46964"/>
    <cellStyle name="표준 4 9 2 2 2" xfId="46965"/>
    <cellStyle name="표준 4 9 2 2 2 2" xfId="46966"/>
    <cellStyle name="표준 4 9 2 2 2 3" xfId="46967"/>
    <cellStyle name="표준 4 9 2 2 3" xfId="46968"/>
    <cellStyle name="표준 4 9 2 2 4" xfId="46969"/>
    <cellStyle name="표준 4 9 2 2 5" xfId="46970"/>
    <cellStyle name="표준 4 9 2 3" xfId="46971"/>
    <cellStyle name="표준 4 9 2 3 2" xfId="46972"/>
    <cellStyle name="표준 4 9 2 3 3" xfId="46973"/>
    <cellStyle name="표준 4 9 2 4" xfId="46974"/>
    <cellStyle name="표준 4 9 2 5" xfId="46975"/>
    <cellStyle name="표준 4 9 2 6" xfId="46976"/>
    <cellStyle name="표준 4 9 3" xfId="46977"/>
    <cellStyle name="표준 4 9 3 2" xfId="46978"/>
    <cellStyle name="표준 4 9 3 2 2" xfId="46979"/>
    <cellStyle name="표준 4 9 3 2 2 2" xfId="46980"/>
    <cellStyle name="표준 4 9 3 2 2 3" xfId="46981"/>
    <cellStyle name="표준 4 9 3 2 3" xfId="46982"/>
    <cellStyle name="표준 4 9 3 2 4" xfId="46983"/>
    <cellStyle name="표준 4 9 3 2 5" xfId="46984"/>
    <cellStyle name="표준 4 9 3 3" xfId="46985"/>
    <cellStyle name="표준 4 9 4" xfId="46986"/>
    <cellStyle name="표준 4 9 4 2" xfId="46987"/>
    <cellStyle name="표준 4 9 4 2 2" xfId="46988"/>
    <cellStyle name="표준 4 9 4 2 2 2" xfId="46989"/>
    <cellStyle name="표준 4 9 4 2 2 3" xfId="46990"/>
    <cellStyle name="표준 4 9 4 2 3" xfId="46991"/>
    <cellStyle name="표준 4 9 4 2 4" xfId="46992"/>
    <cellStyle name="표준 4 9 4 2 5" xfId="46993"/>
    <cellStyle name="표준 4 9 4 3" xfId="46994"/>
    <cellStyle name="표준 4 9 5" xfId="46995"/>
    <cellStyle name="표준 4 9 6" xfId="46996"/>
    <cellStyle name="표준 4 9 7" xfId="46997"/>
    <cellStyle name="표준 4 9 8" xfId="46998"/>
    <cellStyle name="표준 4 9 9" xfId="46999"/>
    <cellStyle name="표준 4_Q25027470" xfId="47000"/>
    <cellStyle name="표준 40" xfId="47001"/>
    <cellStyle name="표준 40 2" xfId="47002"/>
    <cellStyle name="표준 41" xfId="47003"/>
    <cellStyle name="표준 42" xfId="47004"/>
    <cellStyle name="표준 43" xfId="47005"/>
    <cellStyle name="표준 44" xfId="47006"/>
    <cellStyle name="표준 45" xfId="47007"/>
    <cellStyle name="표준 46" xfId="47008"/>
    <cellStyle name="표준 46 2" xfId="47009"/>
    <cellStyle name="표준 46 3" xfId="47010"/>
    <cellStyle name="표준 47" xfId="47011"/>
    <cellStyle name="표준 48" xfId="47012"/>
    <cellStyle name="표준 49" xfId="47013"/>
    <cellStyle name="표준 49 2" xfId="47014"/>
    <cellStyle name="표준 5" xfId="47015"/>
    <cellStyle name="표준 5 10" xfId="47016"/>
    <cellStyle name="표준 5 11" xfId="47017"/>
    <cellStyle name="표준 5 12" xfId="47018"/>
    <cellStyle name="표준 5 13" xfId="47019"/>
    <cellStyle name="표준 5 14" xfId="47020"/>
    <cellStyle name="표준 5 15" xfId="47021"/>
    <cellStyle name="표준 5 16" xfId="47022"/>
    <cellStyle name="표준 5 17" xfId="47023"/>
    <cellStyle name="표준 5 18" xfId="47024"/>
    <cellStyle name="표준 5 19" xfId="47025"/>
    <cellStyle name="표준 5 2" xfId="47026"/>
    <cellStyle name="표준 5 2 2" xfId="47027"/>
    <cellStyle name="표준 5 20" xfId="47028"/>
    <cellStyle name="표준 5 21" xfId="47029"/>
    <cellStyle name="표준 5 22" xfId="47030"/>
    <cellStyle name="표준 5 3" xfId="47031"/>
    <cellStyle name="표준 5 3 2" xfId="47032"/>
    <cellStyle name="표준 5 4" xfId="47033"/>
    <cellStyle name="표준 5 5" xfId="47034"/>
    <cellStyle name="표준 5 6" xfId="47035"/>
    <cellStyle name="표준 5 7" xfId="47036"/>
    <cellStyle name="표준 5 8" xfId="47037"/>
    <cellStyle name="표준 5 9" xfId="47038"/>
    <cellStyle name="표준 50" xfId="47039"/>
    <cellStyle name="표준 51" xfId="47040"/>
    <cellStyle name="표준 52" xfId="47041"/>
    <cellStyle name="표준 53" xfId="47042"/>
    <cellStyle name="표준 54" xfId="47043"/>
    <cellStyle name="표준 55" xfId="47044"/>
    <cellStyle name="표준 56" xfId="47045"/>
    <cellStyle name="표준 57" xfId="47046"/>
    <cellStyle name="표준 58" xfId="47047"/>
    <cellStyle name="표준 59" xfId="47048"/>
    <cellStyle name="표준 59 2" xfId="47049"/>
    <cellStyle name="표준 6" xfId="47050"/>
    <cellStyle name="표준 6 2" xfId="47051"/>
    <cellStyle name="표준 6 2 2" xfId="47052"/>
    <cellStyle name="표준 6 2 2 2" xfId="47053"/>
    <cellStyle name="표준 6 2 3" xfId="47054"/>
    <cellStyle name="표준 6 2 4" xfId="47055"/>
    <cellStyle name="표준 6 3" xfId="47056"/>
    <cellStyle name="표준 6 3 2" xfId="47057"/>
    <cellStyle name="표준 6 3 2 2" xfId="47058"/>
    <cellStyle name="표준 6 3 3" xfId="47059"/>
    <cellStyle name="표준 6 4" xfId="47060"/>
    <cellStyle name="표준 6 4 2" xfId="47061"/>
    <cellStyle name="표준 6 5" xfId="47062"/>
    <cellStyle name="표준 6 5 2" xfId="47063"/>
    <cellStyle name="표준 6 6" xfId="47064"/>
    <cellStyle name="표준 6 7" xfId="47065"/>
    <cellStyle name="표준 60" xfId="47066"/>
    <cellStyle name="표준 61" xfId="47067"/>
    <cellStyle name="표준 62" xfId="47068"/>
    <cellStyle name="표준 62 2" xfId="47069"/>
    <cellStyle name="표준 63" xfId="47070"/>
    <cellStyle name="표준 64" xfId="47071"/>
    <cellStyle name="표준 65" xfId="47072"/>
    <cellStyle name="표준 66" xfId="47073"/>
    <cellStyle name="표준 67" xfId="47074"/>
    <cellStyle name="표준 67 2" xfId="47075"/>
    <cellStyle name="표준 68" xfId="47076"/>
    <cellStyle name="표준 69" xfId="47077"/>
    <cellStyle name="표준 7" xfId="47078"/>
    <cellStyle name="표준 7 2" xfId="47079"/>
    <cellStyle name="표준 7 2 2" xfId="47080"/>
    <cellStyle name="표준 7 2 2 2" xfId="47081"/>
    <cellStyle name="표준 7 2 3" xfId="47082"/>
    <cellStyle name="표준 7 2 4" xfId="47083"/>
    <cellStyle name="표준 7 3" xfId="47084"/>
    <cellStyle name="표준 7 3 2" xfId="47085"/>
    <cellStyle name="표준 7 3 2 2" xfId="47086"/>
    <cellStyle name="표준 7 3 3" xfId="47087"/>
    <cellStyle name="표준 7 4" xfId="47088"/>
    <cellStyle name="표준 7 4 2" xfId="47089"/>
    <cellStyle name="표준 7 5" xfId="47090"/>
    <cellStyle name="표준 7 5 2" xfId="47091"/>
    <cellStyle name="표준 7 6" xfId="47092"/>
    <cellStyle name="표준 70" xfId="47093"/>
    <cellStyle name="표준 71" xfId="47094"/>
    <cellStyle name="표준 72" xfId="47095"/>
    <cellStyle name="표준 73" xfId="47096"/>
    <cellStyle name="표준 74" xfId="47097"/>
    <cellStyle name="표준 74 2" xfId="47098"/>
    <cellStyle name="표준 75" xfId="47099"/>
    <cellStyle name="표준 76" xfId="47100"/>
    <cellStyle name="표준 77" xfId="47101"/>
    <cellStyle name="표준 78" xfId="47102"/>
    <cellStyle name="표준 79" xfId="47103"/>
    <cellStyle name="표준 8" xfId="47104"/>
    <cellStyle name="표준 8 2" xfId="47105"/>
    <cellStyle name="표준 8 2 2" xfId="47106"/>
    <cellStyle name="표준 8 2 3" xfId="47107"/>
    <cellStyle name="표준 8 3" xfId="47108"/>
    <cellStyle name="표준 8 3 2" xfId="47109"/>
    <cellStyle name="표준 8 3 3" xfId="47110"/>
    <cellStyle name="표준 8 4" xfId="47111"/>
    <cellStyle name="표준 8 5" xfId="47112"/>
    <cellStyle name="표준 8 6" xfId="47113"/>
    <cellStyle name="표준 8 7" xfId="47114"/>
    <cellStyle name="표준 80" xfId="47115"/>
    <cellStyle name="표준 81" xfId="47116"/>
    <cellStyle name="표준 82" xfId="47117"/>
    <cellStyle name="표준 83" xfId="47118"/>
    <cellStyle name="표준 84" xfId="47119"/>
    <cellStyle name="표준 85" xfId="47120"/>
    <cellStyle name="표준 86" xfId="47121"/>
    <cellStyle name="표준 87" xfId="47122"/>
    <cellStyle name="표준 88" xfId="47123"/>
    <cellStyle name="표준 89" xfId="47124"/>
    <cellStyle name="표준 9" xfId="47125"/>
    <cellStyle name="표준 9 10" xfId="47126"/>
    <cellStyle name="표준 9 10 2" xfId="47127"/>
    <cellStyle name="표준 9 10 2 2" xfId="47128"/>
    <cellStyle name="표준 9 10 2 2 2" xfId="47129"/>
    <cellStyle name="표준 9 10 2 2 2 2" xfId="47130"/>
    <cellStyle name="표준 9 10 2 2 2 3" xfId="47131"/>
    <cellStyle name="표준 9 10 2 2 3" xfId="47132"/>
    <cellStyle name="표준 9 10 2 2 4" xfId="47133"/>
    <cellStyle name="표준 9 10 2 3" xfId="47134"/>
    <cellStyle name="표준 9 10 2 3 2" xfId="47135"/>
    <cellStyle name="표준 9 10 2 3 3" xfId="47136"/>
    <cellStyle name="표준 9 10 2 4" xfId="47137"/>
    <cellStyle name="표준 9 10 2 5" xfId="47138"/>
    <cellStyle name="표준 9 10 3" xfId="47139"/>
    <cellStyle name="표준 9 10 3 2" xfId="47140"/>
    <cellStyle name="표준 9 10 3 2 2" xfId="47141"/>
    <cellStyle name="표준 9 10 3 2 2 2" xfId="47142"/>
    <cellStyle name="표준 9 10 3 2 2 3" xfId="47143"/>
    <cellStyle name="표준 9 10 3 2 3" xfId="47144"/>
    <cellStyle name="표준 9 10 3 2 4" xfId="47145"/>
    <cellStyle name="표준 9 10 3 3" xfId="47146"/>
    <cellStyle name="표준 9 10 3 3 2" xfId="47147"/>
    <cellStyle name="표준 9 10 3 3 3" xfId="47148"/>
    <cellStyle name="표준 9 10 3 4" xfId="47149"/>
    <cellStyle name="표준 9 10 3 5" xfId="47150"/>
    <cellStyle name="표준 9 10 4" xfId="47151"/>
    <cellStyle name="표준 9 10 4 2" xfId="47152"/>
    <cellStyle name="표준 9 10 4 2 2" xfId="47153"/>
    <cellStyle name="표준 9 10 4 2 3" xfId="47154"/>
    <cellStyle name="표준 9 10 4 3" xfId="47155"/>
    <cellStyle name="표준 9 10 4 4" xfId="47156"/>
    <cellStyle name="표준 9 10 5" xfId="47157"/>
    <cellStyle name="표준 9 10 5 2" xfId="47158"/>
    <cellStyle name="표준 9 10 5 3" xfId="47159"/>
    <cellStyle name="표준 9 10 6" xfId="47160"/>
    <cellStyle name="표준 9 10 7" xfId="47161"/>
    <cellStyle name="표준 9 11" xfId="47162"/>
    <cellStyle name="표준 9 11 2" xfId="47163"/>
    <cellStyle name="표준 9 11 2 2" xfId="47164"/>
    <cellStyle name="표준 9 11 2 2 2" xfId="47165"/>
    <cellStyle name="표준 9 11 2 2 3" xfId="47166"/>
    <cellStyle name="표준 9 11 2 3" xfId="47167"/>
    <cellStyle name="표준 9 11 2 4" xfId="47168"/>
    <cellStyle name="표준 9 11 3" xfId="47169"/>
    <cellStyle name="표준 9 11 3 2" xfId="47170"/>
    <cellStyle name="표준 9 11 3 3" xfId="47171"/>
    <cellStyle name="표준 9 11 4" xfId="47172"/>
    <cellStyle name="표준 9 11 5" xfId="47173"/>
    <cellStyle name="표준 9 12" xfId="47174"/>
    <cellStyle name="표준 9 12 2" xfId="47175"/>
    <cellStyle name="표준 9 12 2 2" xfId="47176"/>
    <cellStyle name="표준 9 12 2 2 2" xfId="47177"/>
    <cellStyle name="표준 9 12 2 2 3" xfId="47178"/>
    <cellStyle name="표준 9 12 2 3" xfId="47179"/>
    <cellStyle name="표준 9 12 2 4" xfId="47180"/>
    <cellStyle name="표준 9 12 3" xfId="47181"/>
    <cellStyle name="표준 9 12 3 2" xfId="47182"/>
    <cellStyle name="표준 9 12 3 3" xfId="47183"/>
    <cellStyle name="표준 9 12 4" xfId="47184"/>
    <cellStyle name="표준 9 12 5" xfId="47185"/>
    <cellStyle name="표준 9 13" xfId="47186"/>
    <cellStyle name="표준 9 13 2" xfId="47187"/>
    <cellStyle name="표준 9 13 2 2" xfId="47188"/>
    <cellStyle name="표준 9 13 2 2 2" xfId="47189"/>
    <cellStyle name="표준 9 13 2 2 3" xfId="47190"/>
    <cellStyle name="표준 9 13 2 3" xfId="47191"/>
    <cellStyle name="표준 9 13 2 4" xfId="47192"/>
    <cellStyle name="표준 9 13 3" xfId="47193"/>
    <cellStyle name="표준 9 13 3 2" xfId="47194"/>
    <cellStyle name="표준 9 13 3 3" xfId="47195"/>
    <cellStyle name="표준 9 13 4" xfId="47196"/>
    <cellStyle name="표준 9 13 5" xfId="47197"/>
    <cellStyle name="표준 9 14" xfId="47198"/>
    <cellStyle name="표준 9 14 2" xfId="47199"/>
    <cellStyle name="표준 9 14 2 2" xfId="47200"/>
    <cellStyle name="표준 9 14 2 3" xfId="47201"/>
    <cellStyle name="표준 9 14 3" xfId="47202"/>
    <cellStyle name="표준 9 14 4" xfId="47203"/>
    <cellStyle name="표준 9 15" xfId="47204"/>
    <cellStyle name="표준 9 15 2" xfId="47205"/>
    <cellStyle name="표준 9 15 3" xfId="47206"/>
    <cellStyle name="표준 9 16" xfId="47207"/>
    <cellStyle name="표준 9 16 2" xfId="47208"/>
    <cellStyle name="표준 9 16 3" xfId="47209"/>
    <cellStyle name="표준 9 17" xfId="47210"/>
    <cellStyle name="표준 9 17 2" xfId="47211"/>
    <cellStyle name="표준 9 17 3" xfId="47212"/>
    <cellStyle name="표준 9 18" xfId="47213"/>
    <cellStyle name="표준 9 19" xfId="47214"/>
    <cellStyle name="표준 9 2" xfId="47215"/>
    <cellStyle name="표준 9 2 10" xfId="47216"/>
    <cellStyle name="표준 9 2 10 2" xfId="47217"/>
    <cellStyle name="표준 9 2 10 2 2" xfId="47218"/>
    <cellStyle name="표준 9 2 10 2 2 2" xfId="47219"/>
    <cellStyle name="표준 9 2 10 2 2 3" xfId="47220"/>
    <cellStyle name="표준 9 2 10 2 3" xfId="47221"/>
    <cellStyle name="표준 9 2 10 2 4" xfId="47222"/>
    <cellStyle name="표준 9 2 10 3" xfId="47223"/>
    <cellStyle name="표준 9 2 10 3 2" xfId="47224"/>
    <cellStyle name="표준 9 2 10 3 3" xfId="47225"/>
    <cellStyle name="표준 9 2 10 4" xfId="47226"/>
    <cellStyle name="표준 9 2 10 5" xfId="47227"/>
    <cellStyle name="표준 9 2 11" xfId="47228"/>
    <cellStyle name="표준 9 2 11 2" xfId="47229"/>
    <cellStyle name="표준 9 2 11 2 2" xfId="47230"/>
    <cellStyle name="표준 9 2 11 2 3" xfId="47231"/>
    <cellStyle name="표준 9 2 11 3" xfId="47232"/>
    <cellStyle name="표준 9 2 11 4" xfId="47233"/>
    <cellStyle name="표준 9 2 12" xfId="47234"/>
    <cellStyle name="표준 9 2 12 2" xfId="47235"/>
    <cellStyle name="표준 9 2 12 3" xfId="47236"/>
    <cellStyle name="표준 9 2 13" xfId="47237"/>
    <cellStyle name="표준 9 2 14" xfId="47238"/>
    <cellStyle name="표준 9 2 15" xfId="47239"/>
    <cellStyle name="표준 9 2 2" xfId="47240"/>
    <cellStyle name="표준 9 2 2 10" xfId="47241"/>
    <cellStyle name="표준 9 2 2 10 2" xfId="47242"/>
    <cellStyle name="표준 9 2 2 10 2 2" xfId="47243"/>
    <cellStyle name="표준 9 2 2 10 2 3" xfId="47244"/>
    <cellStyle name="표준 9 2 2 10 3" xfId="47245"/>
    <cellStyle name="표준 9 2 2 10 4" xfId="47246"/>
    <cellStyle name="표준 9 2 2 11" xfId="47247"/>
    <cellStyle name="표준 9 2 2 11 2" xfId="47248"/>
    <cellStyle name="표준 9 2 2 11 3" xfId="47249"/>
    <cellStyle name="표준 9 2 2 12" xfId="47250"/>
    <cellStyle name="표준 9 2 2 13" xfId="47251"/>
    <cellStyle name="표준 9 2 2 2" xfId="47252"/>
    <cellStyle name="표준 9 2 2 2 10" xfId="47253"/>
    <cellStyle name="표준 9 2 2 2 11" xfId="47254"/>
    <cellStyle name="표준 9 2 2 2 2" xfId="47255"/>
    <cellStyle name="표준 9 2 2 2 2 2" xfId="47256"/>
    <cellStyle name="표준 9 2 2 2 2 2 2" xfId="47257"/>
    <cellStyle name="표준 9 2 2 2 2 2 2 2" xfId="47258"/>
    <cellStyle name="표준 9 2 2 2 2 2 2 2 2" xfId="47259"/>
    <cellStyle name="표준 9 2 2 2 2 2 2 2 3" xfId="47260"/>
    <cellStyle name="표준 9 2 2 2 2 2 2 3" xfId="47261"/>
    <cellStyle name="표준 9 2 2 2 2 2 2 4" xfId="47262"/>
    <cellStyle name="표준 9 2 2 2 2 2 3" xfId="47263"/>
    <cellStyle name="표준 9 2 2 2 2 2 3 2" xfId="47264"/>
    <cellStyle name="표준 9 2 2 2 2 2 3 3" xfId="47265"/>
    <cellStyle name="표준 9 2 2 2 2 2 4" xfId="47266"/>
    <cellStyle name="표준 9 2 2 2 2 2 5" xfId="47267"/>
    <cellStyle name="표준 9 2 2 2 2 3" xfId="47268"/>
    <cellStyle name="표준 9 2 2 2 2 3 2" xfId="47269"/>
    <cellStyle name="표준 9 2 2 2 2 3 2 2" xfId="47270"/>
    <cellStyle name="표준 9 2 2 2 2 3 2 2 2" xfId="47271"/>
    <cellStyle name="표준 9 2 2 2 2 3 2 2 3" xfId="47272"/>
    <cellStyle name="표준 9 2 2 2 2 3 2 3" xfId="47273"/>
    <cellStyle name="표준 9 2 2 2 2 3 2 4" xfId="47274"/>
    <cellStyle name="표준 9 2 2 2 2 3 3" xfId="47275"/>
    <cellStyle name="표준 9 2 2 2 2 3 3 2" xfId="47276"/>
    <cellStyle name="표준 9 2 2 2 2 3 3 3" xfId="47277"/>
    <cellStyle name="표준 9 2 2 2 2 3 4" xfId="47278"/>
    <cellStyle name="표준 9 2 2 2 2 3 5" xfId="47279"/>
    <cellStyle name="표준 9 2 2 2 2 4" xfId="47280"/>
    <cellStyle name="표준 9 2 2 2 2 4 2" xfId="47281"/>
    <cellStyle name="표준 9 2 2 2 2 4 2 2" xfId="47282"/>
    <cellStyle name="표준 9 2 2 2 2 4 2 3" xfId="47283"/>
    <cellStyle name="표준 9 2 2 2 2 4 3" xfId="47284"/>
    <cellStyle name="표준 9 2 2 2 2 4 4" xfId="47285"/>
    <cellStyle name="표준 9 2 2 2 2 5" xfId="47286"/>
    <cellStyle name="표준 9 2 2 2 2 5 2" xfId="47287"/>
    <cellStyle name="표준 9 2 2 2 2 5 3" xfId="47288"/>
    <cellStyle name="표준 9 2 2 2 2 6" xfId="47289"/>
    <cellStyle name="표준 9 2 2 2 2 7" xfId="47290"/>
    <cellStyle name="표준 9 2 2 2 3" xfId="47291"/>
    <cellStyle name="표준 9 2 2 2 3 2" xfId="47292"/>
    <cellStyle name="표준 9 2 2 2 3 2 2" xfId="47293"/>
    <cellStyle name="표준 9 2 2 2 3 2 2 2" xfId="47294"/>
    <cellStyle name="표준 9 2 2 2 3 2 2 2 2" xfId="47295"/>
    <cellStyle name="표준 9 2 2 2 3 2 2 2 3" xfId="47296"/>
    <cellStyle name="표준 9 2 2 2 3 2 2 3" xfId="47297"/>
    <cellStyle name="표준 9 2 2 2 3 2 2 4" xfId="47298"/>
    <cellStyle name="표준 9 2 2 2 3 2 3" xfId="47299"/>
    <cellStyle name="표준 9 2 2 2 3 2 3 2" xfId="47300"/>
    <cellStyle name="표준 9 2 2 2 3 2 3 3" xfId="47301"/>
    <cellStyle name="표준 9 2 2 2 3 2 4" xfId="47302"/>
    <cellStyle name="표준 9 2 2 2 3 2 5" xfId="47303"/>
    <cellStyle name="표준 9 2 2 2 3 3" xfId="47304"/>
    <cellStyle name="표준 9 2 2 2 3 3 2" xfId="47305"/>
    <cellStyle name="표준 9 2 2 2 3 3 2 2" xfId="47306"/>
    <cellStyle name="표준 9 2 2 2 3 3 2 2 2" xfId="47307"/>
    <cellStyle name="표준 9 2 2 2 3 3 2 2 3" xfId="47308"/>
    <cellStyle name="표준 9 2 2 2 3 3 2 3" xfId="47309"/>
    <cellStyle name="표준 9 2 2 2 3 3 2 4" xfId="47310"/>
    <cellStyle name="표준 9 2 2 2 3 3 3" xfId="47311"/>
    <cellStyle name="표준 9 2 2 2 3 3 3 2" xfId="47312"/>
    <cellStyle name="표준 9 2 2 2 3 3 3 3" xfId="47313"/>
    <cellStyle name="표준 9 2 2 2 3 3 4" xfId="47314"/>
    <cellStyle name="표준 9 2 2 2 3 3 5" xfId="47315"/>
    <cellStyle name="표준 9 2 2 2 3 4" xfId="47316"/>
    <cellStyle name="표준 9 2 2 2 3 4 2" xfId="47317"/>
    <cellStyle name="표준 9 2 2 2 3 4 2 2" xfId="47318"/>
    <cellStyle name="표준 9 2 2 2 3 4 2 3" xfId="47319"/>
    <cellStyle name="표준 9 2 2 2 3 4 3" xfId="47320"/>
    <cellStyle name="표준 9 2 2 2 3 4 4" xfId="47321"/>
    <cellStyle name="표준 9 2 2 2 3 5" xfId="47322"/>
    <cellStyle name="표준 9 2 2 2 3 5 2" xfId="47323"/>
    <cellStyle name="표준 9 2 2 2 3 5 3" xfId="47324"/>
    <cellStyle name="표준 9 2 2 2 3 6" xfId="47325"/>
    <cellStyle name="표준 9 2 2 2 3 7" xfId="47326"/>
    <cellStyle name="표준 9 2 2 2 4" xfId="47327"/>
    <cellStyle name="표준 9 2 2 2 4 2" xfId="47328"/>
    <cellStyle name="표준 9 2 2 2 4 2 2" xfId="47329"/>
    <cellStyle name="표준 9 2 2 2 4 2 2 2" xfId="47330"/>
    <cellStyle name="표준 9 2 2 2 4 2 2 3" xfId="47331"/>
    <cellStyle name="표준 9 2 2 2 4 2 3" xfId="47332"/>
    <cellStyle name="표준 9 2 2 2 4 2 4" xfId="47333"/>
    <cellStyle name="표준 9 2 2 2 4 3" xfId="47334"/>
    <cellStyle name="표준 9 2 2 2 4 3 2" xfId="47335"/>
    <cellStyle name="표준 9 2 2 2 4 3 3" xfId="47336"/>
    <cellStyle name="표준 9 2 2 2 4 4" xfId="47337"/>
    <cellStyle name="표준 9 2 2 2 4 5" xfId="47338"/>
    <cellStyle name="표준 9 2 2 2 5" xfId="47339"/>
    <cellStyle name="표준 9 2 2 2 5 2" xfId="47340"/>
    <cellStyle name="표준 9 2 2 2 5 2 2" xfId="47341"/>
    <cellStyle name="표준 9 2 2 2 5 2 2 2" xfId="47342"/>
    <cellStyle name="표준 9 2 2 2 5 2 2 3" xfId="47343"/>
    <cellStyle name="표준 9 2 2 2 5 2 3" xfId="47344"/>
    <cellStyle name="표준 9 2 2 2 5 2 4" xfId="47345"/>
    <cellStyle name="표준 9 2 2 2 5 3" xfId="47346"/>
    <cellStyle name="표준 9 2 2 2 5 3 2" xfId="47347"/>
    <cellStyle name="표준 9 2 2 2 5 3 3" xfId="47348"/>
    <cellStyle name="표준 9 2 2 2 5 4" xfId="47349"/>
    <cellStyle name="표준 9 2 2 2 5 5" xfId="47350"/>
    <cellStyle name="표준 9 2 2 2 6" xfId="47351"/>
    <cellStyle name="표준 9 2 2 2 6 2" xfId="47352"/>
    <cellStyle name="표준 9 2 2 2 6 2 2" xfId="47353"/>
    <cellStyle name="표준 9 2 2 2 6 2 2 2" xfId="47354"/>
    <cellStyle name="표준 9 2 2 2 6 2 2 3" xfId="47355"/>
    <cellStyle name="표준 9 2 2 2 6 2 3" xfId="47356"/>
    <cellStyle name="표준 9 2 2 2 6 2 4" xfId="47357"/>
    <cellStyle name="표준 9 2 2 2 6 3" xfId="47358"/>
    <cellStyle name="표준 9 2 2 2 6 3 2" xfId="47359"/>
    <cellStyle name="표준 9 2 2 2 6 3 3" xfId="47360"/>
    <cellStyle name="표준 9 2 2 2 6 4" xfId="47361"/>
    <cellStyle name="표준 9 2 2 2 6 5" xfId="47362"/>
    <cellStyle name="표준 9 2 2 2 7" xfId="47363"/>
    <cellStyle name="표준 9 2 2 2 7 2" xfId="47364"/>
    <cellStyle name="표준 9 2 2 2 7 2 2" xfId="47365"/>
    <cellStyle name="표준 9 2 2 2 7 2 3" xfId="47366"/>
    <cellStyle name="표준 9 2 2 2 7 3" xfId="47367"/>
    <cellStyle name="표준 9 2 2 2 7 4" xfId="47368"/>
    <cellStyle name="표준 9 2 2 2 8" xfId="47369"/>
    <cellStyle name="표준 9 2 2 2 8 2" xfId="47370"/>
    <cellStyle name="표준 9 2 2 2 8 2 2" xfId="47371"/>
    <cellStyle name="표준 9 2 2 2 8 3" xfId="47372"/>
    <cellStyle name="표준 9 2 2 2 8 4" xfId="47373"/>
    <cellStyle name="표준 9 2 2 2 8 5" xfId="47374"/>
    <cellStyle name="표준 9 2 2 2 9" xfId="47375"/>
    <cellStyle name="표준 9 2 2 3" xfId="47376"/>
    <cellStyle name="표준 9 2 2 3 10" xfId="47377"/>
    <cellStyle name="표준 9 2 2 3 2" xfId="47378"/>
    <cellStyle name="표준 9 2 2 3 2 2" xfId="47379"/>
    <cellStyle name="표준 9 2 2 3 2 2 2" xfId="47380"/>
    <cellStyle name="표준 9 2 2 3 2 2 2 2" xfId="47381"/>
    <cellStyle name="표준 9 2 2 3 2 2 2 2 2" xfId="47382"/>
    <cellStyle name="표준 9 2 2 3 2 2 2 2 3" xfId="47383"/>
    <cellStyle name="표준 9 2 2 3 2 2 2 3" xfId="47384"/>
    <cellStyle name="표준 9 2 2 3 2 2 2 4" xfId="47385"/>
    <cellStyle name="표준 9 2 2 3 2 2 3" xfId="47386"/>
    <cellStyle name="표준 9 2 2 3 2 2 3 2" xfId="47387"/>
    <cellStyle name="표준 9 2 2 3 2 2 3 3" xfId="47388"/>
    <cellStyle name="표준 9 2 2 3 2 2 4" xfId="47389"/>
    <cellStyle name="표준 9 2 2 3 2 2 5" xfId="47390"/>
    <cellStyle name="표준 9 2 2 3 2 3" xfId="47391"/>
    <cellStyle name="표준 9 2 2 3 2 3 2" xfId="47392"/>
    <cellStyle name="표준 9 2 2 3 2 3 2 2" xfId="47393"/>
    <cellStyle name="표준 9 2 2 3 2 3 2 2 2" xfId="47394"/>
    <cellStyle name="표준 9 2 2 3 2 3 2 2 3" xfId="47395"/>
    <cellStyle name="표준 9 2 2 3 2 3 2 3" xfId="47396"/>
    <cellStyle name="표준 9 2 2 3 2 3 2 4" xfId="47397"/>
    <cellStyle name="표준 9 2 2 3 2 3 3" xfId="47398"/>
    <cellStyle name="표준 9 2 2 3 2 3 3 2" xfId="47399"/>
    <cellStyle name="표준 9 2 2 3 2 3 3 3" xfId="47400"/>
    <cellStyle name="표준 9 2 2 3 2 3 4" xfId="47401"/>
    <cellStyle name="표준 9 2 2 3 2 3 5" xfId="47402"/>
    <cellStyle name="표준 9 2 2 3 2 4" xfId="47403"/>
    <cellStyle name="표준 9 2 2 3 2 4 2" xfId="47404"/>
    <cellStyle name="표준 9 2 2 3 2 4 2 2" xfId="47405"/>
    <cellStyle name="표준 9 2 2 3 2 4 2 3" xfId="47406"/>
    <cellStyle name="표준 9 2 2 3 2 4 3" xfId="47407"/>
    <cellStyle name="표준 9 2 2 3 2 4 4" xfId="47408"/>
    <cellStyle name="표준 9 2 2 3 2 5" xfId="47409"/>
    <cellStyle name="표준 9 2 2 3 2 5 2" xfId="47410"/>
    <cellStyle name="표준 9 2 2 3 2 5 3" xfId="47411"/>
    <cellStyle name="표준 9 2 2 3 2 6" xfId="47412"/>
    <cellStyle name="표준 9 2 2 3 2 7" xfId="47413"/>
    <cellStyle name="표준 9 2 2 3 3" xfId="47414"/>
    <cellStyle name="표준 9 2 2 3 3 2" xfId="47415"/>
    <cellStyle name="표준 9 2 2 3 3 2 2" xfId="47416"/>
    <cellStyle name="표준 9 2 2 3 3 2 2 2" xfId="47417"/>
    <cellStyle name="표준 9 2 2 3 3 2 2 2 2" xfId="47418"/>
    <cellStyle name="표준 9 2 2 3 3 2 2 2 3" xfId="47419"/>
    <cellStyle name="표준 9 2 2 3 3 2 2 3" xfId="47420"/>
    <cellStyle name="표준 9 2 2 3 3 2 2 4" xfId="47421"/>
    <cellStyle name="표준 9 2 2 3 3 2 3" xfId="47422"/>
    <cellStyle name="표준 9 2 2 3 3 2 3 2" xfId="47423"/>
    <cellStyle name="표준 9 2 2 3 3 2 3 3" xfId="47424"/>
    <cellStyle name="표준 9 2 2 3 3 2 4" xfId="47425"/>
    <cellStyle name="표준 9 2 2 3 3 2 5" xfId="47426"/>
    <cellStyle name="표준 9 2 2 3 3 3" xfId="47427"/>
    <cellStyle name="표준 9 2 2 3 3 3 2" xfId="47428"/>
    <cellStyle name="표준 9 2 2 3 3 3 2 2" xfId="47429"/>
    <cellStyle name="표준 9 2 2 3 3 3 2 2 2" xfId="47430"/>
    <cellStyle name="표준 9 2 2 3 3 3 2 2 3" xfId="47431"/>
    <cellStyle name="표준 9 2 2 3 3 3 2 3" xfId="47432"/>
    <cellStyle name="표준 9 2 2 3 3 3 2 4" xfId="47433"/>
    <cellStyle name="표준 9 2 2 3 3 3 3" xfId="47434"/>
    <cellStyle name="표준 9 2 2 3 3 3 3 2" xfId="47435"/>
    <cellStyle name="표준 9 2 2 3 3 3 3 3" xfId="47436"/>
    <cellStyle name="표준 9 2 2 3 3 3 4" xfId="47437"/>
    <cellStyle name="표준 9 2 2 3 3 3 5" xfId="47438"/>
    <cellStyle name="표준 9 2 2 3 3 4" xfId="47439"/>
    <cellStyle name="표준 9 2 2 3 3 4 2" xfId="47440"/>
    <cellStyle name="표준 9 2 2 3 3 4 2 2" xfId="47441"/>
    <cellStyle name="표준 9 2 2 3 3 4 2 3" xfId="47442"/>
    <cellStyle name="표준 9 2 2 3 3 4 3" xfId="47443"/>
    <cellStyle name="표준 9 2 2 3 3 4 4" xfId="47444"/>
    <cellStyle name="표준 9 2 2 3 3 5" xfId="47445"/>
    <cellStyle name="표준 9 2 2 3 3 5 2" xfId="47446"/>
    <cellStyle name="표준 9 2 2 3 3 5 3" xfId="47447"/>
    <cellStyle name="표준 9 2 2 3 3 6" xfId="47448"/>
    <cellStyle name="표준 9 2 2 3 3 7" xfId="47449"/>
    <cellStyle name="표준 9 2 2 3 4" xfId="47450"/>
    <cellStyle name="표준 9 2 2 3 4 2" xfId="47451"/>
    <cellStyle name="표준 9 2 2 3 4 2 2" xfId="47452"/>
    <cellStyle name="표준 9 2 2 3 4 2 2 2" xfId="47453"/>
    <cellStyle name="표준 9 2 2 3 4 2 2 3" xfId="47454"/>
    <cellStyle name="표준 9 2 2 3 4 2 3" xfId="47455"/>
    <cellStyle name="표준 9 2 2 3 4 2 4" xfId="47456"/>
    <cellStyle name="표준 9 2 2 3 4 3" xfId="47457"/>
    <cellStyle name="표준 9 2 2 3 4 3 2" xfId="47458"/>
    <cellStyle name="표준 9 2 2 3 4 3 3" xfId="47459"/>
    <cellStyle name="표준 9 2 2 3 4 4" xfId="47460"/>
    <cellStyle name="표준 9 2 2 3 4 5" xfId="47461"/>
    <cellStyle name="표준 9 2 2 3 5" xfId="47462"/>
    <cellStyle name="표준 9 2 2 3 5 2" xfId="47463"/>
    <cellStyle name="표준 9 2 2 3 5 2 2" xfId="47464"/>
    <cellStyle name="표준 9 2 2 3 5 2 2 2" xfId="47465"/>
    <cellStyle name="표준 9 2 2 3 5 2 2 3" xfId="47466"/>
    <cellStyle name="표준 9 2 2 3 5 2 3" xfId="47467"/>
    <cellStyle name="표준 9 2 2 3 5 2 4" xfId="47468"/>
    <cellStyle name="표준 9 2 2 3 5 3" xfId="47469"/>
    <cellStyle name="표준 9 2 2 3 5 3 2" xfId="47470"/>
    <cellStyle name="표준 9 2 2 3 5 3 3" xfId="47471"/>
    <cellStyle name="표준 9 2 2 3 5 4" xfId="47472"/>
    <cellStyle name="표준 9 2 2 3 5 5" xfId="47473"/>
    <cellStyle name="표준 9 2 2 3 6" xfId="47474"/>
    <cellStyle name="표준 9 2 2 3 6 2" xfId="47475"/>
    <cellStyle name="표준 9 2 2 3 6 2 2" xfId="47476"/>
    <cellStyle name="표준 9 2 2 3 6 2 2 2" xfId="47477"/>
    <cellStyle name="표준 9 2 2 3 6 2 2 3" xfId="47478"/>
    <cellStyle name="표준 9 2 2 3 6 2 3" xfId="47479"/>
    <cellStyle name="표준 9 2 2 3 6 2 4" xfId="47480"/>
    <cellStyle name="표준 9 2 2 3 6 3" xfId="47481"/>
    <cellStyle name="표준 9 2 2 3 6 3 2" xfId="47482"/>
    <cellStyle name="표준 9 2 2 3 6 3 3" xfId="47483"/>
    <cellStyle name="표준 9 2 2 3 6 4" xfId="47484"/>
    <cellStyle name="표준 9 2 2 3 6 5" xfId="47485"/>
    <cellStyle name="표준 9 2 2 3 7" xfId="47486"/>
    <cellStyle name="표준 9 2 2 3 7 2" xfId="47487"/>
    <cellStyle name="표준 9 2 2 3 7 2 2" xfId="47488"/>
    <cellStyle name="표준 9 2 2 3 7 2 3" xfId="47489"/>
    <cellStyle name="표준 9 2 2 3 7 3" xfId="47490"/>
    <cellStyle name="표준 9 2 2 3 7 4" xfId="47491"/>
    <cellStyle name="표준 9 2 2 3 8" xfId="47492"/>
    <cellStyle name="표준 9 2 2 3 8 2" xfId="47493"/>
    <cellStyle name="표준 9 2 2 3 8 3" xfId="47494"/>
    <cellStyle name="표준 9 2 2 3 9" xfId="47495"/>
    <cellStyle name="표준 9 2 2 4" xfId="47496"/>
    <cellStyle name="표준 9 2 2 4 10" xfId="47497"/>
    <cellStyle name="표준 9 2 2 4 2" xfId="47498"/>
    <cellStyle name="표준 9 2 2 4 2 2" xfId="47499"/>
    <cellStyle name="표준 9 2 2 4 2 2 2" xfId="47500"/>
    <cellStyle name="표준 9 2 2 4 2 2 2 2" xfId="47501"/>
    <cellStyle name="표준 9 2 2 4 2 2 2 2 2" xfId="47502"/>
    <cellStyle name="표준 9 2 2 4 2 2 2 2 3" xfId="47503"/>
    <cellStyle name="표준 9 2 2 4 2 2 2 3" xfId="47504"/>
    <cellStyle name="표준 9 2 2 4 2 2 2 4" xfId="47505"/>
    <cellStyle name="표준 9 2 2 4 2 2 3" xfId="47506"/>
    <cellStyle name="표준 9 2 2 4 2 2 3 2" xfId="47507"/>
    <cellStyle name="표준 9 2 2 4 2 2 3 3" xfId="47508"/>
    <cellStyle name="표준 9 2 2 4 2 2 4" xfId="47509"/>
    <cellStyle name="표준 9 2 2 4 2 2 5" xfId="47510"/>
    <cellStyle name="표준 9 2 2 4 2 3" xfId="47511"/>
    <cellStyle name="표준 9 2 2 4 2 3 2" xfId="47512"/>
    <cellStyle name="표준 9 2 2 4 2 3 2 2" xfId="47513"/>
    <cellStyle name="표준 9 2 2 4 2 3 2 2 2" xfId="47514"/>
    <cellStyle name="표준 9 2 2 4 2 3 2 2 3" xfId="47515"/>
    <cellStyle name="표준 9 2 2 4 2 3 2 3" xfId="47516"/>
    <cellStyle name="표준 9 2 2 4 2 3 2 4" xfId="47517"/>
    <cellStyle name="표준 9 2 2 4 2 3 3" xfId="47518"/>
    <cellStyle name="표준 9 2 2 4 2 3 3 2" xfId="47519"/>
    <cellStyle name="표준 9 2 2 4 2 3 3 3" xfId="47520"/>
    <cellStyle name="표준 9 2 2 4 2 3 4" xfId="47521"/>
    <cellStyle name="표준 9 2 2 4 2 3 5" xfId="47522"/>
    <cellStyle name="표준 9 2 2 4 2 4" xfId="47523"/>
    <cellStyle name="표준 9 2 2 4 2 4 2" xfId="47524"/>
    <cellStyle name="표준 9 2 2 4 2 4 2 2" xfId="47525"/>
    <cellStyle name="표준 9 2 2 4 2 4 2 3" xfId="47526"/>
    <cellStyle name="표준 9 2 2 4 2 4 3" xfId="47527"/>
    <cellStyle name="표준 9 2 2 4 2 4 4" xfId="47528"/>
    <cellStyle name="표준 9 2 2 4 2 5" xfId="47529"/>
    <cellStyle name="표준 9 2 2 4 2 5 2" xfId="47530"/>
    <cellStyle name="표준 9 2 2 4 2 5 3" xfId="47531"/>
    <cellStyle name="표준 9 2 2 4 2 6" xfId="47532"/>
    <cellStyle name="표준 9 2 2 4 2 7" xfId="47533"/>
    <cellStyle name="표준 9 2 2 4 3" xfId="47534"/>
    <cellStyle name="표준 9 2 2 4 3 2" xfId="47535"/>
    <cellStyle name="표준 9 2 2 4 3 2 2" xfId="47536"/>
    <cellStyle name="표준 9 2 2 4 3 2 2 2" xfId="47537"/>
    <cellStyle name="표준 9 2 2 4 3 2 2 2 2" xfId="47538"/>
    <cellStyle name="표준 9 2 2 4 3 2 2 2 3" xfId="47539"/>
    <cellStyle name="표준 9 2 2 4 3 2 2 3" xfId="47540"/>
    <cellStyle name="표준 9 2 2 4 3 2 2 4" xfId="47541"/>
    <cellStyle name="표준 9 2 2 4 3 2 3" xfId="47542"/>
    <cellStyle name="표준 9 2 2 4 3 2 3 2" xfId="47543"/>
    <cellStyle name="표준 9 2 2 4 3 2 3 3" xfId="47544"/>
    <cellStyle name="표준 9 2 2 4 3 2 4" xfId="47545"/>
    <cellStyle name="표준 9 2 2 4 3 2 5" xfId="47546"/>
    <cellStyle name="표준 9 2 2 4 3 3" xfId="47547"/>
    <cellStyle name="표준 9 2 2 4 3 3 2" xfId="47548"/>
    <cellStyle name="표준 9 2 2 4 3 3 2 2" xfId="47549"/>
    <cellStyle name="표준 9 2 2 4 3 3 2 2 2" xfId="47550"/>
    <cellStyle name="표준 9 2 2 4 3 3 2 2 3" xfId="47551"/>
    <cellStyle name="표준 9 2 2 4 3 3 2 3" xfId="47552"/>
    <cellStyle name="표준 9 2 2 4 3 3 2 4" xfId="47553"/>
    <cellStyle name="표준 9 2 2 4 3 3 3" xfId="47554"/>
    <cellStyle name="표준 9 2 2 4 3 3 3 2" xfId="47555"/>
    <cellStyle name="표준 9 2 2 4 3 3 3 3" xfId="47556"/>
    <cellStyle name="표준 9 2 2 4 3 3 4" xfId="47557"/>
    <cellStyle name="표준 9 2 2 4 3 3 5" xfId="47558"/>
    <cellStyle name="표준 9 2 2 4 3 4" xfId="47559"/>
    <cellStyle name="표준 9 2 2 4 3 4 2" xfId="47560"/>
    <cellStyle name="표준 9 2 2 4 3 4 2 2" xfId="47561"/>
    <cellStyle name="표준 9 2 2 4 3 4 2 3" xfId="47562"/>
    <cellStyle name="표준 9 2 2 4 3 4 3" xfId="47563"/>
    <cellStyle name="표준 9 2 2 4 3 4 4" xfId="47564"/>
    <cellStyle name="표준 9 2 2 4 3 5" xfId="47565"/>
    <cellStyle name="표준 9 2 2 4 3 5 2" xfId="47566"/>
    <cellStyle name="표준 9 2 2 4 3 5 3" xfId="47567"/>
    <cellStyle name="표준 9 2 2 4 3 6" xfId="47568"/>
    <cellStyle name="표준 9 2 2 4 3 7" xfId="47569"/>
    <cellStyle name="표준 9 2 2 4 4" xfId="47570"/>
    <cellStyle name="표준 9 2 2 4 4 2" xfId="47571"/>
    <cellStyle name="표준 9 2 2 4 4 2 2" xfId="47572"/>
    <cellStyle name="표준 9 2 2 4 4 2 2 2" xfId="47573"/>
    <cellStyle name="표준 9 2 2 4 4 2 2 3" xfId="47574"/>
    <cellStyle name="표준 9 2 2 4 4 2 3" xfId="47575"/>
    <cellStyle name="표준 9 2 2 4 4 2 4" xfId="47576"/>
    <cellStyle name="표준 9 2 2 4 4 3" xfId="47577"/>
    <cellStyle name="표준 9 2 2 4 4 3 2" xfId="47578"/>
    <cellStyle name="표준 9 2 2 4 4 3 3" xfId="47579"/>
    <cellStyle name="표준 9 2 2 4 4 4" xfId="47580"/>
    <cellStyle name="표준 9 2 2 4 4 5" xfId="47581"/>
    <cellStyle name="표준 9 2 2 4 5" xfId="47582"/>
    <cellStyle name="표준 9 2 2 4 5 2" xfId="47583"/>
    <cellStyle name="표준 9 2 2 4 5 2 2" xfId="47584"/>
    <cellStyle name="표준 9 2 2 4 5 2 2 2" xfId="47585"/>
    <cellStyle name="표준 9 2 2 4 5 2 2 3" xfId="47586"/>
    <cellStyle name="표준 9 2 2 4 5 2 3" xfId="47587"/>
    <cellStyle name="표준 9 2 2 4 5 2 4" xfId="47588"/>
    <cellStyle name="표준 9 2 2 4 5 3" xfId="47589"/>
    <cellStyle name="표준 9 2 2 4 5 3 2" xfId="47590"/>
    <cellStyle name="표준 9 2 2 4 5 3 3" xfId="47591"/>
    <cellStyle name="표준 9 2 2 4 5 4" xfId="47592"/>
    <cellStyle name="표준 9 2 2 4 5 5" xfId="47593"/>
    <cellStyle name="표준 9 2 2 4 6" xfId="47594"/>
    <cellStyle name="표준 9 2 2 4 6 2" xfId="47595"/>
    <cellStyle name="표준 9 2 2 4 6 2 2" xfId="47596"/>
    <cellStyle name="표준 9 2 2 4 6 2 2 2" xfId="47597"/>
    <cellStyle name="표준 9 2 2 4 6 2 2 3" xfId="47598"/>
    <cellStyle name="표준 9 2 2 4 6 2 3" xfId="47599"/>
    <cellStyle name="표준 9 2 2 4 6 2 4" xfId="47600"/>
    <cellStyle name="표준 9 2 2 4 6 3" xfId="47601"/>
    <cellStyle name="표준 9 2 2 4 6 3 2" xfId="47602"/>
    <cellStyle name="표준 9 2 2 4 6 3 3" xfId="47603"/>
    <cellStyle name="표준 9 2 2 4 6 4" xfId="47604"/>
    <cellStyle name="표준 9 2 2 4 6 5" xfId="47605"/>
    <cellStyle name="표준 9 2 2 4 7" xfId="47606"/>
    <cellStyle name="표준 9 2 2 4 7 2" xfId="47607"/>
    <cellStyle name="표준 9 2 2 4 7 2 2" xfId="47608"/>
    <cellStyle name="표준 9 2 2 4 7 2 3" xfId="47609"/>
    <cellStyle name="표준 9 2 2 4 7 3" xfId="47610"/>
    <cellStyle name="표준 9 2 2 4 7 4" xfId="47611"/>
    <cellStyle name="표준 9 2 2 4 8" xfId="47612"/>
    <cellStyle name="표준 9 2 2 4 8 2" xfId="47613"/>
    <cellStyle name="표준 9 2 2 4 8 3" xfId="47614"/>
    <cellStyle name="표준 9 2 2 4 9" xfId="47615"/>
    <cellStyle name="표준 9 2 2 5" xfId="47616"/>
    <cellStyle name="표준 9 2 2 5 2" xfId="47617"/>
    <cellStyle name="표준 9 2 2 5 2 2" xfId="47618"/>
    <cellStyle name="표준 9 2 2 5 2 2 2" xfId="47619"/>
    <cellStyle name="표준 9 2 2 5 2 2 2 2" xfId="47620"/>
    <cellStyle name="표준 9 2 2 5 2 2 2 3" xfId="47621"/>
    <cellStyle name="표준 9 2 2 5 2 2 3" xfId="47622"/>
    <cellStyle name="표준 9 2 2 5 2 2 4" xfId="47623"/>
    <cellStyle name="표준 9 2 2 5 2 3" xfId="47624"/>
    <cellStyle name="표준 9 2 2 5 2 3 2" xfId="47625"/>
    <cellStyle name="표준 9 2 2 5 2 3 3" xfId="47626"/>
    <cellStyle name="표준 9 2 2 5 2 4" xfId="47627"/>
    <cellStyle name="표준 9 2 2 5 2 5" xfId="47628"/>
    <cellStyle name="표준 9 2 2 5 3" xfId="47629"/>
    <cellStyle name="표준 9 2 2 5 3 2" xfId="47630"/>
    <cellStyle name="표준 9 2 2 5 3 2 2" xfId="47631"/>
    <cellStyle name="표준 9 2 2 5 3 2 2 2" xfId="47632"/>
    <cellStyle name="표준 9 2 2 5 3 2 2 3" xfId="47633"/>
    <cellStyle name="표준 9 2 2 5 3 2 3" xfId="47634"/>
    <cellStyle name="표준 9 2 2 5 3 2 4" xfId="47635"/>
    <cellStyle name="표준 9 2 2 5 3 3" xfId="47636"/>
    <cellStyle name="표준 9 2 2 5 3 3 2" xfId="47637"/>
    <cellStyle name="표준 9 2 2 5 3 3 3" xfId="47638"/>
    <cellStyle name="표준 9 2 2 5 3 4" xfId="47639"/>
    <cellStyle name="표준 9 2 2 5 3 5" xfId="47640"/>
    <cellStyle name="표준 9 2 2 5 4" xfId="47641"/>
    <cellStyle name="표준 9 2 2 5 4 2" xfId="47642"/>
    <cellStyle name="표준 9 2 2 5 4 2 2" xfId="47643"/>
    <cellStyle name="표준 9 2 2 5 4 2 3" xfId="47644"/>
    <cellStyle name="표준 9 2 2 5 4 3" xfId="47645"/>
    <cellStyle name="표준 9 2 2 5 4 4" xfId="47646"/>
    <cellStyle name="표준 9 2 2 5 5" xfId="47647"/>
    <cellStyle name="표준 9 2 2 5 5 2" xfId="47648"/>
    <cellStyle name="표준 9 2 2 5 5 3" xfId="47649"/>
    <cellStyle name="표준 9 2 2 5 6" xfId="47650"/>
    <cellStyle name="표준 9 2 2 5 7" xfId="47651"/>
    <cellStyle name="표준 9 2 2 6" xfId="47652"/>
    <cellStyle name="표준 9 2 2 6 2" xfId="47653"/>
    <cellStyle name="표준 9 2 2 6 2 2" xfId="47654"/>
    <cellStyle name="표준 9 2 2 6 2 2 2" xfId="47655"/>
    <cellStyle name="표준 9 2 2 6 2 2 2 2" xfId="47656"/>
    <cellStyle name="표준 9 2 2 6 2 2 2 3" xfId="47657"/>
    <cellStyle name="표준 9 2 2 6 2 2 3" xfId="47658"/>
    <cellStyle name="표준 9 2 2 6 2 2 4" xfId="47659"/>
    <cellStyle name="표준 9 2 2 6 2 3" xfId="47660"/>
    <cellStyle name="표준 9 2 2 6 2 3 2" xfId="47661"/>
    <cellStyle name="표준 9 2 2 6 2 3 3" xfId="47662"/>
    <cellStyle name="표준 9 2 2 6 2 4" xfId="47663"/>
    <cellStyle name="표준 9 2 2 6 2 5" xfId="47664"/>
    <cellStyle name="표준 9 2 2 6 3" xfId="47665"/>
    <cellStyle name="표준 9 2 2 6 3 2" xfId="47666"/>
    <cellStyle name="표준 9 2 2 6 3 2 2" xfId="47667"/>
    <cellStyle name="표준 9 2 2 6 3 2 2 2" xfId="47668"/>
    <cellStyle name="표준 9 2 2 6 3 2 2 3" xfId="47669"/>
    <cellStyle name="표준 9 2 2 6 3 2 3" xfId="47670"/>
    <cellStyle name="표준 9 2 2 6 3 2 4" xfId="47671"/>
    <cellStyle name="표준 9 2 2 6 3 3" xfId="47672"/>
    <cellStyle name="표준 9 2 2 6 3 3 2" xfId="47673"/>
    <cellStyle name="표준 9 2 2 6 3 3 3" xfId="47674"/>
    <cellStyle name="표준 9 2 2 6 3 4" xfId="47675"/>
    <cellStyle name="표준 9 2 2 6 3 5" xfId="47676"/>
    <cellStyle name="표준 9 2 2 6 4" xfId="47677"/>
    <cellStyle name="표준 9 2 2 6 4 2" xfId="47678"/>
    <cellStyle name="표준 9 2 2 6 4 2 2" xfId="47679"/>
    <cellStyle name="표준 9 2 2 6 4 2 3" xfId="47680"/>
    <cellStyle name="표준 9 2 2 6 4 3" xfId="47681"/>
    <cellStyle name="표준 9 2 2 6 4 4" xfId="47682"/>
    <cellStyle name="표준 9 2 2 6 5" xfId="47683"/>
    <cellStyle name="표준 9 2 2 6 5 2" xfId="47684"/>
    <cellStyle name="표준 9 2 2 6 5 3" xfId="47685"/>
    <cellStyle name="표준 9 2 2 6 6" xfId="47686"/>
    <cellStyle name="표준 9 2 2 6 7" xfId="47687"/>
    <cellStyle name="표준 9 2 2 7" xfId="47688"/>
    <cellStyle name="표준 9 2 2 7 2" xfId="47689"/>
    <cellStyle name="표준 9 2 2 7 2 2" xfId="47690"/>
    <cellStyle name="표준 9 2 2 7 2 2 2" xfId="47691"/>
    <cellStyle name="표준 9 2 2 7 2 2 3" xfId="47692"/>
    <cellStyle name="표준 9 2 2 7 2 3" xfId="47693"/>
    <cellStyle name="표준 9 2 2 7 2 4" xfId="47694"/>
    <cellStyle name="표준 9 2 2 7 3" xfId="47695"/>
    <cellStyle name="표준 9 2 2 7 3 2" xfId="47696"/>
    <cellStyle name="표준 9 2 2 7 3 3" xfId="47697"/>
    <cellStyle name="표준 9 2 2 7 4" xfId="47698"/>
    <cellStyle name="표준 9 2 2 7 5" xfId="47699"/>
    <cellStyle name="표준 9 2 2 8" xfId="47700"/>
    <cellStyle name="표준 9 2 2 8 2" xfId="47701"/>
    <cellStyle name="표준 9 2 2 8 2 2" xfId="47702"/>
    <cellStyle name="표준 9 2 2 8 2 2 2" xfId="47703"/>
    <cellStyle name="표준 9 2 2 8 2 2 3" xfId="47704"/>
    <cellStyle name="표준 9 2 2 8 2 3" xfId="47705"/>
    <cellStyle name="표준 9 2 2 8 2 4" xfId="47706"/>
    <cellStyle name="표준 9 2 2 8 3" xfId="47707"/>
    <cellStyle name="표준 9 2 2 8 3 2" xfId="47708"/>
    <cellStyle name="표준 9 2 2 8 3 3" xfId="47709"/>
    <cellStyle name="표준 9 2 2 8 4" xfId="47710"/>
    <cellStyle name="표준 9 2 2 8 5" xfId="47711"/>
    <cellStyle name="표준 9 2 2 9" xfId="47712"/>
    <cellStyle name="표준 9 2 2 9 2" xfId="47713"/>
    <cellStyle name="표준 9 2 2 9 2 2" xfId="47714"/>
    <cellStyle name="표준 9 2 2 9 2 2 2" xfId="47715"/>
    <cellStyle name="표준 9 2 2 9 2 2 3" xfId="47716"/>
    <cellStyle name="표준 9 2 2 9 2 3" xfId="47717"/>
    <cellStyle name="표준 9 2 2 9 2 4" xfId="47718"/>
    <cellStyle name="표준 9 2 2 9 3" xfId="47719"/>
    <cellStyle name="표준 9 2 2 9 3 2" xfId="47720"/>
    <cellStyle name="표준 9 2 2 9 3 3" xfId="47721"/>
    <cellStyle name="표준 9 2 2 9 4" xfId="47722"/>
    <cellStyle name="표준 9 2 2 9 5" xfId="47723"/>
    <cellStyle name="표준 9 2 3" xfId="47724"/>
    <cellStyle name="표준 9 2 3 10" xfId="47725"/>
    <cellStyle name="표준 9 2 3 2" xfId="47726"/>
    <cellStyle name="표준 9 2 3 2 2" xfId="47727"/>
    <cellStyle name="표준 9 2 3 2 2 2" xfId="47728"/>
    <cellStyle name="표준 9 2 3 2 2 2 2" xfId="47729"/>
    <cellStyle name="표준 9 2 3 2 2 2 2 2" xfId="47730"/>
    <cellStyle name="표준 9 2 3 2 2 2 2 3" xfId="47731"/>
    <cellStyle name="표준 9 2 3 2 2 2 3" xfId="47732"/>
    <cellStyle name="표준 9 2 3 2 2 2 4" xfId="47733"/>
    <cellStyle name="표준 9 2 3 2 2 3" xfId="47734"/>
    <cellStyle name="표준 9 2 3 2 2 3 2" xfId="47735"/>
    <cellStyle name="표준 9 2 3 2 2 3 3" xfId="47736"/>
    <cellStyle name="표준 9 2 3 2 2 4" xfId="47737"/>
    <cellStyle name="표준 9 2 3 2 2 5" xfId="47738"/>
    <cellStyle name="표준 9 2 3 2 3" xfId="47739"/>
    <cellStyle name="표준 9 2 3 2 3 2" xfId="47740"/>
    <cellStyle name="표준 9 2 3 2 3 2 2" xfId="47741"/>
    <cellStyle name="표준 9 2 3 2 3 2 2 2" xfId="47742"/>
    <cellStyle name="표준 9 2 3 2 3 2 2 3" xfId="47743"/>
    <cellStyle name="표준 9 2 3 2 3 2 3" xfId="47744"/>
    <cellStyle name="표준 9 2 3 2 3 2 4" xfId="47745"/>
    <cellStyle name="표준 9 2 3 2 3 3" xfId="47746"/>
    <cellStyle name="표준 9 2 3 2 3 3 2" xfId="47747"/>
    <cellStyle name="표준 9 2 3 2 3 3 3" xfId="47748"/>
    <cellStyle name="표준 9 2 3 2 3 4" xfId="47749"/>
    <cellStyle name="표준 9 2 3 2 3 5" xfId="47750"/>
    <cellStyle name="표준 9 2 3 2 4" xfId="47751"/>
    <cellStyle name="표준 9 2 3 2 4 2" xfId="47752"/>
    <cellStyle name="표준 9 2 3 2 4 2 2" xfId="47753"/>
    <cellStyle name="표준 9 2 3 2 4 2 3" xfId="47754"/>
    <cellStyle name="표준 9 2 3 2 4 3" xfId="47755"/>
    <cellStyle name="표준 9 2 3 2 4 4" xfId="47756"/>
    <cellStyle name="표준 9 2 3 2 5" xfId="47757"/>
    <cellStyle name="표준 9 2 3 2 5 2" xfId="47758"/>
    <cellStyle name="표준 9 2 3 2 5 3" xfId="47759"/>
    <cellStyle name="표준 9 2 3 2 6" xfId="47760"/>
    <cellStyle name="표준 9 2 3 2 7" xfId="47761"/>
    <cellStyle name="표준 9 2 3 3" xfId="47762"/>
    <cellStyle name="표준 9 2 3 3 2" xfId="47763"/>
    <cellStyle name="표준 9 2 3 3 2 2" xfId="47764"/>
    <cellStyle name="표준 9 2 3 3 2 2 2" xfId="47765"/>
    <cellStyle name="표준 9 2 3 3 2 2 2 2" xfId="47766"/>
    <cellStyle name="표준 9 2 3 3 2 2 2 3" xfId="47767"/>
    <cellStyle name="표준 9 2 3 3 2 2 3" xfId="47768"/>
    <cellStyle name="표준 9 2 3 3 2 2 4" xfId="47769"/>
    <cellStyle name="표준 9 2 3 3 2 3" xfId="47770"/>
    <cellStyle name="표준 9 2 3 3 2 3 2" xfId="47771"/>
    <cellStyle name="표준 9 2 3 3 2 3 3" xfId="47772"/>
    <cellStyle name="표준 9 2 3 3 2 4" xfId="47773"/>
    <cellStyle name="표준 9 2 3 3 2 5" xfId="47774"/>
    <cellStyle name="표준 9 2 3 3 3" xfId="47775"/>
    <cellStyle name="표준 9 2 3 3 3 2" xfId="47776"/>
    <cellStyle name="표준 9 2 3 3 3 2 2" xfId="47777"/>
    <cellStyle name="표준 9 2 3 3 3 2 2 2" xfId="47778"/>
    <cellStyle name="표준 9 2 3 3 3 2 2 3" xfId="47779"/>
    <cellStyle name="표준 9 2 3 3 3 2 3" xfId="47780"/>
    <cellStyle name="표준 9 2 3 3 3 2 4" xfId="47781"/>
    <cellStyle name="표준 9 2 3 3 3 3" xfId="47782"/>
    <cellStyle name="표준 9 2 3 3 3 3 2" xfId="47783"/>
    <cellStyle name="표준 9 2 3 3 3 3 3" xfId="47784"/>
    <cellStyle name="표준 9 2 3 3 3 4" xfId="47785"/>
    <cellStyle name="표준 9 2 3 3 3 5" xfId="47786"/>
    <cellStyle name="표준 9 2 3 3 4" xfId="47787"/>
    <cellStyle name="표준 9 2 3 3 4 2" xfId="47788"/>
    <cellStyle name="표준 9 2 3 3 4 2 2" xfId="47789"/>
    <cellStyle name="표준 9 2 3 3 4 2 3" xfId="47790"/>
    <cellStyle name="표준 9 2 3 3 4 3" xfId="47791"/>
    <cellStyle name="표준 9 2 3 3 4 4" xfId="47792"/>
    <cellStyle name="표준 9 2 3 3 5" xfId="47793"/>
    <cellStyle name="표준 9 2 3 3 5 2" xfId="47794"/>
    <cellStyle name="표준 9 2 3 3 5 3" xfId="47795"/>
    <cellStyle name="표준 9 2 3 3 6" xfId="47796"/>
    <cellStyle name="표준 9 2 3 3 7" xfId="47797"/>
    <cellStyle name="표준 9 2 3 4" xfId="47798"/>
    <cellStyle name="표준 9 2 3 4 2" xfId="47799"/>
    <cellStyle name="표준 9 2 3 4 2 2" xfId="47800"/>
    <cellStyle name="표준 9 2 3 4 2 2 2" xfId="47801"/>
    <cellStyle name="표준 9 2 3 4 2 2 3" xfId="47802"/>
    <cellStyle name="표준 9 2 3 4 2 3" xfId="47803"/>
    <cellStyle name="표준 9 2 3 4 2 4" xfId="47804"/>
    <cellStyle name="표준 9 2 3 4 3" xfId="47805"/>
    <cellStyle name="표준 9 2 3 4 3 2" xfId="47806"/>
    <cellStyle name="표준 9 2 3 4 3 3" xfId="47807"/>
    <cellStyle name="표준 9 2 3 4 4" xfId="47808"/>
    <cellStyle name="표준 9 2 3 4 5" xfId="47809"/>
    <cellStyle name="표준 9 2 3 5" xfId="47810"/>
    <cellStyle name="표준 9 2 3 5 2" xfId="47811"/>
    <cellStyle name="표준 9 2 3 5 2 2" xfId="47812"/>
    <cellStyle name="표준 9 2 3 5 2 2 2" xfId="47813"/>
    <cellStyle name="표준 9 2 3 5 2 2 3" xfId="47814"/>
    <cellStyle name="표준 9 2 3 5 2 3" xfId="47815"/>
    <cellStyle name="표준 9 2 3 5 2 4" xfId="47816"/>
    <cellStyle name="표준 9 2 3 5 3" xfId="47817"/>
    <cellStyle name="표준 9 2 3 5 3 2" xfId="47818"/>
    <cellStyle name="표준 9 2 3 5 3 3" xfId="47819"/>
    <cellStyle name="표준 9 2 3 5 4" xfId="47820"/>
    <cellStyle name="표준 9 2 3 5 5" xfId="47821"/>
    <cellStyle name="표준 9 2 3 6" xfId="47822"/>
    <cellStyle name="표준 9 2 3 6 2" xfId="47823"/>
    <cellStyle name="표준 9 2 3 6 2 2" xfId="47824"/>
    <cellStyle name="표준 9 2 3 6 2 2 2" xfId="47825"/>
    <cellStyle name="표준 9 2 3 6 2 2 3" xfId="47826"/>
    <cellStyle name="표준 9 2 3 6 2 3" xfId="47827"/>
    <cellStyle name="표준 9 2 3 6 2 4" xfId="47828"/>
    <cellStyle name="표준 9 2 3 6 3" xfId="47829"/>
    <cellStyle name="표준 9 2 3 6 3 2" xfId="47830"/>
    <cellStyle name="표준 9 2 3 6 3 3" xfId="47831"/>
    <cellStyle name="표준 9 2 3 6 4" xfId="47832"/>
    <cellStyle name="표준 9 2 3 6 5" xfId="47833"/>
    <cellStyle name="표준 9 2 3 7" xfId="47834"/>
    <cellStyle name="표준 9 2 3 7 2" xfId="47835"/>
    <cellStyle name="표준 9 2 3 7 2 2" xfId="47836"/>
    <cellStyle name="표준 9 2 3 7 2 3" xfId="47837"/>
    <cellStyle name="표준 9 2 3 7 3" xfId="47838"/>
    <cellStyle name="표준 9 2 3 7 4" xfId="47839"/>
    <cellStyle name="표준 9 2 3 8" xfId="47840"/>
    <cellStyle name="표준 9 2 3 8 2" xfId="47841"/>
    <cellStyle name="표준 9 2 3 8 3" xfId="47842"/>
    <cellStyle name="표준 9 2 3 9" xfId="47843"/>
    <cellStyle name="표준 9 2 4" xfId="47844"/>
    <cellStyle name="표준 9 2 4 10" xfId="47845"/>
    <cellStyle name="표준 9 2 4 2" xfId="47846"/>
    <cellStyle name="표준 9 2 4 2 2" xfId="47847"/>
    <cellStyle name="표준 9 2 4 2 2 2" xfId="47848"/>
    <cellStyle name="표준 9 2 4 2 2 2 2" xfId="47849"/>
    <cellStyle name="표준 9 2 4 2 2 2 2 2" xfId="47850"/>
    <cellStyle name="표준 9 2 4 2 2 2 2 3" xfId="47851"/>
    <cellStyle name="표준 9 2 4 2 2 2 3" xfId="47852"/>
    <cellStyle name="표준 9 2 4 2 2 2 4" xfId="47853"/>
    <cellStyle name="표준 9 2 4 2 2 3" xfId="47854"/>
    <cellStyle name="표준 9 2 4 2 2 3 2" xfId="47855"/>
    <cellStyle name="표준 9 2 4 2 2 3 3" xfId="47856"/>
    <cellStyle name="표준 9 2 4 2 2 4" xfId="47857"/>
    <cellStyle name="표준 9 2 4 2 2 5" xfId="47858"/>
    <cellStyle name="표준 9 2 4 2 3" xfId="47859"/>
    <cellStyle name="표준 9 2 4 2 3 2" xfId="47860"/>
    <cellStyle name="표준 9 2 4 2 3 2 2" xfId="47861"/>
    <cellStyle name="표준 9 2 4 2 3 2 2 2" xfId="47862"/>
    <cellStyle name="표준 9 2 4 2 3 2 2 3" xfId="47863"/>
    <cellStyle name="표준 9 2 4 2 3 2 3" xfId="47864"/>
    <cellStyle name="표준 9 2 4 2 3 2 4" xfId="47865"/>
    <cellStyle name="표준 9 2 4 2 3 3" xfId="47866"/>
    <cellStyle name="표준 9 2 4 2 3 3 2" xfId="47867"/>
    <cellStyle name="표준 9 2 4 2 3 3 3" xfId="47868"/>
    <cellStyle name="표준 9 2 4 2 3 4" xfId="47869"/>
    <cellStyle name="표준 9 2 4 2 3 5" xfId="47870"/>
    <cellStyle name="표준 9 2 4 2 4" xfId="47871"/>
    <cellStyle name="표준 9 2 4 2 4 2" xfId="47872"/>
    <cellStyle name="표준 9 2 4 2 4 2 2" xfId="47873"/>
    <cellStyle name="표준 9 2 4 2 4 2 3" xfId="47874"/>
    <cellStyle name="표준 9 2 4 2 4 3" xfId="47875"/>
    <cellStyle name="표준 9 2 4 2 4 4" xfId="47876"/>
    <cellStyle name="표준 9 2 4 2 5" xfId="47877"/>
    <cellStyle name="표준 9 2 4 2 5 2" xfId="47878"/>
    <cellStyle name="표준 9 2 4 2 5 3" xfId="47879"/>
    <cellStyle name="표준 9 2 4 2 6" xfId="47880"/>
    <cellStyle name="표준 9 2 4 2 7" xfId="47881"/>
    <cellStyle name="표준 9 2 4 3" xfId="47882"/>
    <cellStyle name="표준 9 2 4 3 2" xfId="47883"/>
    <cellStyle name="표준 9 2 4 3 2 2" xfId="47884"/>
    <cellStyle name="표준 9 2 4 3 2 2 2" xfId="47885"/>
    <cellStyle name="표준 9 2 4 3 2 2 2 2" xfId="47886"/>
    <cellStyle name="표준 9 2 4 3 2 2 2 3" xfId="47887"/>
    <cellStyle name="표준 9 2 4 3 2 2 3" xfId="47888"/>
    <cellStyle name="표준 9 2 4 3 2 2 4" xfId="47889"/>
    <cellStyle name="표준 9 2 4 3 2 3" xfId="47890"/>
    <cellStyle name="표준 9 2 4 3 2 3 2" xfId="47891"/>
    <cellStyle name="표준 9 2 4 3 2 3 3" xfId="47892"/>
    <cellStyle name="표준 9 2 4 3 2 4" xfId="47893"/>
    <cellStyle name="표준 9 2 4 3 2 5" xfId="47894"/>
    <cellStyle name="표준 9 2 4 3 3" xfId="47895"/>
    <cellStyle name="표준 9 2 4 3 3 2" xfId="47896"/>
    <cellStyle name="표준 9 2 4 3 3 2 2" xfId="47897"/>
    <cellStyle name="표준 9 2 4 3 3 2 2 2" xfId="47898"/>
    <cellStyle name="표준 9 2 4 3 3 2 2 3" xfId="47899"/>
    <cellStyle name="표준 9 2 4 3 3 2 3" xfId="47900"/>
    <cellStyle name="표준 9 2 4 3 3 2 4" xfId="47901"/>
    <cellStyle name="표준 9 2 4 3 3 3" xfId="47902"/>
    <cellStyle name="표준 9 2 4 3 3 3 2" xfId="47903"/>
    <cellStyle name="표준 9 2 4 3 3 3 3" xfId="47904"/>
    <cellStyle name="표준 9 2 4 3 3 4" xfId="47905"/>
    <cellStyle name="표준 9 2 4 3 3 5" xfId="47906"/>
    <cellStyle name="표준 9 2 4 3 4" xfId="47907"/>
    <cellStyle name="표준 9 2 4 3 4 2" xfId="47908"/>
    <cellStyle name="표준 9 2 4 3 4 2 2" xfId="47909"/>
    <cellStyle name="표준 9 2 4 3 4 2 3" xfId="47910"/>
    <cellStyle name="표준 9 2 4 3 4 3" xfId="47911"/>
    <cellStyle name="표준 9 2 4 3 4 4" xfId="47912"/>
    <cellStyle name="표준 9 2 4 3 5" xfId="47913"/>
    <cellStyle name="표준 9 2 4 3 5 2" xfId="47914"/>
    <cellStyle name="표준 9 2 4 3 5 3" xfId="47915"/>
    <cellStyle name="표준 9 2 4 3 6" xfId="47916"/>
    <cellStyle name="표준 9 2 4 3 7" xfId="47917"/>
    <cellStyle name="표준 9 2 4 4" xfId="47918"/>
    <cellStyle name="표준 9 2 4 4 2" xfId="47919"/>
    <cellStyle name="표준 9 2 4 4 2 2" xfId="47920"/>
    <cellStyle name="표준 9 2 4 4 2 2 2" xfId="47921"/>
    <cellStyle name="표준 9 2 4 4 2 2 3" xfId="47922"/>
    <cellStyle name="표준 9 2 4 4 2 3" xfId="47923"/>
    <cellStyle name="표준 9 2 4 4 2 4" xfId="47924"/>
    <cellStyle name="표준 9 2 4 4 3" xfId="47925"/>
    <cellStyle name="표준 9 2 4 4 3 2" xfId="47926"/>
    <cellStyle name="표준 9 2 4 4 3 3" xfId="47927"/>
    <cellStyle name="표준 9 2 4 4 4" xfId="47928"/>
    <cellStyle name="표준 9 2 4 4 5" xfId="47929"/>
    <cellStyle name="표준 9 2 4 5" xfId="47930"/>
    <cellStyle name="표준 9 2 4 5 2" xfId="47931"/>
    <cellStyle name="표준 9 2 4 5 2 2" xfId="47932"/>
    <cellStyle name="표준 9 2 4 5 2 2 2" xfId="47933"/>
    <cellStyle name="표준 9 2 4 5 2 2 3" xfId="47934"/>
    <cellStyle name="표준 9 2 4 5 2 3" xfId="47935"/>
    <cellStyle name="표준 9 2 4 5 2 4" xfId="47936"/>
    <cellStyle name="표준 9 2 4 5 3" xfId="47937"/>
    <cellStyle name="표준 9 2 4 5 3 2" xfId="47938"/>
    <cellStyle name="표준 9 2 4 5 3 3" xfId="47939"/>
    <cellStyle name="표준 9 2 4 5 4" xfId="47940"/>
    <cellStyle name="표준 9 2 4 5 5" xfId="47941"/>
    <cellStyle name="표준 9 2 4 6" xfId="47942"/>
    <cellStyle name="표준 9 2 4 6 2" xfId="47943"/>
    <cellStyle name="표준 9 2 4 6 2 2" xfId="47944"/>
    <cellStyle name="표준 9 2 4 6 2 2 2" xfId="47945"/>
    <cellStyle name="표준 9 2 4 6 2 2 3" xfId="47946"/>
    <cellStyle name="표준 9 2 4 6 2 3" xfId="47947"/>
    <cellStyle name="표준 9 2 4 6 2 4" xfId="47948"/>
    <cellStyle name="표준 9 2 4 6 3" xfId="47949"/>
    <cellStyle name="표준 9 2 4 6 3 2" xfId="47950"/>
    <cellStyle name="표준 9 2 4 6 3 3" xfId="47951"/>
    <cellStyle name="표준 9 2 4 6 4" xfId="47952"/>
    <cellStyle name="표준 9 2 4 6 5" xfId="47953"/>
    <cellStyle name="표준 9 2 4 7" xfId="47954"/>
    <cellStyle name="표준 9 2 4 7 2" xfId="47955"/>
    <cellStyle name="표준 9 2 4 7 2 2" xfId="47956"/>
    <cellStyle name="표준 9 2 4 7 2 3" xfId="47957"/>
    <cellStyle name="표준 9 2 4 7 3" xfId="47958"/>
    <cellStyle name="표준 9 2 4 7 4" xfId="47959"/>
    <cellStyle name="표준 9 2 4 8" xfId="47960"/>
    <cellStyle name="표준 9 2 4 8 2" xfId="47961"/>
    <cellStyle name="표준 9 2 4 8 3" xfId="47962"/>
    <cellStyle name="표준 9 2 4 9" xfId="47963"/>
    <cellStyle name="표준 9 2 5" xfId="47964"/>
    <cellStyle name="표준 9 2 5 10" xfId="47965"/>
    <cellStyle name="표준 9 2 5 2" xfId="47966"/>
    <cellStyle name="표준 9 2 5 2 2" xfId="47967"/>
    <cellStyle name="표준 9 2 5 2 2 2" xfId="47968"/>
    <cellStyle name="표준 9 2 5 2 2 2 2" xfId="47969"/>
    <cellStyle name="표준 9 2 5 2 2 2 2 2" xfId="47970"/>
    <cellStyle name="표준 9 2 5 2 2 2 2 3" xfId="47971"/>
    <cellStyle name="표준 9 2 5 2 2 2 3" xfId="47972"/>
    <cellStyle name="표준 9 2 5 2 2 2 4" xfId="47973"/>
    <cellStyle name="표준 9 2 5 2 2 3" xfId="47974"/>
    <cellStyle name="표준 9 2 5 2 2 3 2" xfId="47975"/>
    <cellStyle name="표준 9 2 5 2 2 3 3" xfId="47976"/>
    <cellStyle name="표준 9 2 5 2 2 4" xfId="47977"/>
    <cellStyle name="표준 9 2 5 2 2 5" xfId="47978"/>
    <cellStyle name="표준 9 2 5 2 3" xfId="47979"/>
    <cellStyle name="표준 9 2 5 2 3 2" xfId="47980"/>
    <cellStyle name="표준 9 2 5 2 3 2 2" xfId="47981"/>
    <cellStyle name="표준 9 2 5 2 3 2 2 2" xfId="47982"/>
    <cellStyle name="표준 9 2 5 2 3 2 2 3" xfId="47983"/>
    <cellStyle name="표준 9 2 5 2 3 2 3" xfId="47984"/>
    <cellStyle name="표준 9 2 5 2 3 2 4" xfId="47985"/>
    <cellStyle name="표준 9 2 5 2 3 3" xfId="47986"/>
    <cellStyle name="표준 9 2 5 2 3 3 2" xfId="47987"/>
    <cellStyle name="표준 9 2 5 2 3 3 3" xfId="47988"/>
    <cellStyle name="표준 9 2 5 2 3 4" xfId="47989"/>
    <cellStyle name="표준 9 2 5 2 3 5" xfId="47990"/>
    <cellStyle name="표준 9 2 5 2 4" xfId="47991"/>
    <cellStyle name="표준 9 2 5 2 4 2" xfId="47992"/>
    <cellStyle name="표준 9 2 5 2 4 2 2" xfId="47993"/>
    <cellStyle name="표준 9 2 5 2 4 2 3" xfId="47994"/>
    <cellStyle name="표준 9 2 5 2 4 3" xfId="47995"/>
    <cellStyle name="표준 9 2 5 2 4 4" xfId="47996"/>
    <cellStyle name="표준 9 2 5 2 5" xfId="47997"/>
    <cellStyle name="표준 9 2 5 2 5 2" xfId="47998"/>
    <cellStyle name="표준 9 2 5 2 5 3" xfId="47999"/>
    <cellStyle name="표준 9 2 5 2 6" xfId="48000"/>
    <cellStyle name="표준 9 2 5 2 7" xfId="48001"/>
    <cellStyle name="표준 9 2 5 3" xfId="48002"/>
    <cellStyle name="표준 9 2 5 3 2" xfId="48003"/>
    <cellStyle name="표준 9 2 5 3 2 2" xfId="48004"/>
    <cellStyle name="표준 9 2 5 3 2 2 2" xfId="48005"/>
    <cellStyle name="표준 9 2 5 3 2 2 2 2" xfId="48006"/>
    <cellStyle name="표준 9 2 5 3 2 2 2 3" xfId="48007"/>
    <cellStyle name="표준 9 2 5 3 2 2 3" xfId="48008"/>
    <cellStyle name="표준 9 2 5 3 2 2 4" xfId="48009"/>
    <cellStyle name="표준 9 2 5 3 2 3" xfId="48010"/>
    <cellStyle name="표준 9 2 5 3 2 3 2" xfId="48011"/>
    <cellStyle name="표준 9 2 5 3 2 3 3" xfId="48012"/>
    <cellStyle name="표준 9 2 5 3 2 4" xfId="48013"/>
    <cellStyle name="표준 9 2 5 3 2 5" xfId="48014"/>
    <cellStyle name="표준 9 2 5 3 3" xfId="48015"/>
    <cellStyle name="표준 9 2 5 3 3 2" xfId="48016"/>
    <cellStyle name="표준 9 2 5 3 3 2 2" xfId="48017"/>
    <cellStyle name="표준 9 2 5 3 3 2 2 2" xfId="48018"/>
    <cellStyle name="표준 9 2 5 3 3 2 2 3" xfId="48019"/>
    <cellStyle name="표준 9 2 5 3 3 2 3" xfId="48020"/>
    <cellStyle name="표준 9 2 5 3 3 2 4" xfId="48021"/>
    <cellStyle name="표준 9 2 5 3 3 3" xfId="48022"/>
    <cellStyle name="표준 9 2 5 3 3 3 2" xfId="48023"/>
    <cellStyle name="표준 9 2 5 3 3 3 3" xfId="48024"/>
    <cellStyle name="표준 9 2 5 3 3 4" xfId="48025"/>
    <cellStyle name="표준 9 2 5 3 3 5" xfId="48026"/>
    <cellStyle name="표준 9 2 5 3 4" xfId="48027"/>
    <cellStyle name="표준 9 2 5 3 4 2" xfId="48028"/>
    <cellStyle name="표준 9 2 5 3 4 2 2" xfId="48029"/>
    <cellStyle name="표준 9 2 5 3 4 2 3" xfId="48030"/>
    <cellStyle name="표준 9 2 5 3 4 3" xfId="48031"/>
    <cellStyle name="표준 9 2 5 3 4 4" xfId="48032"/>
    <cellStyle name="표준 9 2 5 3 5" xfId="48033"/>
    <cellStyle name="표준 9 2 5 3 5 2" xfId="48034"/>
    <cellStyle name="표준 9 2 5 3 5 3" xfId="48035"/>
    <cellStyle name="표준 9 2 5 3 6" xfId="48036"/>
    <cellStyle name="표준 9 2 5 3 7" xfId="48037"/>
    <cellStyle name="표준 9 2 5 4" xfId="48038"/>
    <cellStyle name="표준 9 2 5 4 2" xfId="48039"/>
    <cellStyle name="표준 9 2 5 4 2 2" xfId="48040"/>
    <cellStyle name="표준 9 2 5 4 2 2 2" xfId="48041"/>
    <cellStyle name="표준 9 2 5 4 2 2 3" xfId="48042"/>
    <cellStyle name="표준 9 2 5 4 2 3" xfId="48043"/>
    <cellStyle name="표준 9 2 5 4 2 4" xfId="48044"/>
    <cellStyle name="표준 9 2 5 4 3" xfId="48045"/>
    <cellStyle name="표준 9 2 5 4 3 2" xfId="48046"/>
    <cellStyle name="표준 9 2 5 4 3 3" xfId="48047"/>
    <cellStyle name="표준 9 2 5 4 4" xfId="48048"/>
    <cellStyle name="표준 9 2 5 4 5" xfId="48049"/>
    <cellStyle name="표준 9 2 5 5" xfId="48050"/>
    <cellStyle name="표준 9 2 5 5 2" xfId="48051"/>
    <cellStyle name="표준 9 2 5 5 2 2" xfId="48052"/>
    <cellStyle name="표준 9 2 5 5 2 2 2" xfId="48053"/>
    <cellStyle name="표준 9 2 5 5 2 2 3" xfId="48054"/>
    <cellStyle name="표준 9 2 5 5 2 3" xfId="48055"/>
    <cellStyle name="표준 9 2 5 5 2 4" xfId="48056"/>
    <cellStyle name="표준 9 2 5 5 3" xfId="48057"/>
    <cellStyle name="표준 9 2 5 5 3 2" xfId="48058"/>
    <cellStyle name="표준 9 2 5 5 3 3" xfId="48059"/>
    <cellStyle name="표준 9 2 5 5 4" xfId="48060"/>
    <cellStyle name="표준 9 2 5 5 5" xfId="48061"/>
    <cellStyle name="표준 9 2 5 6" xfId="48062"/>
    <cellStyle name="표준 9 2 5 6 2" xfId="48063"/>
    <cellStyle name="표준 9 2 5 6 2 2" xfId="48064"/>
    <cellStyle name="표준 9 2 5 6 2 2 2" xfId="48065"/>
    <cellStyle name="표준 9 2 5 6 2 2 3" xfId="48066"/>
    <cellStyle name="표준 9 2 5 6 2 3" xfId="48067"/>
    <cellStyle name="표준 9 2 5 6 2 4" xfId="48068"/>
    <cellStyle name="표준 9 2 5 6 3" xfId="48069"/>
    <cellStyle name="표준 9 2 5 6 3 2" xfId="48070"/>
    <cellStyle name="표준 9 2 5 6 3 3" xfId="48071"/>
    <cellStyle name="표준 9 2 5 6 4" xfId="48072"/>
    <cellStyle name="표준 9 2 5 6 5" xfId="48073"/>
    <cellStyle name="표준 9 2 5 7" xfId="48074"/>
    <cellStyle name="표준 9 2 5 7 2" xfId="48075"/>
    <cellStyle name="표준 9 2 5 7 2 2" xfId="48076"/>
    <cellStyle name="표준 9 2 5 7 2 3" xfId="48077"/>
    <cellStyle name="표준 9 2 5 7 3" xfId="48078"/>
    <cellStyle name="표준 9 2 5 7 4" xfId="48079"/>
    <cellStyle name="표준 9 2 5 8" xfId="48080"/>
    <cellStyle name="표준 9 2 5 8 2" xfId="48081"/>
    <cellStyle name="표준 9 2 5 8 3" xfId="48082"/>
    <cellStyle name="표준 9 2 5 9" xfId="48083"/>
    <cellStyle name="표준 9 2 6" xfId="48084"/>
    <cellStyle name="표준 9 2 6 2" xfId="48085"/>
    <cellStyle name="표준 9 2 6 2 2" xfId="48086"/>
    <cellStyle name="표준 9 2 6 2 2 2" xfId="48087"/>
    <cellStyle name="표준 9 2 6 2 2 2 2" xfId="48088"/>
    <cellStyle name="표준 9 2 6 2 2 2 3" xfId="48089"/>
    <cellStyle name="표준 9 2 6 2 2 3" xfId="48090"/>
    <cellStyle name="표준 9 2 6 2 2 4" xfId="48091"/>
    <cellStyle name="표준 9 2 6 2 3" xfId="48092"/>
    <cellStyle name="표준 9 2 6 2 3 2" xfId="48093"/>
    <cellStyle name="표준 9 2 6 2 3 3" xfId="48094"/>
    <cellStyle name="표준 9 2 6 2 4" xfId="48095"/>
    <cellStyle name="표준 9 2 6 2 5" xfId="48096"/>
    <cellStyle name="표준 9 2 6 3" xfId="48097"/>
    <cellStyle name="표준 9 2 6 3 2" xfId="48098"/>
    <cellStyle name="표준 9 2 6 3 2 2" xfId="48099"/>
    <cellStyle name="표준 9 2 6 3 2 2 2" xfId="48100"/>
    <cellStyle name="표준 9 2 6 3 2 2 3" xfId="48101"/>
    <cellStyle name="표준 9 2 6 3 2 3" xfId="48102"/>
    <cellStyle name="표준 9 2 6 3 2 4" xfId="48103"/>
    <cellStyle name="표준 9 2 6 3 3" xfId="48104"/>
    <cellStyle name="표준 9 2 6 3 3 2" xfId="48105"/>
    <cellStyle name="표준 9 2 6 3 3 3" xfId="48106"/>
    <cellStyle name="표준 9 2 6 3 4" xfId="48107"/>
    <cellStyle name="표준 9 2 6 3 5" xfId="48108"/>
    <cellStyle name="표준 9 2 6 4" xfId="48109"/>
    <cellStyle name="표준 9 2 6 4 2" xfId="48110"/>
    <cellStyle name="표준 9 2 6 4 2 2" xfId="48111"/>
    <cellStyle name="표준 9 2 6 4 2 3" xfId="48112"/>
    <cellStyle name="표준 9 2 6 4 3" xfId="48113"/>
    <cellStyle name="표준 9 2 6 4 4" xfId="48114"/>
    <cellStyle name="표준 9 2 6 5" xfId="48115"/>
    <cellStyle name="표준 9 2 6 5 2" xfId="48116"/>
    <cellStyle name="표준 9 2 6 5 3" xfId="48117"/>
    <cellStyle name="표준 9 2 6 6" xfId="48118"/>
    <cellStyle name="표준 9 2 6 7" xfId="48119"/>
    <cellStyle name="표준 9 2 7" xfId="48120"/>
    <cellStyle name="표준 9 2 7 2" xfId="48121"/>
    <cellStyle name="표준 9 2 7 2 2" xfId="48122"/>
    <cellStyle name="표준 9 2 7 2 2 2" xfId="48123"/>
    <cellStyle name="표준 9 2 7 2 2 2 2" xfId="48124"/>
    <cellStyle name="표준 9 2 7 2 2 2 3" xfId="48125"/>
    <cellStyle name="표준 9 2 7 2 2 3" xfId="48126"/>
    <cellStyle name="표준 9 2 7 2 2 4" xfId="48127"/>
    <cellStyle name="표준 9 2 7 2 3" xfId="48128"/>
    <cellStyle name="표준 9 2 7 2 3 2" xfId="48129"/>
    <cellStyle name="표준 9 2 7 2 3 3" xfId="48130"/>
    <cellStyle name="표준 9 2 7 2 4" xfId="48131"/>
    <cellStyle name="표준 9 2 7 2 5" xfId="48132"/>
    <cellStyle name="표준 9 2 7 3" xfId="48133"/>
    <cellStyle name="표준 9 2 7 3 2" xfId="48134"/>
    <cellStyle name="표준 9 2 7 3 2 2" xfId="48135"/>
    <cellStyle name="표준 9 2 7 3 2 2 2" xfId="48136"/>
    <cellStyle name="표준 9 2 7 3 2 2 3" xfId="48137"/>
    <cellStyle name="표준 9 2 7 3 2 3" xfId="48138"/>
    <cellStyle name="표준 9 2 7 3 2 4" xfId="48139"/>
    <cellStyle name="표준 9 2 7 3 3" xfId="48140"/>
    <cellStyle name="표준 9 2 7 3 3 2" xfId="48141"/>
    <cellStyle name="표준 9 2 7 3 3 3" xfId="48142"/>
    <cellStyle name="표준 9 2 7 3 4" xfId="48143"/>
    <cellStyle name="표준 9 2 7 3 5" xfId="48144"/>
    <cellStyle name="표준 9 2 7 4" xfId="48145"/>
    <cellStyle name="표준 9 2 7 4 2" xfId="48146"/>
    <cellStyle name="표준 9 2 7 4 2 2" xfId="48147"/>
    <cellStyle name="표준 9 2 7 4 2 3" xfId="48148"/>
    <cellStyle name="표준 9 2 7 4 3" xfId="48149"/>
    <cellStyle name="표준 9 2 7 4 4" xfId="48150"/>
    <cellStyle name="표준 9 2 7 5" xfId="48151"/>
    <cellStyle name="표준 9 2 7 5 2" xfId="48152"/>
    <cellStyle name="표준 9 2 7 5 3" xfId="48153"/>
    <cellStyle name="표준 9 2 7 6" xfId="48154"/>
    <cellStyle name="표준 9 2 7 7" xfId="48155"/>
    <cellStyle name="표준 9 2 8" xfId="48156"/>
    <cellStyle name="표준 9 2 8 2" xfId="48157"/>
    <cellStyle name="표준 9 2 8 2 2" xfId="48158"/>
    <cellStyle name="표준 9 2 8 2 2 2" xfId="48159"/>
    <cellStyle name="표준 9 2 8 2 2 3" xfId="48160"/>
    <cellStyle name="표준 9 2 8 2 3" xfId="48161"/>
    <cellStyle name="표준 9 2 8 2 4" xfId="48162"/>
    <cellStyle name="표준 9 2 8 3" xfId="48163"/>
    <cellStyle name="표준 9 2 8 3 2" xfId="48164"/>
    <cellStyle name="표준 9 2 8 3 3" xfId="48165"/>
    <cellStyle name="표준 9 2 8 4" xfId="48166"/>
    <cellStyle name="표준 9 2 8 5" xfId="48167"/>
    <cellStyle name="표준 9 2 9" xfId="48168"/>
    <cellStyle name="표준 9 2 9 2" xfId="48169"/>
    <cellStyle name="표준 9 2 9 2 2" xfId="48170"/>
    <cellStyle name="표준 9 2 9 2 2 2" xfId="48171"/>
    <cellStyle name="표준 9 2 9 2 2 3" xfId="48172"/>
    <cellStyle name="표준 9 2 9 2 3" xfId="48173"/>
    <cellStyle name="표준 9 2 9 2 4" xfId="48174"/>
    <cellStyle name="표준 9 2 9 3" xfId="48175"/>
    <cellStyle name="표준 9 2 9 3 2" xfId="48176"/>
    <cellStyle name="표준 9 2 9 3 3" xfId="48177"/>
    <cellStyle name="표준 9 2 9 4" xfId="48178"/>
    <cellStyle name="표준 9 2 9 5" xfId="48179"/>
    <cellStyle name="표준 9 20" xfId="48180"/>
    <cellStyle name="표준 9 21" xfId="48181"/>
    <cellStyle name="표준 9 3" xfId="48182"/>
    <cellStyle name="표준 9 3 10" xfId="48183"/>
    <cellStyle name="표준 9 3 10 2" xfId="48184"/>
    <cellStyle name="표준 9 3 10 2 2" xfId="48185"/>
    <cellStyle name="표준 9 3 10 2 2 2" xfId="48186"/>
    <cellStyle name="표준 9 3 10 2 2 3" xfId="48187"/>
    <cellStyle name="표준 9 3 10 2 3" xfId="48188"/>
    <cellStyle name="표준 9 3 10 2 4" xfId="48189"/>
    <cellStyle name="표준 9 3 10 3" xfId="48190"/>
    <cellStyle name="표준 9 3 10 3 2" xfId="48191"/>
    <cellStyle name="표준 9 3 10 3 3" xfId="48192"/>
    <cellStyle name="표준 9 3 10 4" xfId="48193"/>
    <cellStyle name="표준 9 3 10 5" xfId="48194"/>
    <cellStyle name="표준 9 3 11" xfId="48195"/>
    <cellStyle name="표준 9 3 11 2" xfId="48196"/>
    <cellStyle name="표준 9 3 11 2 2" xfId="48197"/>
    <cellStyle name="표준 9 3 11 2 3" xfId="48198"/>
    <cellStyle name="표준 9 3 11 3" xfId="48199"/>
    <cellStyle name="표준 9 3 11 4" xfId="48200"/>
    <cellStyle name="표준 9 3 12" xfId="48201"/>
    <cellStyle name="표준 9 3 12 2" xfId="48202"/>
    <cellStyle name="표준 9 3 12 3" xfId="48203"/>
    <cellStyle name="표준 9 3 13" xfId="48204"/>
    <cellStyle name="표준 9 3 14" xfId="48205"/>
    <cellStyle name="표준 9 3 15" xfId="48206"/>
    <cellStyle name="표준 9 3 2" xfId="48207"/>
    <cellStyle name="표준 9 3 2 10" xfId="48208"/>
    <cellStyle name="표준 9 3 2 10 2" xfId="48209"/>
    <cellStyle name="표준 9 3 2 10 2 2" xfId="48210"/>
    <cellStyle name="표준 9 3 2 10 2 3" xfId="48211"/>
    <cellStyle name="표준 9 3 2 10 3" xfId="48212"/>
    <cellStyle name="표준 9 3 2 10 4" xfId="48213"/>
    <cellStyle name="표준 9 3 2 11" xfId="48214"/>
    <cellStyle name="표준 9 3 2 11 2" xfId="48215"/>
    <cellStyle name="표준 9 3 2 11 3" xfId="48216"/>
    <cellStyle name="표준 9 3 2 12" xfId="48217"/>
    <cellStyle name="표준 9 3 2 13" xfId="48218"/>
    <cellStyle name="표준 9 3 2 2" xfId="48219"/>
    <cellStyle name="표준 9 3 2 2 10" xfId="48220"/>
    <cellStyle name="표준 9 3 2 2 2" xfId="48221"/>
    <cellStyle name="표준 9 3 2 2 2 2" xfId="48222"/>
    <cellStyle name="표준 9 3 2 2 2 2 2" xfId="48223"/>
    <cellStyle name="표준 9 3 2 2 2 2 2 2" xfId="48224"/>
    <cellStyle name="표준 9 3 2 2 2 2 2 2 2" xfId="48225"/>
    <cellStyle name="표준 9 3 2 2 2 2 2 2 3" xfId="48226"/>
    <cellStyle name="표준 9 3 2 2 2 2 2 3" xfId="48227"/>
    <cellStyle name="표준 9 3 2 2 2 2 2 4" xfId="48228"/>
    <cellStyle name="표준 9 3 2 2 2 2 3" xfId="48229"/>
    <cellStyle name="표준 9 3 2 2 2 2 3 2" xfId="48230"/>
    <cellStyle name="표준 9 3 2 2 2 2 3 3" xfId="48231"/>
    <cellStyle name="표준 9 3 2 2 2 2 4" xfId="48232"/>
    <cellStyle name="표준 9 3 2 2 2 2 5" xfId="48233"/>
    <cellStyle name="표준 9 3 2 2 2 3" xfId="48234"/>
    <cellStyle name="표준 9 3 2 2 2 3 2" xfId="48235"/>
    <cellStyle name="표준 9 3 2 2 2 3 2 2" xfId="48236"/>
    <cellStyle name="표준 9 3 2 2 2 3 2 2 2" xfId="48237"/>
    <cellStyle name="표준 9 3 2 2 2 3 2 2 3" xfId="48238"/>
    <cellStyle name="표준 9 3 2 2 2 3 2 3" xfId="48239"/>
    <cellStyle name="표준 9 3 2 2 2 3 2 4" xfId="48240"/>
    <cellStyle name="표준 9 3 2 2 2 3 3" xfId="48241"/>
    <cellStyle name="표준 9 3 2 2 2 3 3 2" xfId="48242"/>
    <cellStyle name="표준 9 3 2 2 2 3 3 3" xfId="48243"/>
    <cellStyle name="표준 9 3 2 2 2 3 4" xfId="48244"/>
    <cellStyle name="표준 9 3 2 2 2 3 5" xfId="48245"/>
    <cellStyle name="표준 9 3 2 2 2 4" xfId="48246"/>
    <cellStyle name="표준 9 3 2 2 2 4 2" xfId="48247"/>
    <cellStyle name="표준 9 3 2 2 2 4 2 2" xfId="48248"/>
    <cellStyle name="표준 9 3 2 2 2 4 2 3" xfId="48249"/>
    <cellStyle name="표준 9 3 2 2 2 4 3" xfId="48250"/>
    <cellStyle name="표준 9 3 2 2 2 4 4" xfId="48251"/>
    <cellStyle name="표준 9 3 2 2 2 5" xfId="48252"/>
    <cellStyle name="표준 9 3 2 2 2 5 2" xfId="48253"/>
    <cellStyle name="표준 9 3 2 2 2 5 3" xfId="48254"/>
    <cellStyle name="표준 9 3 2 2 2 6" xfId="48255"/>
    <cellStyle name="표준 9 3 2 2 2 7" xfId="48256"/>
    <cellStyle name="표준 9 3 2 2 3" xfId="48257"/>
    <cellStyle name="표준 9 3 2 2 3 2" xfId="48258"/>
    <cellStyle name="표준 9 3 2 2 3 2 2" xfId="48259"/>
    <cellStyle name="표준 9 3 2 2 3 2 2 2" xfId="48260"/>
    <cellStyle name="표준 9 3 2 2 3 2 2 2 2" xfId="48261"/>
    <cellStyle name="표준 9 3 2 2 3 2 2 2 3" xfId="48262"/>
    <cellStyle name="표준 9 3 2 2 3 2 2 3" xfId="48263"/>
    <cellStyle name="표준 9 3 2 2 3 2 2 4" xfId="48264"/>
    <cellStyle name="표준 9 3 2 2 3 2 3" xfId="48265"/>
    <cellStyle name="표준 9 3 2 2 3 2 3 2" xfId="48266"/>
    <cellStyle name="표준 9 3 2 2 3 2 3 3" xfId="48267"/>
    <cellStyle name="표준 9 3 2 2 3 2 4" xfId="48268"/>
    <cellStyle name="표준 9 3 2 2 3 2 5" xfId="48269"/>
    <cellStyle name="표준 9 3 2 2 3 3" xfId="48270"/>
    <cellStyle name="표준 9 3 2 2 3 3 2" xfId="48271"/>
    <cellStyle name="표준 9 3 2 2 3 3 2 2" xfId="48272"/>
    <cellStyle name="표준 9 3 2 2 3 3 2 2 2" xfId="48273"/>
    <cellStyle name="표준 9 3 2 2 3 3 2 2 3" xfId="48274"/>
    <cellStyle name="표준 9 3 2 2 3 3 2 3" xfId="48275"/>
    <cellStyle name="표준 9 3 2 2 3 3 2 4" xfId="48276"/>
    <cellStyle name="표준 9 3 2 2 3 3 3" xfId="48277"/>
    <cellStyle name="표준 9 3 2 2 3 3 3 2" xfId="48278"/>
    <cellStyle name="표준 9 3 2 2 3 3 3 3" xfId="48279"/>
    <cellStyle name="표준 9 3 2 2 3 3 4" xfId="48280"/>
    <cellStyle name="표준 9 3 2 2 3 3 5" xfId="48281"/>
    <cellStyle name="표준 9 3 2 2 3 4" xfId="48282"/>
    <cellStyle name="표준 9 3 2 2 3 4 2" xfId="48283"/>
    <cellStyle name="표준 9 3 2 2 3 4 2 2" xfId="48284"/>
    <cellStyle name="표준 9 3 2 2 3 4 2 3" xfId="48285"/>
    <cellStyle name="표준 9 3 2 2 3 4 3" xfId="48286"/>
    <cellStyle name="표준 9 3 2 2 3 4 4" xfId="48287"/>
    <cellStyle name="표준 9 3 2 2 3 5" xfId="48288"/>
    <cellStyle name="표준 9 3 2 2 3 5 2" xfId="48289"/>
    <cellStyle name="표준 9 3 2 2 3 5 3" xfId="48290"/>
    <cellStyle name="표준 9 3 2 2 3 6" xfId="48291"/>
    <cellStyle name="표준 9 3 2 2 3 7" xfId="48292"/>
    <cellStyle name="표준 9 3 2 2 4" xfId="48293"/>
    <cellStyle name="표준 9 3 2 2 4 2" xfId="48294"/>
    <cellStyle name="표준 9 3 2 2 4 2 2" xfId="48295"/>
    <cellStyle name="표준 9 3 2 2 4 2 2 2" xfId="48296"/>
    <cellStyle name="표준 9 3 2 2 4 2 2 3" xfId="48297"/>
    <cellStyle name="표준 9 3 2 2 4 2 3" xfId="48298"/>
    <cellStyle name="표준 9 3 2 2 4 2 4" xfId="48299"/>
    <cellStyle name="표준 9 3 2 2 4 3" xfId="48300"/>
    <cellStyle name="표준 9 3 2 2 4 3 2" xfId="48301"/>
    <cellStyle name="표준 9 3 2 2 4 3 3" xfId="48302"/>
    <cellStyle name="표준 9 3 2 2 4 4" xfId="48303"/>
    <cellStyle name="표준 9 3 2 2 4 5" xfId="48304"/>
    <cellStyle name="표준 9 3 2 2 5" xfId="48305"/>
    <cellStyle name="표준 9 3 2 2 5 2" xfId="48306"/>
    <cellStyle name="표준 9 3 2 2 5 2 2" xfId="48307"/>
    <cellStyle name="표준 9 3 2 2 5 2 2 2" xfId="48308"/>
    <cellStyle name="표준 9 3 2 2 5 2 2 3" xfId="48309"/>
    <cellStyle name="표준 9 3 2 2 5 2 3" xfId="48310"/>
    <cellStyle name="표준 9 3 2 2 5 2 4" xfId="48311"/>
    <cellStyle name="표준 9 3 2 2 5 3" xfId="48312"/>
    <cellStyle name="표준 9 3 2 2 5 3 2" xfId="48313"/>
    <cellStyle name="표준 9 3 2 2 5 3 3" xfId="48314"/>
    <cellStyle name="표준 9 3 2 2 5 4" xfId="48315"/>
    <cellStyle name="표준 9 3 2 2 5 5" xfId="48316"/>
    <cellStyle name="표준 9 3 2 2 6" xfId="48317"/>
    <cellStyle name="표준 9 3 2 2 6 2" xfId="48318"/>
    <cellStyle name="표준 9 3 2 2 6 2 2" xfId="48319"/>
    <cellStyle name="표준 9 3 2 2 6 2 2 2" xfId="48320"/>
    <cellStyle name="표준 9 3 2 2 6 2 2 3" xfId="48321"/>
    <cellStyle name="표준 9 3 2 2 6 2 3" xfId="48322"/>
    <cellStyle name="표준 9 3 2 2 6 2 4" xfId="48323"/>
    <cellStyle name="표준 9 3 2 2 6 3" xfId="48324"/>
    <cellStyle name="표준 9 3 2 2 6 3 2" xfId="48325"/>
    <cellStyle name="표준 9 3 2 2 6 3 3" xfId="48326"/>
    <cellStyle name="표준 9 3 2 2 6 4" xfId="48327"/>
    <cellStyle name="표준 9 3 2 2 6 5" xfId="48328"/>
    <cellStyle name="표준 9 3 2 2 7" xfId="48329"/>
    <cellStyle name="표준 9 3 2 2 7 2" xfId="48330"/>
    <cellStyle name="표준 9 3 2 2 7 2 2" xfId="48331"/>
    <cellStyle name="표준 9 3 2 2 7 2 3" xfId="48332"/>
    <cellStyle name="표준 9 3 2 2 7 3" xfId="48333"/>
    <cellStyle name="표준 9 3 2 2 7 4" xfId="48334"/>
    <cellStyle name="표준 9 3 2 2 8" xfId="48335"/>
    <cellStyle name="표준 9 3 2 2 8 2" xfId="48336"/>
    <cellStyle name="표준 9 3 2 2 8 3" xfId="48337"/>
    <cellStyle name="표준 9 3 2 2 9" xfId="48338"/>
    <cellStyle name="표준 9 3 2 3" xfId="48339"/>
    <cellStyle name="표준 9 3 2 3 10" xfId="48340"/>
    <cellStyle name="표준 9 3 2 3 2" xfId="48341"/>
    <cellStyle name="표준 9 3 2 3 2 2" xfId="48342"/>
    <cellStyle name="표준 9 3 2 3 2 2 2" xfId="48343"/>
    <cellStyle name="표준 9 3 2 3 2 2 2 2" xfId="48344"/>
    <cellStyle name="표준 9 3 2 3 2 2 2 2 2" xfId="48345"/>
    <cellStyle name="표준 9 3 2 3 2 2 2 2 3" xfId="48346"/>
    <cellStyle name="표준 9 3 2 3 2 2 2 3" xfId="48347"/>
    <cellStyle name="표준 9 3 2 3 2 2 2 4" xfId="48348"/>
    <cellStyle name="표준 9 3 2 3 2 2 3" xfId="48349"/>
    <cellStyle name="표준 9 3 2 3 2 2 3 2" xfId="48350"/>
    <cellStyle name="표준 9 3 2 3 2 2 3 3" xfId="48351"/>
    <cellStyle name="표준 9 3 2 3 2 2 4" xfId="48352"/>
    <cellStyle name="표준 9 3 2 3 2 2 5" xfId="48353"/>
    <cellStyle name="표준 9 3 2 3 2 3" xfId="48354"/>
    <cellStyle name="표준 9 3 2 3 2 3 2" xfId="48355"/>
    <cellStyle name="표준 9 3 2 3 2 3 2 2" xfId="48356"/>
    <cellStyle name="표준 9 3 2 3 2 3 2 2 2" xfId="48357"/>
    <cellStyle name="표준 9 3 2 3 2 3 2 2 3" xfId="48358"/>
    <cellStyle name="표준 9 3 2 3 2 3 2 3" xfId="48359"/>
    <cellStyle name="표준 9 3 2 3 2 3 2 4" xfId="48360"/>
    <cellStyle name="표준 9 3 2 3 2 3 3" xfId="48361"/>
    <cellStyle name="표준 9 3 2 3 2 3 3 2" xfId="48362"/>
    <cellStyle name="표준 9 3 2 3 2 3 3 3" xfId="48363"/>
    <cellStyle name="표준 9 3 2 3 2 3 4" xfId="48364"/>
    <cellStyle name="표준 9 3 2 3 2 3 5" xfId="48365"/>
    <cellStyle name="표준 9 3 2 3 2 4" xfId="48366"/>
    <cellStyle name="표준 9 3 2 3 2 4 2" xfId="48367"/>
    <cellStyle name="표준 9 3 2 3 2 4 2 2" xfId="48368"/>
    <cellStyle name="표준 9 3 2 3 2 4 2 3" xfId="48369"/>
    <cellStyle name="표준 9 3 2 3 2 4 3" xfId="48370"/>
    <cellStyle name="표준 9 3 2 3 2 4 4" xfId="48371"/>
    <cellStyle name="표준 9 3 2 3 2 5" xfId="48372"/>
    <cellStyle name="표준 9 3 2 3 2 5 2" xfId="48373"/>
    <cellStyle name="표준 9 3 2 3 2 5 3" xfId="48374"/>
    <cellStyle name="표준 9 3 2 3 2 6" xfId="48375"/>
    <cellStyle name="표준 9 3 2 3 2 7" xfId="48376"/>
    <cellStyle name="표준 9 3 2 3 3" xfId="48377"/>
    <cellStyle name="표준 9 3 2 3 3 2" xfId="48378"/>
    <cellStyle name="표준 9 3 2 3 3 2 2" xfId="48379"/>
    <cellStyle name="표준 9 3 2 3 3 2 2 2" xfId="48380"/>
    <cellStyle name="표준 9 3 2 3 3 2 2 2 2" xfId="48381"/>
    <cellStyle name="표준 9 3 2 3 3 2 2 2 3" xfId="48382"/>
    <cellStyle name="표준 9 3 2 3 3 2 2 3" xfId="48383"/>
    <cellStyle name="표준 9 3 2 3 3 2 2 4" xfId="48384"/>
    <cellStyle name="표준 9 3 2 3 3 2 3" xfId="48385"/>
    <cellStyle name="표준 9 3 2 3 3 2 3 2" xfId="48386"/>
    <cellStyle name="표준 9 3 2 3 3 2 3 3" xfId="48387"/>
    <cellStyle name="표준 9 3 2 3 3 2 4" xfId="48388"/>
    <cellStyle name="표준 9 3 2 3 3 2 5" xfId="48389"/>
    <cellStyle name="표준 9 3 2 3 3 3" xfId="48390"/>
    <cellStyle name="표준 9 3 2 3 3 3 2" xfId="48391"/>
    <cellStyle name="표준 9 3 2 3 3 3 2 2" xfId="48392"/>
    <cellStyle name="표준 9 3 2 3 3 3 2 2 2" xfId="48393"/>
    <cellStyle name="표준 9 3 2 3 3 3 2 2 3" xfId="48394"/>
    <cellStyle name="표준 9 3 2 3 3 3 2 3" xfId="48395"/>
    <cellStyle name="표준 9 3 2 3 3 3 2 4" xfId="48396"/>
    <cellStyle name="표준 9 3 2 3 3 3 3" xfId="48397"/>
    <cellStyle name="표준 9 3 2 3 3 3 3 2" xfId="48398"/>
    <cellStyle name="표준 9 3 2 3 3 3 3 3" xfId="48399"/>
    <cellStyle name="표준 9 3 2 3 3 3 4" xfId="48400"/>
    <cellStyle name="표준 9 3 2 3 3 3 5" xfId="48401"/>
    <cellStyle name="표준 9 3 2 3 3 4" xfId="48402"/>
    <cellStyle name="표준 9 3 2 3 3 4 2" xfId="48403"/>
    <cellStyle name="표준 9 3 2 3 3 4 2 2" xfId="48404"/>
    <cellStyle name="표준 9 3 2 3 3 4 2 3" xfId="48405"/>
    <cellStyle name="표준 9 3 2 3 3 4 3" xfId="48406"/>
    <cellStyle name="표준 9 3 2 3 3 4 4" xfId="48407"/>
    <cellStyle name="표준 9 3 2 3 3 5" xfId="48408"/>
    <cellStyle name="표준 9 3 2 3 3 5 2" xfId="48409"/>
    <cellStyle name="표준 9 3 2 3 3 5 3" xfId="48410"/>
    <cellStyle name="표준 9 3 2 3 3 6" xfId="48411"/>
    <cellStyle name="표준 9 3 2 3 3 7" xfId="48412"/>
    <cellStyle name="표준 9 3 2 3 4" xfId="48413"/>
    <cellStyle name="표준 9 3 2 3 4 2" xfId="48414"/>
    <cellStyle name="표준 9 3 2 3 4 2 2" xfId="48415"/>
    <cellStyle name="표준 9 3 2 3 4 2 2 2" xfId="48416"/>
    <cellStyle name="표준 9 3 2 3 4 2 2 3" xfId="48417"/>
    <cellStyle name="표준 9 3 2 3 4 2 3" xfId="48418"/>
    <cellStyle name="표준 9 3 2 3 4 2 4" xfId="48419"/>
    <cellStyle name="표준 9 3 2 3 4 3" xfId="48420"/>
    <cellStyle name="표준 9 3 2 3 4 3 2" xfId="48421"/>
    <cellStyle name="표준 9 3 2 3 4 3 3" xfId="48422"/>
    <cellStyle name="표준 9 3 2 3 4 4" xfId="48423"/>
    <cellStyle name="표준 9 3 2 3 4 5" xfId="48424"/>
    <cellStyle name="표준 9 3 2 3 5" xfId="48425"/>
    <cellStyle name="표준 9 3 2 3 5 2" xfId="48426"/>
    <cellStyle name="표준 9 3 2 3 5 2 2" xfId="48427"/>
    <cellStyle name="표준 9 3 2 3 5 2 2 2" xfId="48428"/>
    <cellStyle name="표준 9 3 2 3 5 2 2 3" xfId="48429"/>
    <cellStyle name="표준 9 3 2 3 5 2 3" xfId="48430"/>
    <cellStyle name="표준 9 3 2 3 5 2 4" xfId="48431"/>
    <cellStyle name="표준 9 3 2 3 5 3" xfId="48432"/>
    <cellStyle name="표준 9 3 2 3 5 3 2" xfId="48433"/>
    <cellStyle name="표준 9 3 2 3 5 3 3" xfId="48434"/>
    <cellStyle name="표준 9 3 2 3 5 4" xfId="48435"/>
    <cellStyle name="표준 9 3 2 3 5 5" xfId="48436"/>
    <cellStyle name="표준 9 3 2 3 6" xfId="48437"/>
    <cellStyle name="표준 9 3 2 3 6 2" xfId="48438"/>
    <cellStyle name="표준 9 3 2 3 6 2 2" xfId="48439"/>
    <cellStyle name="표준 9 3 2 3 6 2 2 2" xfId="48440"/>
    <cellStyle name="표준 9 3 2 3 6 2 2 3" xfId="48441"/>
    <cellStyle name="표준 9 3 2 3 6 2 3" xfId="48442"/>
    <cellStyle name="표준 9 3 2 3 6 2 4" xfId="48443"/>
    <cellStyle name="표준 9 3 2 3 6 3" xfId="48444"/>
    <cellStyle name="표준 9 3 2 3 6 3 2" xfId="48445"/>
    <cellStyle name="표준 9 3 2 3 6 3 3" xfId="48446"/>
    <cellStyle name="표준 9 3 2 3 6 4" xfId="48447"/>
    <cellStyle name="표준 9 3 2 3 6 5" xfId="48448"/>
    <cellStyle name="표준 9 3 2 3 7" xfId="48449"/>
    <cellStyle name="표준 9 3 2 3 7 2" xfId="48450"/>
    <cellStyle name="표준 9 3 2 3 7 2 2" xfId="48451"/>
    <cellStyle name="표준 9 3 2 3 7 2 3" xfId="48452"/>
    <cellStyle name="표준 9 3 2 3 7 3" xfId="48453"/>
    <cellStyle name="표준 9 3 2 3 7 4" xfId="48454"/>
    <cellStyle name="표준 9 3 2 3 8" xfId="48455"/>
    <cellStyle name="표준 9 3 2 3 8 2" xfId="48456"/>
    <cellStyle name="표준 9 3 2 3 8 3" xfId="48457"/>
    <cellStyle name="표준 9 3 2 3 9" xfId="48458"/>
    <cellStyle name="표준 9 3 2 4" xfId="48459"/>
    <cellStyle name="표준 9 3 2 4 10" xfId="48460"/>
    <cellStyle name="표준 9 3 2 4 2" xfId="48461"/>
    <cellStyle name="표준 9 3 2 4 2 2" xfId="48462"/>
    <cellStyle name="표준 9 3 2 4 2 2 2" xfId="48463"/>
    <cellStyle name="표준 9 3 2 4 2 2 2 2" xfId="48464"/>
    <cellStyle name="표준 9 3 2 4 2 2 2 2 2" xfId="48465"/>
    <cellStyle name="표준 9 3 2 4 2 2 2 2 3" xfId="48466"/>
    <cellStyle name="표준 9 3 2 4 2 2 2 3" xfId="48467"/>
    <cellStyle name="표준 9 3 2 4 2 2 2 4" xfId="48468"/>
    <cellStyle name="표준 9 3 2 4 2 2 3" xfId="48469"/>
    <cellStyle name="표준 9 3 2 4 2 2 3 2" xfId="48470"/>
    <cellStyle name="표준 9 3 2 4 2 2 3 3" xfId="48471"/>
    <cellStyle name="표준 9 3 2 4 2 2 4" xfId="48472"/>
    <cellStyle name="표준 9 3 2 4 2 2 5" xfId="48473"/>
    <cellStyle name="표준 9 3 2 4 2 3" xfId="48474"/>
    <cellStyle name="표준 9 3 2 4 2 3 2" xfId="48475"/>
    <cellStyle name="표준 9 3 2 4 2 3 2 2" xfId="48476"/>
    <cellStyle name="표준 9 3 2 4 2 3 2 2 2" xfId="48477"/>
    <cellStyle name="표준 9 3 2 4 2 3 2 2 3" xfId="48478"/>
    <cellStyle name="표준 9 3 2 4 2 3 2 3" xfId="48479"/>
    <cellStyle name="표준 9 3 2 4 2 3 2 4" xfId="48480"/>
    <cellStyle name="표준 9 3 2 4 2 3 3" xfId="48481"/>
    <cellStyle name="표준 9 3 2 4 2 3 3 2" xfId="48482"/>
    <cellStyle name="표준 9 3 2 4 2 3 3 3" xfId="48483"/>
    <cellStyle name="표준 9 3 2 4 2 3 4" xfId="48484"/>
    <cellStyle name="표준 9 3 2 4 2 3 5" xfId="48485"/>
    <cellStyle name="표준 9 3 2 4 2 4" xfId="48486"/>
    <cellStyle name="표준 9 3 2 4 2 4 2" xfId="48487"/>
    <cellStyle name="표준 9 3 2 4 2 4 2 2" xfId="48488"/>
    <cellStyle name="표준 9 3 2 4 2 4 2 3" xfId="48489"/>
    <cellStyle name="표준 9 3 2 4 2 4 3" xfId="48490"/>
    <cellStyle name="표준 9 3 2 4 2 4 4" xfId="48491"/>
    <cellStyle name="표준 9 3 2 4 2 5" xfId="48492"/>
    <cellStyle name="표준 9 3 2 4 2 5 2" xfId="48493"/>
    <cellStyle name="표준 9 3 2 4 2 5 3" xfId="48494"/>
    <cellStyle name="표준 9 3 2 4 2 6" xfId="48495"/>
    <cellStyle name="표준 9 3 2 4 2 7" xfId="48496"/>
    <cellStyle name="표준 9 3 2 4 3" xfId="48497"/>
    <cellStyle name="표준 9 3 2 4 3 2" xfId="48498"/>
    <cellStyle name="표준 9 3 2 4 3 2 2" xfId="48499"/>
    <cellStyle name="표준 9 3 2 4 3 2 2 2" xfId="48500"/>
    <cellStyle name="표준 9 3 2 4 3 2 2 2 2" xfId="48501"/>
    <cellStyle name="표준 9 3 2 4 3 2 2 2 3" xfId="48502"/>
    <cellStyle name="표준 9 3 2 4 3 2 2 3" xfId="48503"/>
    <cellStyle name="표준 9 3 2 4 3 2 2 4" xfId="48504"/>
    <cellStyle name="표준 9 3 2 4 3 2 3" xfId="48505"/>
    <cellStyle name="표준 9 3 2 4 3 2 3 2" xfId="48506"/>
    <cellStyle name="표준 9 3 2 4 3 2 3 3" xfId="48507"/>
    <cellStyle name="표준 9 3 2 4 3 2 4" xfId="48508"/>
    <cellStyle name="표준 9 3 2 4 3 2 5" xfId="48509"/>
    <cellStyle name="표준 9 3 2 4 3 3" xfId="48510"/>
    <cellStyle name="표준 9 3 2 4 3 3 2" xfId="48511"/>
    <cellStyle name="표준 9 3 2 4 3 3 2 2" xfId="48512"/>
    <cellStyle name="표준 9 3 2 4 3 3 2 2 2" xfId="48513"/>
    <cellStyle name="표준 9 3 2 4 3 3 2 2 3" xfId="48514"/>
    <cellStyle name="표준 9 3 2 4 3 3 2 3" xfId="48515"/>
    <cellStyle name="표준 9 3 2 4 3 3 2 4" xfId="48516"/>
    <cellStyle name="표준 9 3 2 4 3 3 3" xfId="48517"/>
    <cellStyle name="표준 9 3 2 4 3 3 3 2" xfId="48518"/>
    <cellStyle name="표준 9 3 2 4 3 3 3 3" xfId="48519"/>
    <cellStyle name="표준 9 3 2 4 3 3 4" xfId="48520"/>
    <cellStyle name="표준 9 3 2 4 3 3 5" xfId="48521"/>
    <cellStyle name="표준 9 3 2 4 3 4" xfId="48522"/>
    <cellStyle name="표준 9 3 2 4 3 4 2" xfId="48523"/>
    <cellStyle name="표준 9 3 2 4 3 4 2 2" xfId="48524"/>
    <cellStyle name="표준 9 3 2 4 3 4 2 3" xfId="48525"/>
    <cellStyle name="표준 9 3 2 4 3 4 3" xfId="48526"/>
    <cellStyle name="표준 9 3 2 4 3 4 4" xfId="48527"/>
    <cellStyle name="표준 9 3 2 4 3 5" xfId="48528"/>
    <cellStyle name="표준 9 3 2 4 3 5 2" xfId="48529"/>
    <cellStyle name="표준 9 3 2 4 3 5 3" xfId="48530"/>
    <cellStyle name="표준 9 3 2 4 3 6" xfId="48531"/>
    <cellStyle name="표준 9 3 2 4 3 7" xfId="48532"/>
    <cellStyle name="표준 9 3 2 4 4" xfId="48533"/>
    <cellStyle name="표준 9 3 2 4 4 2" xfId="48534"/>
    <cellStyle name="표준 9 3 2 4 4 2 2" xfId="48535"/>
    <cellStyle name="표준 9 3 2 4 4 2 2 2" xfId="48536"/>
    <cellStyle name="표준 9 3 2 4 4 2 2 3" xfId="48537"/>
    <cellStyle name="표준 9 3 2 4 4 2 3" xfId="48538"/>
    <cellStyle name="표준 9 3 2 4 4 2 4" xfId="48539"/>
    <cellStyle name="표준 9 3 2 4 4 3" xfId="48540"/>
    <cellStyle name="표준 9 3 2 4 4 3 2" xfId="48541"/>
    <cellStyle name="표준 9 3 2 4 4 3 3" xfId="48542"/>
    <cellStyle name="표준 9 3 2 4 4 4" xfId="48543"/>
    <cellStyle name="표준 9 3 2 4 4 5" xfId="48544"/>
    <cellStyle name="표준 9 3 2 4 5" xfId="48545"/>
    <cellStyle name="표준 9 3 2 4 5 2" xfId="48546"/>
    <cellStyle name="표준 9 3 2 4 5 2 2" xfId="48547"/>
    <cellStyle name="표준 9 3 2 4 5 2 2 2" xfId="48548"/>
    <cellStyle name="표준 9 3 2 4 5 2 2 3" xfId="48549"/>
    <cellStyle name="표준 9 3 2 4 5 2 3" xfId="48550"/>
    <cellStyle name="표준 9 3 2 4 5 2 4" xfId="48551"/>
    <cellStyle name="표준 9 3 2 4 5 3" xfId="48552"/>
    <cellStyle name="표준 9 3 2 4 5 3 2" xfId="48553"/>
    <cellStyle name="표준 9 3 2 4 5 3 3" xfId="48554"/>
    <cellStyle name="표준 9 3 2 4 5 4" xfId="48555"/>
    <cellStyle name="표준 9 3 2 4 5 5" xfId="48556"/>
    <cellStyle name="표준 9 3 2 4 6" xfId="48557"/>
    <cellStyle name="표준 9 3 2 4 6 2" xfId="48558"/>
    <cellStyle name="표준 9 3 2 4 6 2 2" xfId="48559"/>
    <cellStyle name="표준 9 3 2 4 6 2 2 2" xfId="48560"/>
    <cellStyle name="표준 9 3 2 4 6 2 2 3" xfId="48561"/>
    <cellStyle name="표준 9 3 2 4 6 2 3" xfId="48562"/>
    <cellStyle name="표준 9 3 2 4 6 2 4" xfId="48563"/>
    <cellStyle name="표준 9 3 2 4 6 3" xfId="48564"/>
    <cellStyle name="표준 9 3 2 4 6 3 2" xfId="48565"/>
    <cellStyle name="표준 9 3 2 4 6 3 3" xfId="48566"/>
    <cellStyle name="표준 9 3 2 4 6 4" xfId="48567"/>
    <cellStyle name="표준 9 3 2 4 6 5" xfId="48568"/>
    <cellStyle name="표준 9 3 2 4 7" xfId="48569"/>
    <cellStyle name="표준 9 3 2 4 7 2" xfId="48570"/>
    <cellStyle name="표준 9 3 2 4 7 2 2" xfId="48571"/>
    <cellStyle name="표준 9 3 2 4 7 2 3" xfId="48572"/>
    <cellStyle name="표준 9 3 2 4 7 3" xfId="48573"/>
    <cellStyle name="표준 9 3 2 4 7 4" xfId="48574"/>
    <cellStyle name="표준 9 3 2 4 8" xfId="48575"/>
    <cellStyle name="표준 9 3 2 4 8 2" xfId="48576"/>
    <cellStyle name="표준 9 3 2 4 8 3" xfId="48577"/>
    <cellStyle name="표준 9 3 2 4 9" xfId="48578"/>
    <cellStyle name="표준 9 3 2 5" xfId="48579"/>
    <cellStyle name="표준 9 3 2 5 2" xfId="48580"/>
    <cellStyle name="표준 9 3 2 5 2 2" xfId="48581"/>
    <cellStyle name="표준 9 3 2 5 2 2 2" xfId="48582"/>
    <cellStyle name="표준 9 3 2 5 2 2 2 2" xfId="48583"/>
    <cellStyle name="표준 9 3 2 5 2 2 2 3" xfId="48584"/>
    <cellStyle name="표준 9 3 2 5 2 2 3" xfId="48585"/>
    <cellStyle name="표준 9 3 2 5 2 2 4" xfId="48586"/>
    <cellStyle name="표준 9 3 2 5 2 3" xfId="48587"/>
    <cellStyle name="표준 9 3 2 5 2 3 2" xfId="48588"/>
    <cellStyle name="표준 9 3 2 5 2 3 3" xfId="48589"/>
    <cellStyle name="표준 9 3 2 5 2 4" xfId="48590"/>
    <cellStyle name="표준 9 3 2 5 2 5" xfId="48591"/>
    <cellStyle name="표준 9 3 2 5 3" xfId="48592"/>
    <cellStyle name="표준 9 3 2 5 3 2" xfId="48593"/>
    <cellStyle name="표준 9 3 2 5 3 2 2" xfId="48594"/>
    <cellStyle name="표준 9 3 2 5 3 2 2 2" xfId="48595"/>
    <cellStyle name="표준 9 3 2 5 3 2 2 3" xfId="48596"/>
    <cellStyle name="표준 9 3 2 5 3 2 3" xfId="48597"/>
    <cellStyle name="표준 9 3 2 5 3 2 4" xfId="48598"/>
    <cellStyle name="표준 9 3 2 5 3 3" xfId="48599"/>
    <cellStyle name="표준 9 3 2 5 3 3 2" xfId="48600"/>
    <cellStyle name="표준 9 3 2 5 3 3 3" xfId="48601"/>
    <cellStyle name="표준 9 3 2 5 3 4" xfId="48602"/>
    <cellStyle name="표준 9 3 2 5 3 5" xfId="48603"/>
    <cellStyle name="표준 9 3 2 5 4" xfId="48604"/>
    <cellStyle name="표준 9 3 2 5 4 2" xfId="48605"/>
    <cellStyle name="표준 9 3 2 5 4 2 2" xfId="48606"/>
    <cellStyle name="표준 9 3 2 5 4 2 3" xfId="48607"/>
    <cellStyle name="표준 9 3 2 5 4 3" xfId="48608"/>
    <cellStyle name="표준 9 3 2 5 4 4" xfId="48609"/>
    <cellStyle name="표준 9 3 2 5 5" xfId="48610"/>
    <cellStyle name="표준 9 3 2 5 5 2" xfId="48611"/>
    <cellStyle name="표준 9 3 2 5 5 3" xfId="48612"/>
    <cellStyle name="표준 9 3 2 5 6" xfId="48613"/>
    <cellStyle name="표준 9 3 2 5 7" xfId="48614"/>
    <cellStyle name="표준 9 3 2 6" xfId="48615"/>
    <cellStyle name="표준 9 3 2 6 2" xfId="48616"/>
    <cellStyle name="표준 9 3 2 6 2 2" xfId="48617"/>
    <cellStyle name="표준 9 3 2 6 2 2 2" xfId="48618"/>
    <cellStyle name="표준 9 3 2 6 2 2 2 2" xfId="48619"/>
    <cellStyle name="표준 9 3 2 6 2 2 2 3" xfId="48620"/>
    <cellStyle name="표준 9 3 2 6 2 2 3" xfId="48621"/>
    <cellStyle name="표준 9 3 2 6 2 2 4" xfId="48622"/>
    <cellStyle name="표준 9 3 2 6 2 3" xfId="48623"/>
    <cellStyle name="표준 9 3 2 6 2 3 2" xfId="48624"/>
    <cellStyle name="표준 9 3 2 6 2 3 3" xfId="48625"/>
    <cellStyle name="표준 9 3 2 6 2 4" xfId="48626"/>
    <cellStyle name="표준 9 3 2 6 2 5" xfId="48627"/>
    <cellStyle name="표준 9 3 2 6 3" xfId="48628"/>
    <cellStyle name="표준 9 3 2 6 3 2" xfId="48629"/>
    <cellStyle name="표준 9 3 2 6 3 2 2" xfId="48630"/>
    <cellStyle name="표준 9 3 2 6 3 2 2 2" xfId="48631"/>
    <cellStyle name="표준 9 3 2 6 3 2 2 3" xfId="48632"/>
    <cellStyle name="표준 9 3 2 6 3 2 3" xfId="48633"/>
    <cellStyle name="표준 9 3 2 6 3 2 4" xfId="48634"/>
    <cellStyle name="표준 9 3 2 6 3 3" xfId="48635"/>
    <cellStyle name="표준 9 3 2 6 3 3 2" xfId="48636"/>
    <cellStyle name="표준 9 3 2 6 3 3 3" xfId="48637"/>
    <cellStyle name="표준 9 3 2 6 3 4" xfId="48638"/>
    <cellStyle name="표준 9 3 2 6 3 5" xfId="48639"/>
    <cellStyle name="표준 9 3 2 6 4" xfId="48640"/>
    <cellStyle name="표준 9 3 2 6 4 2" xfId="48641"/>
    <cellStyle name="표준 9 3 2 6 4 2 2" xfId="48642"/>
    <cellStyle name="표준 9 3 2 6 4 2 3" xfId="48643"/>
    <cellStyle name="표준 9 3 2 6 4 3" xfId="48644"/>
    <cellStyle name="표준 9 3 2 6 4 4" xfId="48645"/>
    <cellStyle name="표준 9 3 2 6 5" xfId="48646"/>
    <cellStyle name="표준 9 3 2 6 5 2" xfId="48647"/>
    <cellStyle name="표준 9 3 2 6 5 3" xfId="48648"/>
    <cellStyle name="표준 9 3 2 6 6" xfId="48649"/>
    <cellStyle name="표준 9 3 2 6 7" xfId="48650"/>
    <cellStyle name="표준 9 3 2 7" xfId="48651"/>
    <cellStyle name="표준 9 3 2 7 2" xfId="48652"/>
    <cellStyle name="표준 9 3 2 7 2 2" xfId="48653"/>
    <cellStyle name="표준 9 3 2 7 2 2 2" xfId="48654"/>
    <cellStyle name="표준 9 3 2 7 2 2 3" xfId="48655"/>
    <cellStyle name="표준 9 3 2 7 2 3" xfId="48656"/>
    <cellStyle name="표준 9 3 2 7 2 4" xfId="48657"/>
    <cellStyle name="표준 9 3 2 7 3" xfId="48658"/>
    <cellStyle name="표준 9 3 2 7 3 2" xfId="48659"/>
    <cellStyle name="표준 9 3 2 7 3 3" xfId="48660"/>
    <cellStyle name="표준 9 3 2 7 4" xfId="48661"/>
    <cellStyle name="표준 9 3 2 7 5" xfId="48662"/>
    <cellStyle name="표준 9 3 2 8" xfId="48663"/>
    <cellStyle name="표준 9 3 2 8 2" xfId="48664"/>
    <cellStyle name="표준 9 3 2 8 2 2" xfId="48665"/>
    <cellStyle name="표준 9 3 2 8 2 2 2" xfId="48666"/>
    <cellStyle name="표준 9 3 2 8 2 2 3" xfId="48667"/>
    <cellStyle name="표준 9 3 2 8 2 3" xfId="48668"/>
    <cellStyle name="표준 9 3 2 8 2 4" xfId="48669"/>
    <cellStyle name="표준 9 3 2 8 3" xfId="48670"/>
    <cellStyle name="표준 9 3 2 8 3 2" xfId="48671"/>
    <cellStyle name="표준 9 3 2 8 3 3" xfId="48672"/>
    <cellStyle name="표준 9 3 2 8 4" xfId="48673"/>
    <cellStyle name="표준 9 3 2 8 5" xfId="48674"/>
    <cellStyle name="표준 9 3 2 9" xfId="48675"/>
    <cellStyle name="표준 9 3 2 9 2" xfId="48676"/>
    <cellStyle name="표준 9 3 2 9 2 2" xfId="48677"/>
    <cellStyle name="표준 9 3 2 9 2 2 2" xfId="48678"/>
    <cellStyle name="표준 9 3 2 9 2 2 3" xfId="48679"/>
    <cellStyle name="표준 9 3 2 9 2 3" xfId="48680"/>
    <cellStyle name="표준 9 3 2 9 2 4" xfId="48681"/>
    <cellStyle name="표준 9 3 2 9 3" xfId="48682"/>
    <cellStyle name="표준 9 3 2 9 3 2" xfId="48683"/>
    <cellStyle name="표준 9 3 2 9 3 3" xfId="48684"/>
    <cellStyle name="표준 9 3 2 9 4" xfId="48685"/>
    <cellStyle name="표준 9 3 2 9 5" xfId="48686"/>
    <cellStyle name="표준 9 3 3" xfId="48687"/>
    <cellStyle name="표준 9 3 3 10" xfId="48688"/>
    <cellStyle name="표준 9 3 3 2" xfId="48689"/>
    <cellStyle name="표준 9 3 3 2 2" xfId="48690"/>
    <cellStyle name="표준 9 3 3 2 2 2" xfId="48691"/>
    <cellStyle name="표준 9 3 3 2 2 2 2" xfId="48692"/>
    <cellStyle name="표준 9 3 3 2 2 2 2 2" xfId="48693"/>
    <cellStyle name="표준 9 3 3 2 2 2 2 3" xfId="48694"/>
    <cellStyle name="표준 9 3 3 2 2 2 3" xfId="48695"/>
    <cellStyle name="표준 9 3 3 2 2 2 4" xfId="48696"/>
    <cellStyle name="표준 9 3 3 2 2 3" xfId="48697"/>
    <cellStyle name="표준 9 3 3 2 2 3 2" xfId="48698"/>
    <cellStyle name="표준 9 3 3 2 2 3 3" xfId="48699"/>
    <cellStyle name="표준 9 3 3 2 2 4" xfId="48700"/>
    <cellStyle name="표준 9 3 3 2 2 5" xfId="48701"/>
    <cellStyle name="표준 9 3 3 2 3" xfId="48702"/>
    <cellStyle name="표준 9 3 3 2 3 2" xfId="48703"/>
    <cellStyle name="표준 9 3 3 2 3 2 2" xfId="48704"/>
    <cellStyle name="표준 9 3 3 2 3 2 2 2" xfId="48705"/>
    <cellStyle name="표준 9 3 3 2 3 2 2 3" xfId="48706"/>
    <cellStyle name="표준 9 3 3 2 3 2 3" xfId="48707"/>
    <cellStyle name="표준 9 3 3 2 3 2 4" xfId="48708"/>
    <cellStyle name="표준 9 3 3 2 3 3" xfId="48709"/>
    <cellStyle name="표준 9 3 3 2 3 3 2" xfId="48710"/>
    <cellStyle name="표준 9 3 3 2 3 3 3" xfId="48711"/>
    <cellStyle name="표준 9 3 3 2 3 4" xfId="48712"/>
    <cellStyle name="표준 9 3 3 2 3 5" xfId="48713"/>
    <cellStyle name="표준 9 3 3 2 4" xfId="48714"/>
    <cellStyle name="표준 9 3 3 2 4 2" xfId="48715"/>
    <cellStyle name="표준 9 3 3 2 4 2 2" xfId="48716"/>
    <cellStyle name="표준 9 3 3 2 4 2 3" xfId="48717"/>
    <cellStyle name="표준 9 3 3 2 4 3" xfId="48718"/>
    <cellStyle name="표준 9 3 3 2 4 4" xfId="48719"/>
    <cellStyle name="표준 9 3 3 2 5" xfId="48720"/>
    <cellStyle name="표준 9 3 3 2 5 2" xfId="48721"/>
    <cellStyle name="표준 9 3 3 2 5 3" xfId="48722"/>
    <cellStyle name="표준 9 3 3 2 6" xfId="48723"/>
    <cellStyle name="표준 9 3 3 2 7" xfId="48724"/>
    <cellStyle name="표준 9 3 3 3" xfId="48725"/>
    <cellStyle name="표준 9 3 3 3 2" xfId="48726"/>
    <cellStyle name="표준 9 3 3 3 2 2" xfId="48727"/>
    <cellStyle name="표준 9 3 3 3 2 2 2" xfId="48728"/>
    <cellStyle name="표준 9 3 3 3 2 2 2 2" xfId="48729"/>
    <cellStyle name="표준 9 3 3 3 2 2 2 3" xfId="48730"/>
    <cellStyle name="표준 9 3 3 3 2 2 3" xfId="48731"/>
    <cellStyle name="표준 9 3 3 3 2 2 4" xfId="48732"/>
    <cellStyle name="표준 9 3 3 3 2 3" xfId="48733"/>
    <cellStyle name="표준 9 3 3 3 2 3 2" xfId="48734"/>
    <cellStyle name="표준 9 3 3 3 2 3 3" xfId="48735"/>
    <cellStyle name="표준 9 3 3 3 2 4" xfId="48736"/>
    <cellStyle name="표준 9 3 3 3 2 5" xfId="48737"/>
    <cellStyle name="표준 9 3 3 3 3" xfId="48738"/>
    <cellStyle name="표준 9 3 3 3 3 2" xfId="48739"/>
    <cellStyle name="표준 9 3 3 3 3 2 2" xfId="48740"/>
    <cellStyle name="표준 9 3 3 3 3 2 2 2" xfId="48741"/>
    <cellStyle name="표준 9 3 3 3 3 2 2 3" xfId="48742"/>
    <cellStyle name="표준 9 3 3 3 3 2 3" xfId="48743"/>
    <cellStyle name="표준 9 3 3 3 3 2 4" xfId="48744"/>
    <cellStyle name="표준 9 3 3 3 3 3" xfId="48745"/>
    <cellStyle name="표준 9 3 3 3 3 3 2" xfId="48746"/>
    <cellStyle name="표준 9 3 3 3 3 3 3" xfId="48747"/>
    <cellStyle name="표준 9 3 3 3 3 4" xfId="48748"/>
    <cellStyle name="표준 9 3 3 3 3 5" xfId="48749"/>
    <cellStyle name="표준 9 3 3 3 4" xfId="48750"/>
    <cellStyle name="표준 9 3 3 3 4 2" xfId="48751"/>
    <cellStyle name="표준 9 3 3 3 4 2 2" xfId="48752"/>
    <cellStyle name="표준 9 3 3 3 4 2 3" xfId="48753"/>
    <cellStyle name="표준 9 3 3 3 4 3" xfId="48754"/>
    <cellStyle name="표준 9 3 3 3 4 4" xfId="48755"/>
    <cellStyle name="표준 9 3 3 3 5" xfId="48756"/>
    <cellStyle name="표준 9 3 3 3 5 2" xfId="48757"/>
    <cellStyle name="표준 9 3 3 3 5 3" xfId="48758"/>
    <cellStyle name="표준 9 3 3 3 6" xfId="48759"/>
    <cellStyle name="표준 9 3 3 3 7" xfId="48760"/>
    <cellStyle name="표준 9 3 3 4" xfId="48761"/>
    <cellStyle name="표준 9 3 3 4 2" xfId="48762"/>
    <cellStyle name="표준 9 3 3 4 2 2" xfId="48763"/>
    <cellStyle name="표준 9 3 3 4 2 2 2" xfId="48764"/>
    <cellStyle name="표준 9 3 3 4 2 2 3" xfId="48765"/>
    <cellStyle name="표준 9 3 3 4 2 3" xfId="48766"/>
    <cellStyle name="표준 9 3 3 4 2 4" xfId="48767"/>
    <cellStyle name="표준 9 3 3 4 3" xfId="48768"/>
    <cellStyle name="표준 9 3 3 4 3 2" xfId="48769"/>
    <cellStyle name="표준 9 3 3 4 3 3" xfId="48770"/>
    <cellStyle name="표준 9 3 3 4 4" xfId="48771"/>
    <cellStyle name="표준 9 3 3 4 5" xfId="48772"/>
    <cellStyle name="표준 9 3 3 5" xfId="48773"/>
    <cellStyle name="표준 9 3 3 5 2" xfId="48774"/>
    <cellStyle name="표준 9 3 3 5 2 2" xfId="48775"/>
    <cellStyle name="표준 9 3 3 5 2 2 2" xfId="48776"/>
    <cellStyle name="표준 9 3 3 5 2 2 3" xfId="48777"/>
    <cellStyle name="표준 9 3 3 5 2 3" xfId="48778"/>
    <cellStyle name="표준 9 3 3 5 2 4" xfId="48779"/>
    <cellStyle name="표준 9 3 3 5 3" xfId="48780"/>
    <cellStyle name="표준 9 3 3 5 3 2" xfId="48781"/>
    <cellStyle name="표준 9 3 3 5 3 3" xfId="48782"/>
    <cellStyle name="표준 9 3 3 5 4" xfId="48783"/>
    <cellStyle name="표준 9 3 3 5 5" xfId="48784"/>
    <cellStyle name="표준 9 3 3 6" xfId="48785"/>
    <cellStyle name="표준 9 3 3 6 2" xfId="48786"/>
    <cellStyle name="표준 9 3 3 6 2 2" xfId="48787"/>
    <cellStyle name="표준 9 3 3 6 2 2 2" xfId="48788"/>
    <cellStyle name="표준 9 3 3 6 2 2 3" xfId="48789"/>
    <cellStyle name="표준 9 3 3 6 2 3" xfId="48790"/>
    <cellStyle name="표준 9 3 3 6 2 4" xfId="48791"/>
    <cellStyle name="표준 9 3 3 6 3" xfId="48792"/>
    <cellStyle name="표준 9 3 3 6 3 2" xfId="48793"/>
    <cellStyle name="표준 9 3 3 6 3 3" xfId="48794"/>
    <cellStyle name="표준 9 3 3 6 4" xfId="48795"/>
    <cellStyle name="표준 9 3 3 6 5" xfId="48796"/>
    <cellStyle name="표준 9 3 3 7" xfId="48797"/>
    <cellStyle name="표준 9 3 3 7 2" xfId="48798"/>
    <cellStyle name="표준 9 3 3 7 2 2" xfId="48799"/>
    <cellStyle name="표준 9 3 3 7 2 3" xfId="48800"/>
    <cellStyle name="표준 9 3 3 7 3" xfId="48801"/>
    <cellStyle name="표준 9 3 3 7 4" xfId="48802"/>
    <cellStyle name="표준 9 3 3 8" xfId="48803"/>
    <cellStyle name="표준 9 3 3 8 2" xfId="48804"/>
    <cellStyle name="표준 9 3 3 8 3" xfId="48805"/>
    <cellStyle name="표준 9 3 3 9" xfId="48806"/>
    <cellStyle name="표준 9 3 4" xfId="48807"/>
    <cellStyle name="표준 9 3 4 10" xfId="48808"/>
    <cellStyle name="표준 9 3 4 2" xfId="48809"/>
    <cellStyle name="표준 9 3 4 2 2" xfId="48810"/>
    <cellStyle name="표준 9 3 4 2 2 2" xfId="48811"/>
    <cellStyle name="표준 9 3 4 2 2 2 2" xfId="48812"/>
    <cellStyle name="표준 9 3 4 2 2 2 2 2" xfId="48813"/>
    <cellStyle name="표준 9 3 4 2 2 2 2 3" xfId="48814"/>
    <cellStyle name="표준 9 3 4 2 2 2 3" xfId="48815"/>
    <cellStyle name="표준 9 3 4 2 2 2 4" xfId="48816"/>
    <cellStyle name="표준 9 3 4 2 2 3" xfId="48817"/>
    <cellStyle name="표준 9 3 4 2 2 3 2" xfId="48818"/>
    <cellStyle name="표준 9 3 4 2 2 3 3" xfId="48819"/>
    <cellStyle name="표준 9 3 4 2 2 4" xfId="48820"/>
    <cellStyle name="표준 9 3 4 2 2 5" xfId="48821"/>
    <cellStyle name="표준 9 3 4 2 3" xfId="48822"/>
    <cellStyle name="표준 9 3 4 2 3 2" xfId="48823"/>
    <cellStyle name="표준 9 3 4 2 3 2 2" xfId="48824"/>
    <cellStyle name="표준 9 3 4 2 3 2 2 2" xfId="48825"/>
    <cellStyle name="표준 9 3 4 2 3 2 2 3" xfId="48826"/>
    <cellStyle name="표준 9 3 4 2 3 2 3" xfId="48827"/>
    <cellStyle name="표준 9 3 4 2 3 2 4" xfId="48828"/>
    <cellStyle name="표준 9 3 4 2 3 3" xfId="48829"/>
    <cellStyle name="표준 9 3 4 2 3 3 2" xfId="48830"/>
    <cellStyle name="표준 9 3 4 2 3 3 3" xfId="48831"/>
    <cellStyle name="표준 9 3 4 2 3 4" xfId="48832"/>
    <cellStyle name="표준 9 3 4 2 3 5" xfId="48833"/>
    <cellStyle name="표준 9 3 4 2 4" xfId="48834"/>
    <cellStyle name="표준 9 3 4 2 4 2" xfId="48835"/>
    <cellStyle name="표준 9 3 4 2 4 2 2" xfId="48836"/>
    <cellStyle name="표준 9 3 4 2 4 2 3" xfId="48837"/>
    <cellStyle name="표준 9 3 4 2 4 3" xfId="48838"/>
    <cellStyle name="표준 9 3 4 2 4 4" xfId="48839"/>
    <cellStyle name="표준 9 3 4 2 5" xfId="48840"/>
    <cellStyle name="표준 9 3 4 2 5 2" xfId="48841"/>
    <cellStyle name="표준 9 3 4 2 5 3" xfId="48842"/>
    <cellStyle name="표준 9 3 4 2 6" xfId="48843"/>
    <cellStyle name="표준 9 3 4 2 7" xfId="48844"/>
    <cellStyle name="표준 9 3 4 3" xfId="48845"/>
    <cellStyle name="표준 9 3 4 3 2" xfId="48846"/>
    <cellStyle name="표준 9 3 4 3 2 2" xfId="48847"/>
    <cellStyle name="표준 9 3 4 3 2 2 2" xfId="48848"/>
    <cellStyle name="표준 9 3 4 3 2 2 2 2" xfId="48849"/>
    <cellStyle name="표준 9 3 4 3 2 2 2 3" xfId="48850"/>
    <cellStyle name="표준 9 3 4 3 2 2 3" xfId="48851"/>
    <cellStyle name="표준 9 3 4 3 2 2 4" xfId="48852"/>
    <cellStyle name="표준 9 3 4 3 2 3" xfId="48853"/>
    <cellStyle name="표준 9 3 4 3 2 3 2" xfId="48854"/>
    <cellStyle name="표준 9 3 4 3 2 3 3" xfId="48855"/>
    <cellStyle name="표준 9 3 4 3 2 4" xfId="48856"/>
    <cellStyle name="표준 9 3 4 3 2 5" xfId="48857"/>
    <cellStyle name="표준 9 3 4 3 3" xfId="48858"/>
    <cellStyle name="표준 9 3 4 3 3 2" xfId="48859"/>
    <cellStyle name="표준 9 3 4 3 3 2 2" xfId="48860"/>
    <cellStyle name="표준 9 3 4 3 3 2 2 2" xfId="48861"/>
    <cellStyle name="표준 9 3 4 3 3 2 2 3" xfId="48862"/>
    <cellStyle name="표준 9 3 4 3 3 2 3" xfId="48863"/>
    <cellStyle name="표준 9 3 4 3 3 2 4" xfId="48864"/>
    <cellStyle name="표준 9 3 4 3 3 3" xfId="48865"/>
    <cellStyle name="표준 9 3 4 3 3 3 2" xfId="48866"/>
    <cellStyle name="표준 9 3 4 3 3 3 3" xfId="48867"/>
    <cellStyle name="표준 9 3 4 3 3 4" xfId="48868"/>
    <cellStyle name="표준 9 3 4 3 3 5" xfId="48869"/>
    <cellStyle name="표준 9 3 4 3 4" xfId="48870"/>
    <cellStyle name="표준 9 3 4 3 4 2" xfId="48871"/>
    <cellStyle name="표준 9 3 4 3 4 2 2" xfId="48872"/>
    <cellStyle name="표준 9 3 4 3 4 2 3" xfId="48873"/>
    <cellStyle name="표준 9 3 4 3 4 3" xfId="48874"/>
    <cellStyle name="표준 9 3 4 3 4 4" xfId="48875"/>
    <cellStyle name="표준 9 3 4 3 5" xfId="48876"/>
    <cellStyle name="표준 9 3 4 3 5 2" xfId="48877"/>
    <cellStyle name="표준 9 3 4 3 5 3" xfId="48878"/>
    <cellStyle name="표준 9 3 4 3 6" xfId="48879"/>
    <cellStyle name="표준 9 3 4 3 7" xfId="48880"/>
    <cellStyle name="표준 9 3 4 4" xfId="48881"/>
    <cellStyle name="표준 9 3 4 4 2" xfId="48882"/>
    <cellStyle name="표준 9 3 4 4 2 2" xfId="48883"/>
    <cellStyle name="표준 9 3 4 4 2 2 2" xfId="48884"/>
    <cellStyle name="표준 9 3 4 4 2 2 3" xfId="48885"/>
    <cellStyle name="표준 9 3 4 4 2 3" xfId="48886"/>
    <cellStyle name="표준 9 3 4 4 2 4" xfId="48887"/>
    <cellStyle name="표준 9 3 4 4 3" xfId="48888"/>
    <cellStyle name="표준 9 3 4 4 3 2" xfId="48889"/>
    <cellStyle name="표준 9 3 4 4 3 3" xfId="48890"/>
    <cellStyle name="표준 9 3 4 4 4" xfId="48891"/>
    <cellStyle name="표준 9 3 4 4 5" xfId="48892"/>
    <cellStyle name="표준 9 3 4 5" xfId="48893"/>
    <cellStyle name="표준 9 3 4 5 2" xfId="48894"/>
    <cellStyle name="표준 9 3 4 5 2 2" xfId="48895"/>
    <cellStyle name="표준 9 3 4 5 2 2 2" xfId="48896"/>
    <cellStyle name="표준 9 3 4 5 2 2 3" xfId="48897"/>
    <cellStyle name="표준 9 3 4 5 2 3" xfId="48898"/>
    <cellStyle name="표준 9 3 4 5 2 4" xfId="48899"/>
    <cellStyle name="표준 9 3 4 5 3" xfId="48900"/>
    <cellStyle name="표준 9 3 4 5 3 2" xfId="48901"/>
    <cellStyle name="표준 9 3 4 5 3 3" xfId="48902"/>
    <cellStyle name="표준 9 3 4 5 4" xfId="48903"/>
    <cellStyle name="표준 9 3 4 5 5" xfId="48904"/>
    <cellStyle name="표준 9 3 4 6" xfId="48905"/>
    <cellStyle name="표준 9 3 4 6 2" xfId="48906"/>
    <cellStyle name="표준 9 3 4 6 2 2" xfId="48907"/>
    <cellStyle name="표준 9 3 4 6 2 2 2" xfId="48908"/>
    <cellStyle name="표준 9 3 4 6 2 2 3" xfId="48909"/>
    <cellStyle name="표준 9 3 4 6 2 3" xfId="48910"/>
    <cellStyle name="표준 9 3 4 6 2 4" xfId="48911"/>
    <cellStyle name="표준 9 3 4 6 3" xfId="48912"/>
    <cellStyle name="표준 9 3 4 6 3 2" xfId="48913"/>
    <cellStyle name="표준 9 3 4 6 3 3" xfId="48914"/>
    <cellStyle name="표준 9 3 4 6 4" xfId="48915"/>
    <cellStyle name="표준 9 3 4 6 5" xfId="48916"/>
    <cellStyle name="표준 9 3 4 7" xfId="48917"/>
    <cellStyle name="표준 9 3 4 7 2" xfId="48918"/>
    <cellStyle name="표준 9 3 4 7 2 2" xfId="48919"/>
    <cellStyle name="표준 9 3 4 7 2 3" xfId="48920"/>
    <cellStyle name="표준 9 3 4 7 3" xfId="48921"/>
    <cellStyle name="표준 9 3 4 7 4" xfId="48922"/>
    <cellStyle name="표준 9 3 4 8" xfId="48923"/>
    <cellStyle name="표준 9 3 4 8 2" xfId="48924"/>
    <cellStyle name="표준 9 3 4 8 3" xfId="48925"/>
    <cellStyle name="표준 9 3 4 9" xfId="48926"/>
    <cellStyle name="표준 9 3 5" xfId="48927"/>
    <cellStyle name="표준 9 3 5 10" xfId="48928"/>
    <cellStyle name="표준 9 3 5 2" xfId="48929"/>
    <cellStyle name="표준 9 3 5 2 2" xfId="48930"/>
    <cellStyle name="표준 9 3 5 2 2 2" xfId="48931"/>
    <cellStyle name="표준 9 3 5 2 2 2 2" xfId="48932"/>
    <cellStyle name="표준 9 3 5 2 2 2 2 2" xfId="48933"/>
    <cellStyle name="표준 9 3 5 2 2 2 2 3" xfId="48934"/>
    <cellStyle name="표준 9 3 5 2 2 2 3" xfId="48935"/>
    <cellStyle name="표준 9 3 5 2 2 2 4" xfId="48936"/>
    <cellStyle name="표준 9 3 5 2 2 3" xfId="48937"/>
    <cellStyle name="표준 9 3 5 2 2 3 2" xfId="48938"/>
    <cellStyle name="표준 9 3 5 2 2 3 3" xfId="48939"/>
    <cellStyle name="표준 9 3 5 2 2 4" xfId="48940"/>
    <cellStyle name="표준 9 3 5 2 2 5" xfId="48941"/>
    <cellStyle name="표준 9 3 5 2 3" xfId="48942"/>
    <cellStyle name="표준 9 3 5 2 3 2" xfId="48943"/>
    <cellStyle name="표준 9 3 5 2 3 2 2" xfId="48944"/>
    <cellStyle name="표준 9 3 5 2 3 2 2 2" xfId="48945"/>
    <cellStyle name="표준 9 3 5 2 3 2 2 3" xfId="48946"/>
    <cellStyle name="표준 9 3 5 2 3 2 3" xfId="48947"/>
    <cellStyle name="표준 9 3 5 2 3 2 4" xfId="48948"/>
    <cellStyle name="표준 9 3 5 2 3 3" xfId="48949"/>
    <cellStyle name="표준 9 3 5 2 3 3 2" xfId="48950"/>
    <cellStyle name="표준 9 3 5 2 3 3 3" xfId="48951"/>
    <cellStyle name="표준 9 3 5 2 3 4" xfId="48952"/>
    <cellStyle name="표준 9 3 5 2 3 5" xfId="48953"/>
    <cellStyle name="표준 9 3 5 2 4" xfId="48954"/>
    <cellStyle name="표준 9 3 5 2 4 2" xfId="48955"/>
    <cellStyle name="표준 9 3 5 2 4 2 2" xfId="48956"/>
    <cellStyle name="표준 9 3 5 2 4 2 3" xfId="48957"/>
    <cellStyle name="표준 9 3 5 2 4 3" xfId="48958"/>
    <cellStyle name="표준 9 3 5 2 4 4" xfId="48959"/>
    <cellStyle name="표준 9 3 5 2 5" xfId="48960"/>
    <cellStyle name="표준 9 3 5 2 5 2" xfId="48961"/>
    <cellStyle name="표준 9 3 5 2 5 3" xfId="48962"/>
    <cellStyle name="표준 9 3 5 2 6" xfId="48963"/>
    <cellStyle name="표준 9 3 5 2 7" xfId="48964"/>
    <cellStyle name="표준 9 3 5 3" xfId="48965"/>
    <cellStyle name="표준 9 3 5 3 2" xfId="48966"/>
    <cellStyle name="표준 9 3 5 3 2 2" xfId="48967"/>
    <cellStyle name="표준 9 3 5 3 2 2 2" xfId="48968"/>
    <cellStyle name="표준 9 3 5 3 2 2 2 2" xfId="48969"/>
    <cellStyle name="표준 9 3 5 3 2 2 2 3" xfId="48970"/>
    <cellStyle name="표준 9 3 5 3 2 2 3" xfId="48971"/>
    <cellStyle name="표준 9 3 5 3 2 2 4" xfId="48972"/>
    <cellStyle name="표준 9 3 5 3 2 3" xfId="48973"/>
    <cellStyle name="표준 9 3 5 3 2 3 2" xfId="48974"/>
    <cellStyle name="표준 9 3 5 3 2 3 3" xfId="48975"/>
    <cellStyle name="표준 9 3 5 3 2 4" xfId="48976"/>
    <cellStyle name="표준 9 3 5 3 2 5" xfId="48977"/>
    <cellStyle name="표준 9 3 5 3 3" xfId="48978"/>
    <cellStyle name="표준 9 3 5 3 3 2" xfId="48979"/>
    <cellStyle name="표준 9 3 5 3 3 2 2" xfId="48980"/>
    <cellStyle name="표준 9 3 5 3 3 2 2 2" xfId="48981"/>
    <cellStyle name="표준 9 3 5 3 3 2 2 3" xfId="48982"/>
    <cellStyle name="표준 9 3 5 3 3 2 3" xfId="48983"/>
    <cellStyle name="표준 9 3 5 3 3 2 4" xfId="48984"/>
    <cellStyle name="표준 9 3 5 3 3 3" xfId="48985"/>
    <cellStyle name="표준 9 3 5 3 3 3 2" xfId="48986"/>
    <cellStyle name="표준 9 3 5 3 3 3 3" xfId="48987"/>
    <cellStyle name="표준 9 3 5 3 3 4" xfId="48988"/>
    <cellStyle name="표준 9 3 5 3 3 5" xfId="48989"/>
    <cellStyle name="표준 9 3 5 3 4" xfId="48990"/>
    <cellStyle name="표준 9 3 5 3 4 2" xfId="48991"/>
    <cellStyle name="표준 9 3 5 3 4 2 2" xfId="48992"/>
    <cellStyle name="표준 9 3 5 3 4 2 3" xfId="48993"/>
    <cellStyle name="표준 9 3 5 3 4 3" xfId="48994"/>
    <cellStyle name="표준 9 3 5 3 4 4" xfId="48995"/>
    <cellStyle name="표준 9 3 5 3 5" xfId="48996"/>
    <cellStyle name="표준 9 3 5 3 5 2" xfId="48997"/>
    <cellStyle name="표준 9 3 5 3 5 3" xfId="48998"/>
    <cellStyle name="표준 9 3 5 3 6" xfId="48999"/>
    <cellStyle name="표준 9 3 5 3 7" xfId="49000"/>
    <cellStyle name="표준 9 3 5 4" xfId="49001"/>
    <cellStyle name="표준 9 3 5 4 2" xfId="49002"/>
    <cellStyle name="표준 9 3 5 4 2 2" xfId="49003"/>
    <cellStyle name="표준 9 3 5 4 2 2 2" xfId="49004"/>
    <cellStyle name="표준 9 3 5 4 2 2 3" xfId="49005"/>
    <cellStyle name="표준 9 3 5 4 2 3" xfId="49006"/>
    <cellStyle name="표준 9 3 5 4 2 4" xfId="49007"/>
    <cellStyle name="표준 9 3 5 4 3" xfId="49008"/>
    <cellStyle name="표준 9 3 5 4 3 2" xfId="49009"/>
    <cellStyle name="표준 9 3 5 4 3 3" xfId="49010"/>
    <cellStyle name="표준 9 3 5 4 4" xfId="49011"/>
    <cellStyle name="표준 9 3 5 4 5" xfId="49012"/>
    <cellStyle name="표준 9 3 5 5" xfId="49013"/>
    <cellStyle name="표준 9 3 5 5 2" xfId="49014"/>
    <cellStyle name="표준 9 3 5 5 2 2" xfId="49015"/>
    <cellStyle name="표준 9 3 5 5 2 2 2" xfId="49016"/>
    <cellStyle name="표준 9 3 5 5 2 2 3" xfId="49017"/>
    <cellStyle name="표준 9 3 5 5 2 3" xfId="49018"/>
    <cellStyle name="표준 9 3 5 5 2 4" xfId="49019"/>
    <cellStyle name="표준 9 3 5 5 3" xfId="49020"/>
    <cellStyle name="표준 9 3 5 5 3 2" xfId="49021"/>
    <cellStyle name="표준 9 3 5 5 3 3" xfId="49022"/>
    <cellStyle name="표준 9 3 5 5 4" xfId="49023"/>
    <cellStyle name="표준 9 3 5 5 5" xfId="49024"/>
    <cellStyle name="표준 9 3 5 6" xfId="49025"/>
    <cellStyle name="표준 9 3 5 6 2" xfId="49026"/>
    <cellStyle name="표준 9 3 5 6 2 2" xfId="49027"/>
    <cellStyle name="표준 9 3 5 6 2 2 2" xfId="49028"/>
    <cellStyle name="표준 9 3 5 6 2 2 3" xfId="49029"/>
    <cellStyle name="표준 9 3 5 6 2 3" xfId="49030"/>
    <cellStyle name="표준 9 3 5 6 2 4" xfId="49031"/>
    <cellStyle name="표준 9 3 5 6 3" xfId="49032"/>
    <cellStyle name="표준 9 3 5 6 3 2" xfId="49033"/>
    <cellStyle name="표준 9 3 5 6 3 3" xfId="49034"/>
    <cellStyle name="표준 9 3 5 6 4" xfId="49035"/>
    <cellStyle name="표준 9 3 5 6 5" xfId="49036"/>
    <cellStyle name="표준 9 3 5 7" xfId="49037"/>
    <cellStyle name="표준 9 3 5 7 2" xfId="49038"/>
    <cellStyle name="표준 9 3 5 7 2 2" xfId="49039"/>
    <cellStyle name="표준 9 3 5 7 2 3" xfId="49040"/>
    <cellStyle name="표준 9 3 5 7 3" xfId="49041"/>
    <cellStyle name="표준 9 3 5 7 4" xfId="49042"/>
    <cellStyle name="표준 9 3 5 8" xfId="49043"/>
    <cellStyle name="표준 9 3 5 8 2" xfId="49044"/>
    <cellStyle name="표준 9 3 5 8 3" xfId="49045"/>
    <cellStyle name="표준 9 3 5 9" xfId="49046"/>
    <cellStyle name="표준 9 3 6" xfId="49047"/>
    <cellStyle name="표준 9 3 6 2" xfId="49048"/>
    <cellStyle name="표준 9 3 6 2 2" xfId="49049"/>
    <cellStyle name="표준 9 3 6 2 2 2" xfId="49050"/>
    <cellStyle name="표준 9 3 6 2 2 2 2" xfId="49051"/>
    <cellStyle name="표준 9 3 6 2 2 2 3" xfId="49052"/>
    <cellStyle name="표준 9 3 6 2 2 3" xfId="49053"/>
    <cellStyle name="표준 9 3 6 2 2 4" xfId="49054"/>
    <cellStyle name="표준 9 3 6 2 3" xfId="49055"/>
    <cellStyle name="표준 9 3 6 2 3 2" xfId="49056"/>
    <cellStyle name="표준 9 3 6 2 3 3" xfId="49057"/>
    <cellStyle name="표준 9 3 6 2 4" xfId="49058"/>
    <cellStyle name="표준 9 3 6 2 5" xfId="49059"/>
    <cellStyle name="표준 9 3 6 3" xfId="49060"/>
    <cellStyle name="표준 9 3 6 3 2" xfId="49061"/>
    <cellStyle name="표준 9 3 6 3 2 2" xfId="49062"/>
    <cellStyle name="표준 9 3 6 3 2 2 2" xfId="49063"/>
    <cellStyle name="표준 9 3 6 3 2 2 3" xfId="49064"/>
    <cellStyle name="표준 9 3 6 3 2 3" xfId="49065"/>
    <cellStyle name="표준 9 3 6 3 2 4" xfId="49066"/>
    <cellStyle name="표준 9 3 6 3 3" xfId="49067"/>
    <cellStyle name="표준 9 3 6 3 3 2" xfId="49068"/>
    <cellStyle name="표준 9 3 6 3 3 3" xfId="49069"/>
    <cellStyle name="표준 9 3 6 3 4" xfId="49070"/>
    <cellStyle name="표준 9 3 6 3 5" xfId="49071"/>
    <cellStyle name="표준 9 3 6 4" xfId="49072"/>
    <cellStyle name="표준 9 3 6 4 2" xfId="49073"/>
    <cellStyle name="표준 9 3 6 4 2 2" xfId="49074"/>
    <cellStyle name="표준 9 3 6 4 2 3" xfId="49075"/>
    <cellStyle name="표준 9 3 6 4 3" xfId="49076"/>
    <cellStyle name="표준 9 3 6 4 4" xfId="49077"/>
    <cellStyle name="표준 9 3 6 5" xfId="49078"/>
    <cellStyle name="표준 9 3 6 5 2" xfId="49079"/>
    <cellStyle name="표준 9 3 6 5 3" xfId="49080"/>
    <cellStyle name="표준 9 3 6 6" xfId="49081"/>
    <cellStyle name="표준 9 3 6 7" xfId="49082"/>
    <cellStyle name="표준 9 3 7" xfId="49083"/>
    <cellStyle name="표준 9 3 7 2" xfId="49084"/>
    <cellStyle name="표준 9 3 7 2 2" xfId="49085"/>
    <cellStyle name="표준 9 3 7 2 2 2" xfId="49086"/>
    <cellStyle name="표준 9 3 7 2 2 2 2" xfId="49087"/>
    <cellStyle name="표준 9 3 7 2 2 2 3" xfId="49088"/>
    <cellStyle name="표준 9 3 7 2 2 3" xfId="49089"/>
    <cellStyle name="표준 9 3 7 2 2 4" xfId="49090"/>
    <cellStyle name="표준 9 3 7 2 3" xfId="49091"/>
    <cellStyle name="표준 9 3 7 2 3 2" xfId="49092"/>
    <cellStyle name="표준 9 3 7 2 3 3" xfId="49093"/>
    <cellStyle name="표준 9 3 7 2 4" xfId="49094"/>
    <cellStyle name="표준 9 3 7 2 5" xfId="49095"/>
    <cellStyle name="표준 9 3 7 3" xfId="49096"/>
    <cellStyle name="표준 9 3 7 3 2" xfId="49097"/>
    <cellStyle name="표준 9 3 7 3 2 2" xfId="49098"/>
    <cellStyle name="표준 9 3 7 3 2 2 2" xfId="49099"/>
    <cellStyle name="표준 9 3 7 3 2 2 3" xfId="49100"/>
    <cellStyle name="표준 9 3 7 3 2 3" xfId="49101"/>
    <cellStyle name="표준 9 3 7 3 2 4" xfId="49102"/>
    <cellStyle name="표준 9 3 7 3 3" xfId="49103"/>
    <cellStyle name="표준 9 3 7 3 3 2" xfId="49104"/>
    <cellStyle name="표준 9 3 7 3 3 3" xfId="49105"/>
    <cellStyle name="표준 9 3 7 3 4" xfId="49106"/>
    <cellStyle name="표준 9 3 7 3 5" xfId="49107"/>
    <cellStyle name="표준 9 3 7 4" xfId="49108"/>
    <cellStyle name="표준 9 3 7 4 2" xfId="49109"/>
    <cellStyle name="표준 9 3 7 4 2 2" xfId="49110"/>
    <cellStyle name="표준 9 3 7 4 2 3" xfId="49111"/>
    <cellStyle name="표준 9 3 7 4 3" xfId="49112"/>
    <cellStyle name="표준 9 3 7 4 4" xfId="49113"/>
    <cellStyle name="표준 9 3 7 5" xfId="49114"/>
    <cellStyle name="표준 9 3 7 5 2" xfId="49115"/>
    <cellStyle name="표준 9 3 7 5 3" xfId="49116"/>
    <cellStyle name="표준 9 3 7 6" xfId="49117"/>
    <cellStyle name="표준 9 3 7 7" xfId="49118"/>
    <cellStyle name="표준 9 3 8" xfId="49119"/>
    <cellStyle name="표준 9 3 8 2" xfId="49120"/>
    <cellStyle name="표준 9 3 8 2 2" xfId="49121"/>
    <cellStyle name="표준 9 3 8 2 2 2" xfId="49122"/>
    <cellStyle name="표준 9 3 8 2 2 3" xfId="49123"/>
    <cellStyle name="표준 9 3 8 2 3" xfId="49124"/>
    <cellStyle name="표준 9 3 8 2 4" xfId="49125"/>
    <cellStyle name="표준 9 3 8 3" xfId="49126"/>
    <cellStyle name="표준 9 3 8 3 2" xfId="49127"/>
    <cellStyle name="표준 9 3 8 3 3" xfId="49128"/>
    <cellStyle name="표준 9 3 8 4" xfId="49129"/>
    <cellStyle name="표준 9 3 8 5" xfId="49130"/>
    <cellStyle name="표준 9 3 9" xfId="49131"/>
    <cellStyle name="표준 9 3 9 2" xfId="49132"/>
    <cellStyle name="표준 9 3 9 2 2" xfId="49133"/>
    <cellStyle name="표준 9 3 9 2 2 2" xfId="49134"/>
    <cellStyle name="표준 9 3 9 2 2 3" xfId="49135"/>
    <cellStyle name="표준 9 3 9 2 3" xfId="49136"/>
    <cellStyle name="표준 9 3 9 2 4" xfId="49137"/>
    <cellStyle name="표준 9 3 9 3" xfId="49138"/>
    <cellStyle name="표준 9 3 9 3 2" xfId="49139"/>
    <cellStyle name="표준 9 3 9 3 3" xfId="49140"/>
    <cellStyle name="표준 9 3 9 4" xfId="49141"/>
    <cellStyle name="표준 9 3 9 5" xfId="49142"/>
    <cellStyle name="표준 9 4" xfId="49143"/>
    <cellStyle name="표준 9 4 10" xfId="49144"/>
    <cellStyle name="표준 9 4 10 2" xfId="49145"/>
    <cellStyle name="표준 9 4 10 2 2" xfId="49146"/>
    <cellStyle name="표준 9 4 10 2 2 2" xfId="49147"/>
    <cellStyle name="표준 9 4 10 2 2 3" xfId="49148"/>
    <cellStyle name="표준 9 4 10 2 3" xfId="49149"/>
    <cellStyle name="표준 9 4 10 2 4" xfId="49150"/>
    <cellStyle name="표준 9 4 10 3" xfId="49151"/>
    <cellStyle name="표준 9 4 10 3 2" xfId="49152"/>
    <cellStyle name="표준 9 4 10 3 3" xfId="49153"/>
    <cellStyle name="표준 9 4 10 4" xfId="49154"/>
    <cellStyle name="표준 9 4 10 5" xfId="49155"/>
    <cellStyle name="표준 9 4 11" xfId="49156"/>
    <cellStyle name="표준 9 4 11 2" xfId="49157"/>
    <cellStyle name="표준 9 4 11 2 2" xfId="49158"/>
    <cellStyle name="표준 9 4 11 2 3" xfId="49159"/>
    <cellStyle name="표준 9 4 11 3" xfId="49160"/>
    <cellStyle name="표준 9 4 11 4" xfId="49161"/>
    <cellStyle name="표준 9 4 12" xfId="49162"/>
    <cellStyle name="표준 9 4 12 2" xfId="49163"/>
    <cellStyle name="표준 9 4 12 3" xfId="49164"/>
    <cellStyle name="표준 9 4 13" xfId="49165"/>
    <cellStyle name="표준 9 4 14" xfId="49166"/>
    <cellStyle name="표준 9 4 2" xfId="49167"/>
    <cellStyle name="표준 9 4 2 10" xfId="49168"/>
    <cellStyle name="표준 9 4 2 10 2" xfId="49169"/>
    <cellStyle name="표준 9 4 2 10 2 2" xfId="49170"/>
    <cellStyle name="표준 9 4 2 10 2 3" xfId="49171"/>
    <cellStyle name="표준 9 4 2 10 3" xfId="49172"/>
    <cellStyle name="표준 9 4 2 10 4" xfId="49173"/>
    <cellStyle name="표준 9 4 2 11" xfId="49174"/>
    <cellStyle name="표준 9 4 2 11 2" xfId="49175"/>
    <cellStyle name="표준 9 4 2 11 3" xfId="49176"/>
    <cellStyle name="표준 9 4 2 12" xfId="49177"/>
    <cellStyle name="표준 9 4 2 13" xfId="49178"/>
    <cellStyle name="표준 9 4 2 2" xfId="49179"/>
    <cellStyle name="표준 9 4 2 2 10" xfId="49180"/>
    <cellStyle name="표준 9 4 2 2 2" xfId="49181"/>
    <cellStyle name="표준 9 4 2 2 2 2" xfId="49182"/>
    <cellStyle name="표준 9 4 2 2 2 2 2" xfId="49183"/>
    <cellStyle name="표준 9 4 2 2 2 2 2 2" xfId="49184"/>
    <cellStyle name="표준 9 4 2 2 2 2 2 2 2" xfId="49185"/>
    <cellStyle name="표준 9 4 2 2 2 2 2 2 3" xfId="49186"/>
    <cellStyle name="표준 9 4 2 2 2 2 2 3" xfId="49187"/>
    <cellStyle name="표준 9 4 2 2 2 2 2 4" xfId="49188"/>
    <cellStyle name="표준 9 4 2 2 2 2 3" xfId="49189"/>
    <cellStyle name="표준 9 4 2 2 2 2 3 2" xfId="49190"/>
    <cellStyle name="표준 9 4 2 2 2 2 3 3" xfId="49191"/>
    <cellStyle name="표준 9 4 2 2 2 2 4" xfId="49192"/>
    <cellStyle name="표준 9 4 2 2 2 2 5" xfId="49193"/>
    <cellStyle name="표준 9 4 2 2 2 3" xfId="49194"/>
    <cellStyle name="표준 9 4 2 2 2 3 2" xfId="49195"/>
    <cellStyle name="표준 9 4 2 2 2 3 2 2" xfId="49196"/>
    <cellStyle name="표준 9 4 2 2 2 3 2 2 2" xfId="49197"/>
    <cellStyle name="표준 9 4 2 2 2 3 2 2 3" xfId="49198"/>
    <cellStyle name="표준 9 4 2 2 2 3 2 3" xfId="49199"/>
    <cellStyle name="표준 9 4 2 2 2 3 2 4" xfId="49200"/>
    <cellStyle name="표준 9 4 2 2 2 3 3" xfId="49201"/>
    <cellStyle name="표준 9 4 2 2 2 3 3 2" xfId="49202"/>
    <cellStyle name="표준 9 4 2 2 2 3 3 3" xfId="49203"/>
    <cellStyle name="표준 9 4 2 2 2 3 4" xfId="49204"/>
    <cellStyle name="표준 9 4 2 2 2 3 5" xfId="49205"/>
    <cellStyle name="표준 9 4 2 2 2 4" xfId="49206"/>
    <cellStyle name="표준 9 4 2 2 2 4 2" xfId="49207"/>
    <cellStyle name="표준 9 4 2 2 2 4 2 2" xfId="49208"/>
    <cellStyle name="표준 9 4 2 2 2 4 2 3" xfId="49209"/>
    <cellStyle name="표준 9 4 2 2 2 4 3" xfId="49210"/>
    <cellStyle name="표준 9 4 2 2 2 4 4" xfId="49211"/>
    <cellStyle name="표준 9 4 2 2 2 5" xfId="49212"/>
    <cellStyle name="표준 9 4 2 2 2 5 2" xfId="49213"/>
    <cellStyle name="표준 9 4 2 2 2 5 3" xfId="49214"/>
    <cellStyle name="표준 9 4 2 2 2 6" xfId="49215"/>
    <cellStyle name="표준 9 4 2 2 2 7" xfId="49216"/>
    <cellStyle name="표준 9 4 2 2 3" xfId="49217"/>
    <cellStyle name="표준 9 4 2 2 3 2" xfId="49218"/>
    <cellStyle name="표준 9 4 2 2 3 2 2" xfId="49219"/>
    <cellStyle name="표준 9 4 2 2 3 2 2 2" xfId="49220"/>
    <cellStyle name="표준 9 4 2 2 3 2 2 2 2" xfId="49221"/>
    <cellStyle name="표준 9 4 2 2 3 2 2 2 3" xfId="49222"/>
    <cellStyle name="표준 9 4 2 2 3 2 2 3" xfId="49223"/>
    <cellStyle name="표준 9 4 2 2 3 2 2 4" xfId="49224"/>
    <cellStyle name="표준 9 4 2 2 3 2 3" xfId="49225"/>
    <cellStyle name="표준 9 4 2 2 3 2 3 2" xfId="49226"/>
    <cellStyle name="표준 9 4 2 2 3 2 3 3" xfId="49227"/>
    <cellStyle name="표준 9 4 2 2 3 2 4" xfId="49228"/>
    <cellStyle name="표준 9 4 2 2 3 2 5" xfId="49229"/>
    <cellStyle name="표준 9 4 2 2 3 3" xfId="49230"/>
    <cellStyle name="표준 9 4 2 2 3 3 2" xfId="49231"/>
    <cellStyle name="표준 9 4 2 2 3 3 2 2" xfId="49232"/>
    <cellStyle name="표준 9 4 2 2 3 3 2 2 2" xfId="49233"/>
    <cellStyle name="표준 9 4 2 2 3 3 2 2 3" xfId="49234"/>
    <cellStyle name="표준 9 4 2 2 3 3 2 3" xfId="49235"/>
    <cellStyle name="표준 9 4 2 2 3 3 2 4" xfId="49236"/>
    <cellStyle name="표준 9 4 2 2 3 3 3" xfId="49237"/>
    <cellStyle name="표준 9 4 2 2 3 3 3 2" xfId="49238"/>
    <cellStyle name="표준 9 4 2 2 3 3 3 3" xfId="49239"/>
    <cellStyle name="표준 9 4 2 2 3 3 4" xfId="49240"/>
    <cellStyle name="표준 9 4 2 2 3 3 5" xfId="49241"/>
    <cellStyle name="표준 9 4 2 2 3 4" xfId="49242"/>
    <cellStyle name="표준 9 4 2 2 3 4 2" xfId="49243"/>
    <cellStyle name="표준 9 4 2 2 3 4 2 2" xfId="49244"/>
    <cellStyle name="표준 9 4 2 2 3 4 2 3" xfId="49245"/>
    <cellStyle name="표준 9 4 2 2 3 4 3" xfId="49246"/>
    <cellStyle name="표준 9 4 2 2 3 4 4" xfId="49247"/>
    <cellStyle name="표준 9 4 2 2 3 5" xfId="49248"/>
    <cellStyle name="표준 9 4 2 2 3 5 2" xfId="49249"/>
    <cellStyle name="표준 9 4 2 2 3 5 3" xfId="49250"/>
    <cellStyle name="표준 9 4 2 2 3 6" xfId="49251"/>
    <cellStyle name="표준 9 4 2 2 3 7" xfId="49252"/>
    <cellStyle name="표준 9 4 2 2 4" xfId="49253"/>
    <cellStyle name="표준 9 4 2 2 4 2" xfId="49254"/>
    <cellStyle name="표준 9 4 2 2 4 2 2" xfId="49255"/>
    <cellStyle name="표준 9 4 2 2 4 2 2 2" xfId="49256"/>
    <cellStyle name="표준 9 4 2 2 4 2 2 3" xfId="49257"/>
    <cellStyle name="표준 9 4 2 2 4 2 3" xfId="49258"/>
    <cellStyle name="표준 9 4 2 2 4 2 4" xfId="49259"/>
    <cellStyle name="표준 9 4 2 2 4 3" xfId="49260"/>
    <cellStyle name="표준 9 4 2 2 4 3 2" xfId="49261"/>
    <cellStyle name="표준 9 4 2 2 4 3 3" xfId="49262"/>
    <cellStyle name="표준 9 4 2 2 4 4" xfId="49263"/>
    <cellStyle name="표준 9 4 2 2 4 5" xfId="49264"/>
    <cellStyle name="표준 9 4 2 2 5" xfId="49265"/>
    <cellStyle name="표준 9 4 2 2 5 2" xfId="49266"/>
    <cellStyle name="표준 9 4 2 2 5 2 2" xfId="49267"/>
    <cellStyle name="표준 9 4 2 2 5 2 2 2" xfId="49268"/>
    <cellStyle name="표준 9 4 2 2 5 2 2 3" xfId="49269"/>
    <cellStyle name="표준 9 4 2 2 5 2 3" xfId="49270"/>
    <cellStyle name="표준 9 4 2 2 5 2 4" xfId="49271"/>
    <cellStyle name="표준 9 4 2 2 5 3" xfId="49272"/>
    <cellStyle name="표준 9 4 2 2 5 3 2" xfId="49273"/>
    <cellStyle name="표준 9 4 2 2 5 3 3" xfId="49274"/>
    <cellStyle name="표준 9 4 2 2 5 4" xfId="49275"/>
    <cellStyle name="표준 9 4 2 2 5 5" xfId="49276"/>
    <cellStyle name="표준 9 4 2 2 6" xfId="49277"/>
    <cellStyle name="표준 9 4 2 2 6 2" xfId="49278"/>
    <cellStyle name="표준 9 4 2 2 6 2 2" xfId="49279"/>
    <cellStyle name="표준 9 4 2 2 6 2 2 2" xfId="49280"/>
    <cellStyle name="표준 9 4 2 2 6 2 2 3" xfId="49281"/>
    <cellStyle name="표준 9 4 2 2 6 2 3" xfId="49282"/>
    <cellStyle name="표준 9 4 2 2 6 2 4" xfId="49283"/>
    <cellStyle name="표준 9 4 2 2 6 3" xfId="49284"/>
    <cellStyle name="표준 9 4 2 2 6 3 2" xfId="49285"/>
    <cellStyle name="표준 9 4 2 2 6 3 3" xfId="49286"/>
    <cellStyle name="표준 9 4 2 2 6 4" xfId="49287"/>
    <cellStyle name="표준 9 4 2 2 6 5" xfId="49288"/>
    <cellStyle name="표준 9 4 2 2 7" xfId="49289"/>
    <cellStyle name="표준 9 4 2 2 7 2" xfId="49290"/>
    <cellStyle name="표준 9 4 2 2 7 2 2" xfId="49291"/>
    <cellStyle name="표준 9 4 2 2 7 2 3" xfId="49292"/>
    <cellStyle name="표준 9 4 2 2 7 3" xfId="49293"/>
    <cellStyle name="표준 9 4 2 2 7 4" xfId="49294"/>
    <cellStyle name="표준 9 4 2 2 8" xfId="49295"/>
    <cellStyle name="표준 9 4 2 2 8 2" xfId="49296"/>
    <cellStyle name="표준 9 4 2 2 8 3" xfId="49297"/>
    <cellStyle name="표준 9 4 2 2 9" xfId="49298"/>
    <cellStyle name="표준 9 4 2 3" xfId="49299"/>
    <cellStyle name="표준 9 4 2 3 10" xfId="49300"/>
    <cellStyle name="표준 9 4 2 3 2" xfId="49301"/>
    <cellStyle name="표준 9 4 2 3 2 2" xfId="49302"/>
    <cellStyle name="표준 9 4 2 3 2 2 2" xfId="49303"/>
    <cellStyle name="표준 9 4 2 3 2 2 2 2" xfId="49304"/>
    <cellStyle name="표준 9 4 2 3 2 2 2 2 2" xfId="49305"/>
    <cellStyle name="표준 9 4 2 3 2 2 2 2 3" xfId="49306"/>
    <cellStyle name="표준 9 4 2 3 2 2 2 3" xfId="49307"/>
    <cellStyle name="표준 9 4 2 3 2 2 2 4" xfId="49308"/>
    <cellStyle name="표준 9 4 2 3 2 2 3" xfId="49309"/>
    <cellStyle name="표준 9 4 2 3 2 2 3 2" xfId="49310"/>
    <cellStyle name="표준 9 4 2 3 2 2 3 3" xfId="49311"/>
    <cellStyle name="표준 9 4 2 3 2 2 4" xfId="49312"/>
    <cellStyle name="표준 9 4 2 3 2 2 5" xfId="49313"/>
    <cellStyle name="표준 9 4 2 3 2 3" xfId="49314"/>
    <cellStyle name="표준 9 4 2 3 2 3 2" xfId="49315"/>
    <cellStyle name="표준 9 4 2 3 2 3 2 2" xfId="49316"/>
    <cellStyle name="표준 9 4 2 3 2 3 2 2 2" xfId="49317"/>
    <cellStyle name="표준 9 4 2 3 2 3 2 2 3" xfId="49318"/>
    <cellStyle name="표준 9 4 2 3 2 3 2 3" xfId="49319"/>
    <cellStyle name="표준 9 4 2 3 2 3 2 4" xfId="49320"/>
    <cellStyle name="표준 9 4 2 3 2 3 3" xfId="49321"/>
    <cellStyle name="표준 9 4 2 3 2 3 3 2" xfId="49322"/>
    <cellStyle name="표준 9 4 2 3 2 3 3 3" xfId="49323"/>
    <cellStyle name="표준 9 4 2 3 2 3 4" xfId="49324"/>
    <cellStyle name="표준 9 4 2 3 2 3 5" xfId="49325"/>
    <cellStyle name="표준 9 4 2 3 2 4" xfId="49326"/>
    <cellStyle name="표준 9 4 2 3 2 4 2" xfId="49327"/>
    <cellStyle name="표준 9 4 2 3 2 4 2 2" xfId="49328"/>
    <cellStyle name="표준 9 4 2 3 2 4 2 3" xfId="49329"/>
    <cellStyle name="표준 9 4 2 3 2 4 3" xfId="49330"/>
    <cellStyle name="표준 9 4 2 3 2 4 4" xfId="49331"/>
    <cellStyle name="표준 9 4 2 3 2 5" xfId="49332"/>
    <cellStyle name="표준 9 4 2 3 2 5 2" xfId="49333"/>
    <cellStyle name="표준 9 4 2 3 2 5 3" xfId="49334"/>
    <cellStyle name="표준 9 4 2 3 2 6" xfId="49335"/>
    <cellStyle name="표준 9 4 2 3 2 7" xfId="49336"/>
    <cellStyle name="표준 9 4 2 3 3" xfId="49337"/>
    <cellStyle name="표준 9 4 2 3 3 2" xfId="49338"/>
    <cellStyle name="표준 9 4 2 3 3 2 2" xfId="49339"/>
    <cellStyle name="표준 9 4 2 3 3 2 2 2" xfId="49340"/>
    <cellStyle name="표준 9 4 2 3 3 2 2 2 2" xfId="49341"/>
    <cellStyle name="표준 9 4 2 3 3 2 2 2 3" xfId="49342"/>
    <cellStyle name="표준 9 4 2 3 3 2 2 3" xfId="49343"/>
    <cellStyle name="표준 9 4 2 3 3 2 2 4" xfId="49344"/>
    <cellStyle name="표준 9 4 2 3 3 2 3" xfId="49345"/>
    <cellStyle name="표준 9 4 2 3 3 2 3 2" xfId="49346"/>
    <cellStyle name="표준 9 4 2 3 3 2 3 3" xfId="49347"/>
    <cellStyle name="표준 9 4 2 3 3 2 4" xfId="49348"/>
    <cellStyle name="표준 9 4 2 3 3 2 5" xfId="49349"/>
    <cellStyle name="표준 9 4 2 3 3 3" xfId="49350"/>
    <cellStyle name="표준 9 4 2 3 3 3 2" xfId="49351"/>
    <cellStyle name="표준 9 4 2 3 3 3 2 2" xfId="49352"/>
    <cellStyle name="표준 9 4 2 3 3 3 2 2 2" xfId="49353"/>
    <cellStyle name="표준 9 4 2 3 3 3 2 2 3" xfId="49354"/>
    <cellStyle name="표준 9 4 2 3 3 3 2 3" xfId="49355"/>
    <cellStyle name="표준 9 4 2 3 3 3 2 4" xfId="49356"/>
    <cellStyle name="표준 9 4 2 3 3 3 3" xfId="49357"/>
    <cellStyle name="표준 9 4 2 3 3 3 3 2" xfId="49358"/>
    <cellStyle name="표준 9 4 2 3 3 3 3 3" xfId="49359"/>
    <cellStyle name="표준 9 4 2 3 3 3 4" xfId="49360"/>
    <cellStyle name="표준 9 4 2 3 3 3 5" xfId="49361"/>
    <cellStyle name="표준 9 4 2 3 3 4" xfId="49362"/>
    <cellStyle name="표준 9 4 2 3 3 4 2" xfId="49363"/>
    <cellStyle name="표준 9 4 2 3 3 4 2 2" xfId="49364"/>
    <cellStyle name="표준 9 4 2 3 3 4 2 3" xfId="49365"/>
    <cellStyle name="표준 9 4 2 3 3 4 3" xfId="49366"/>
    <cellStyle name="표준 9 4 2 3 3 4 4" xfId="49367"/>
    <cellStyle name="표준 9 4 2 3 3 5" xfId="49368"/>
    <cellStyle name="표준 9 4 2 3 3 5 2" xfId="49369"/>
    <cellStyle name="표준 9 4 2 3 3 5 3" xfId="49370"/>
    <cellStyle name="표준 9 4 2 3 3 6" xfId="49371"/>
    <cellStyle name="표준 9 4 2 3 3 7" xfId="49372"/>
    <cellStyle name="표준 9 4 2 3 4" xfId="49373"/>
    <cellStyle name="표준 9 4 2 3 4 2" xfId="49374"/>
    <cellStyle name="표준 9 4 2 3 4 2 2" xfId="49375"/>
    <cellStyle name="표준 9 4 2 3 4 2 2 2" xfId="49376"/>
    <cellStyle name="표준 9 4 2 3 4 2 2 3" xfId="49377"/>
    <cellStyle name="표준 9 4 2 3 4 2 3" xfId="49378"/>
    <cellStyle name="표준 9 4 2 3 4 2 4" xfId="49379"/>
    <cellStyle name="표준 9 4 2 3 4 3" xfId="49380"/>
    <cellStyle name="표준 9 4 2 3 4 3 2" xfId="49381"/>
    <cellStyle name="표준 9 4 2 3 4 3 3" xfId="49382"/>
    <cellStyle name="표준 9 4 2 3 4 4" xfId="49383"/>
    <cellStyle name="표준 9 4 2 3 4 5" xfId="49384"/>
    <cellStyle name="표준 9 4 2 3 5" xfId="49385"/>
    <cellStyle name="표준 9 4 2 3 5 2" xfId="49386"/>
    <cellStyle name="표준 9 4 2 3 5 2 2" xfId="49387"/>
    <cellStyle name="표준 9 4 2 3 5 2 2 2" xfId="49388"/>
    <cellStyle name="표준 9 4 2 3 5 2 2 3" xfId="49389"/>
    <cellStyle name="표준 9 4 2 3 5 2 3" xfId="49390"/>
    <cellStyle name="표준 9 4 2 3 5 2 4" xfId="49391"/>
    <cellStyle name="표준 9 4 2 3 5 3" xfId="49392"/>
    <cellStyle name="표준 9 4 2 3 5 3 2" xfId="49393"/>
    <cellStyle name="표준 9 4 2 3 5 3 3" xfId="49394"/>
    <cellStyle name="표준 9 4 2 3 5 4" xfId="49395"/>
    <cellStyle name="표준 9 4 2 3 5 5" xfId="49396"/>
    <cellStyle name="표준 9 4 2 3 6" xfId="49397"/>
    <cellStyle name="표준 9 4 2 3 6 2" xfId="49398"/>
    <cellStyle name="표준 9 4 2 3 6 2 2" xfId="49399"/>
    <cellStyle name="표준 9 4 2 3 6 2 2 2" xfId="49400"/>
    <cellStyle name="표준 9 4 2 3 6 2 2 3" xfId="49401"/>
    <cellStyle name="표준 9 4 2 3 6 2 3" xfId="49402"/>
    <cellStyle name="표준 9 4 2 3 6 2 4" xfId="49403"/>
    <cellStyle name="표준 9 4 2 3 6 3" xfId="49404"/>
    <cellStyle name="표준 9 4 2 3 6 3 2" xfId="49405"/>
    <cellStyle name="표준 9 4 2 3 6 3 3" xfId="49406"/>
    <cellStyle name="표준 9 4 2 3 6 4" xfId="49407"/>
    <cellStyle name="표준 9 4 2 3 6 5" xfId="49408"/>
    <cellStyle name="표준 9 4 2 3 7" xfId="49409"/>
    <cellStyle name="표준 9 4 2 3 7 2" xfId="49410"/>
    <cellStyle name="표준 9 4 2 3 7 2 2" xfId="49411"/>
    <cellStyle name="표준 9 4 2 3 7 2 3" xfId="49412"/>
    <cellStyle name="표준 9 4 2 3 7 3" xfId="49413"/>
    <cellStyle name="표준 9 4 2 3 7 4" xfId="49414"/>
    <cellStyle name="표준 9 4 2 3 8" xfId="49415"/>
    <cellStyle name="표준 9 4 2 3 8 2" xfId="49416"/>
    <cellStyle name="표준 9 4 2 3 8 3" xfId="49417"/>
    <cellStyle name="표준 9 4 2 3 9" xfId="49418"/>
    <cellStyle name="표준 9 4 2 4" xfId="49419"/>
    <cellStyle name="표준 9 4 2 4 10" xfId="49420"/>
    <cellStyle name="표준 9 4 2 4 2" xfId="49421"/>
    <cellStyle name="표준 9 4 2 4 2 2" xfId="49422"/>
    <cellStyle name="표준 9 4 2 4 2 2 2" xfId="49423"/>
    <cellStyle name="표준 9 4 2 4 2 2 2 2" xfId="49424"/>
    <cellStyle name="표준 9 4 2 4 2 2 2 2 2" xfId="49425"/>
    <cellStyle name="표준 9 4 2 4 2 2 2 2 3" xfId="49426"/>
    <cellStyle name="표준 9 4 2 4 2 2 2 3" xfId="49427"/>
    <cellStyle name="표준 9 4 2 4 2 2 2 4" xfId="49428"/>
    <cellStyle name="표준 9 4 2 4 2 2 3" xfId="49429"/>
    <cellStyle name="표준 9 4 2 4 2 2 3 2" xfId="49430"/>
    <cellStyle name="표준 9 4 2 4 2 2 3 3" xfId="49431"/>
    <cellStyle name="표준 9 4 2 4 2 2 4" xfId="49432"/>
    <cellStyle name="표준 9 4 2 4 2 2 5" xfId="49433"/>
    <cellStyle name="표준 9 4 2 4 2 3" xfId="49434"/>
    <cellStyle name="표준 9 4 2 4 2 3 2" xfId="49435"/>
    <cellStyle name="표준 9 4 2 4 2 3 2 2" xfId="49436"/>
    <cellStyle name="표준 9 4 2 4 2 3 2 2 2" xfId="49437"/>
    <cellStyle name="표준 9 4 2 4 2 3 2 2 3" xfId="49438"/>
    <cellStyle name="표준 9 4 2 4 2 3 2 3" xfId="49439"/>
    <cellStyle name="표준 9 4 2 4 2 3 2 4" xfId="49440"/>
    <cellStyle name="표준 9 4 2 4 2 3 3" xfId="49441"/>
    <cellStyle name="표준 9 4 2 4 2 3 3 2" xfId="49442"/>
    <cellStyle name="표준 9 4 2 4 2 3 3 3" xfId="49443"/>
    <cellStyle name="표준 9 4 2 4 2 3 4" xfId="49444"/>
    <cellStyle name="표준 9 4 2 4 2 3 5" xfId="49445"/>
    <cellStyle name="표준 9 4 2 4 2 4" xfId="49446"/>
    <cellStyle name="표준 9 4 2 4 2 4 2" xfId="49447"/>
    <cellStyle name="표준 9 4 2 4 2 4 2 2" xfId="49448"/>
    <cellStyle name="표준 9 4 2 4 2 4 2 3" xfId="49449"/>
    <cellStyle name="표준 9 4 2 4 2 4 3" xfId="49450"/>
    <cellStyle name="표준 9 4 2 4 2 4 4" xfId="49451"/>
    <cellStyle name="표준 9 4 2 4 2 5" xfId="49452"/>
    <cellStyle name="표준 9 4 2 4 2 5 2" xfId="49453"/>
    <cellStyle name="표준 9 4 2 4 2 5 3" xfId="49454"/>
    <cellStyle name="표준 9 4 2 4 2 6" xfId="49455"/>
    <cellStyle name="표준 9 4 2 4 2 7" xfId="49456"/>
    <cellStyle name="표준 9 4 2 4 3" xfId="49457"/>
    <cellStyle name="표준 9 4 2 4 3 2" xfId="49458"/>
    <cellStyle name="표준 9 4 2 4 3 2 2" xfId="49459"/>
    <cellStyle name="표준 9 4 2 4 3 2 2 2" xfId="49460"/>
    <cellStyle name="표준 9 4 2 4 3 2 2 2 2" xfId="49461"/>
    <cellStyle name="표준 9 4 2 4 3 2 2 2 3" xfId="49462"/>
    <cellStyle name="표준 9 4 2 4 3 2 2 3" xfId="49463"/>
    <cellStyle name="표준 9 4 2 4 3 2 2 4" xfId="49464"/>
    <cellStyle name="표준 9 4 2 4 3 2 3" xfId="49465"/>
    <cellStyle name="표준 9 4 2 4 3 2 3 2" xfId="49466"/>
    <cellStyle name="표준 9 4 2 4 3 2 3 3" xfId="49467"/>
    <cellStyle name="표준 9 4 2 4 3 2 4" xfId="49468"/>
    <cellStyle name="표준 9 4 2 4 3 2 5" xfId="49469"/>
    <cellStyle name="표준 9 4 2 4 3 3" xfId="49470"/>
    <cellStyle name="표준 9 4 2 4 3 3 2" xfId="49471"/>
    <cellStyle name="표준 9 4 2 4 3 3 2 2" xfId="49472"/>
    <cellStyle name="표준 9 4 2 4 3 3 2 2 2" xfId="49473"/>
    <cellStyle name="표준 9 4 2 4 3 3 2 2 3" xfId="49474"/>
    <cellStyle name="표준 9 4 2 4 3 3 2 3" xfId="49475"/>
    <cellStyle name="표준 9 4 2 4 3 3 2 4" xfId="49476"/>
    <cellStyle name="표준 9 4 2 4 3 3 3" xfId="49477"/>
    <cellStyle name="표준 9 4 2 4 3 3 3 2" xfId="49478"/>
    <cellStyle name="표준 9 4 2 4 3 3 3 3" xfId="49479"/>
    <cellStyle name="표준 9 4 2 4 3 3 4" xfId="49480"/>
    <cellStyle name="표준 9 4 2 4 3 3 5" xfId="49481"/>
    <cellStyle name="표준 9 4 2 4 3 4" xfId="49482"/>
    <cellStyle name="표준 9 4 2 4 3 4 2" xfId="49483"/>
    <cellStyle name="표준 9 4 2 4 3 4 2 2" xfId="49484"/>
    <cellStyle name="표준 9 4 2 4 3 4 2 3" xfId="49485"/>
    <cellStyle name="표준 9 4 2 4 3 4 3" xfId="49486"/>
    <cellStyle name="표준 9 4 2 4 3 4 4" xfId="49487"/>
    <cellStyle name="표준 9 4 2 4 3 5" xfId="49488"/>
    <cellStyle name="표준 9 4 2 4 3 5 2" xfId="49489"/>
    <cellStyle name="표준 9 4 2 4 3 5 3" xfId="49490"/>
    <cellStyle name="표준 9 4 2 4 3 6" xfId="49491"/>
    <cellStyle name="표준 9 4 2 4 3 7" xfId="49492"/>
    <cellStyle name="표준 9 4 2 4 4" xfId="49493"/>
    <cellStyle name="표준 9 4 2 4 4 2" xfId="49494"/>
    <cellStyle name="표준 9 4 2 4 4 2 2" xfId="49495"/>
    <cellStyle name="표준 9 4 2 4 4 2 2 2" xfId="49496"/>
    <cellStyle name="표준 9 4 2 4 4 2 2 3" xfId="49497"/>
    <cellStyle name="표준 9 4 2 4 4 2 3" xfId="49498"/>
    <cellStyle name="표준 9 4 2 4 4 2 4" xfId="49499"/>
    <cellStyle name="표준 9 4 2 4 4 3" xfId="49500"/>
    <cellStyle name="표준 9 4 2 4 4 3 2" xfId="49501"/>
    <cellStyle name="표준 9 4 2 4 4 3 3" xfId="49502"/>
    <cellStyle name="표준 9 4 2 4 4 4" xfId="49503"/>
    <cellStyle name="표준 9 4 2 4 4 5" xfId="49504"/>
    <cellStyle name="표준 9 4 2 4 5" xfId="49505"/>
    <cellStyle name="표준 9 4 2 4 5 2" xfId="49506"/>
    <cellStyle name="표준 9 4 2 4 5 2 2" xfId="49507"/>
    <cellStyle name="표준 9 4 2 4 5 2 2 2" xfId="49508"/>
    <cellStyle name="표준 9 4 2 4 5 2 2 3" xfId="49509"/>
    <cellStyle name="표준 9 4 2 4 5 2 3" xfId="49510"/>
    <cellStyle name="표준 9 4 2 4 5 2 4" xfId="49511"/>
    <cellStyle name="표준 9 4 2 4 5 3" xfId="49512"/>
    <cellStyle name="표준 9 4 2 4 5 3 2" xfId="49513"/>
    <cellStyle name="표준 9 4 2 4 5 3 3" xfId="49514"/>
    <cellStyle name="표준 9 4 2 4 5 4" xfId="49515"/>
    <cellStyle name="표준 9 4 2 4 5 5" xfId="49516"/>
    <cellStyle name="표준 9 4 2 4 6" xfId="49517"/>
    <cellStyle name="표준 9 4 2 4 6 2" xfId="49518"/>
    <cellStyle name="표준 9 4 2 4 6 2 2" xfId="49519"/>
    <cellStyle name="표준 9 4 2 4 6 2 2 2" xfId="49520"/>
    <cellStyle name="표준 9 4 2 4 6 2 2 3" xfId="49521"/>
    <cellStyle name="표준 9 4 2 4 6 2 3" xfId="49522"/>
    <cellStyle name="표준 9 4 2 4 6 2 4" xfId="49523"/>
    <cellStyle name="표준 9 4 2 4 6 3" xfId="49524"/>
    <cellStyle name="표준 9 4 2 4 6 3 2" xfId="49525"/>
    <cellStyle name="표준 9 4 2 4 6 3 3" xfId="49526"/>
    <cellStyle name="표준 9 4 2 4 6 4" xfId="49527"/>
    <cellStyle name="표준 9 4 2 4 6 5" xfId="49528"/>
    <cellStyle name="표준 9 4 2 4 7" xfId="49529"/>
    <cellStyle name="표준 9 4 2 4 7 2" xfId="49530"/>
    <cellStyle name="표준 9 4 2 4 7 2 2" xfId="49531"/>
    <cellStyle name="표준 9 4 2 4 7 2 3" xfId="49532"/>
    <cellStyle name="표준 9 4 2 4 7 3" xfId="49533"/>
    <cellStyle name="표준 9 4 2 4 7 4" xfId="49534"/>
    <cellStyle name="표준 9 4 2 4 8" xfId="49535"/>
    <cellStyle name="표준 9 4 2 4 8 2" xfId="49536"/>
    <cellStyle name="표준 9 4 2 4 8 3" xfId="49537"/>
    <cellStyle name="표준 9 4 2 4 9" xfId="49538"/>
    <cellStyle name="표준 9 4 2 5" xfId="49539"/>
    <cellStyle name="표준 9 4 2 5 2" xfId="49540"/>
    <cellStyle name="표준 9 4 2 5 2 2" xfId="49541"/>
    <cellStyle name="표준 9 4 2 5 2 2 2" xfId="49542"/>
    <cellStyle name="표준 9 4 2 5 2 2 2 2" xfId="49543"/>
    <cellStyle name="표준 9 4 2 5 2 2 2 3" xfId="49544"/>
    <cellStyle name="표준 9 4 2 5 2 2 3" xfId="49545"/>
    <cellStyle name="표준 9 4 2 5 2 2 4" xfId="49546"/>
    <cellStyle name="표준 9 4 2 5 2 3" xfId="49547"/>
    <cellStyle name="표준 9 4 2 5 2 3 2" xfId="49548"/>
    <cellStyle name="표준 9 4 2 5 2 3 3" xfId="49549"/>
    <cellStyle name="표준 9 4 2 5 2 4" xfId="49550"/>
    <cellStyle name="표준 9 4 2 5 2 5" xfId="49551"/>
    <cellStyle name="표준 9 4 2 5 3" xfId="49552"/>
    <cellStyle name="표준 9 4 2 5 3 2" xfId="49553"/>
    <cellStyle name="표준 9 4 2 5 3 2 2" xfId="49554"/>
    <cellStyle name="표준 9 4 2 5 3 2 2 2" xfId="49555"/>
    <cellStyle name="표준 9 4 2 5 3 2 2 3" xfId="49556"/>
    <cellStyle name="표준 9 4 2 5 3 2 3" xfId="49557"/>
    <cellStyle name="표준 9 4 2 5 3 2 4" xfId="49558"/>
    <cellStyle name="표준 9 4 2 5 3 3" xfId="49559"/>
    <cellStyle name="표준 9 4 2 5 3 3 2" xfId="49560"/>
    <cellStyle name="표준 9 4 2 5 3 3 3" xfId="49561"/>
    <cellStyle name="표준 9 4 2 5 3 4" xfId="49562"/>
    <cellStyle name="표준 9 4 2 5 3 5" xfId="49563"/>
    <cellStyle name="표준 9 4 2 5 4" xfId="49564"/>
    <cellStyle name="표준 9 4 2 5 4 2" xfId="49565"/>
    <cellStyle name="표준 9 4 2 5 4 2 2" xfId="49566"/>
    <cellStyle name="표준 9 4 2 5 4 2 3" xfId="49567"/>
    <cellStyle name="표준 9 4 2 5 4 3" xfId="49568"/>
    <cellStyle name="표준 9 4 2 5 4 4" xfId="49569"/>
    <cellStyle name="표준 9 4 2 5 5" xfId="49570"/>
    <cellStyle name="표준 9 4 2 5 5 2" xfId="49571"/>
    <cellStyle name="표준 9 4 2 5 5 3" xfId="49572"/>
    <cellStyle name="표준 9 4 2 5 6" xfId="49573"/>
    <cellStyle name="표준 9 4 2 5 7" xfId="49574"/>
    <cellStyle name="표준 9 4 2 6" xfId="49575"/>
    <cellStyle name="표준 9 4 2 6 2" xfId="49576"/>
    <cellStyle name="표준 9 4 2 6 2 2" xfId="49577"/>
    <cellStyle name="표준 9 4 2 6 2 2 2" xfId="49578"/>
    <cellStyle name="표준 9 4 2 6 2 2 2 2" xfId="49579"/>
    <cellStyle name="표준 9 4 2 6 2 2 2 3" xfId="49580"/>
    <cellStyle name="표준 9 4 2 6 2 2 3" xfId="49581"/>
    <cellStyle name="표준 9 4 2 6 2 2 4" xfId="49582"/>
    <cellStyle name="표준 9 4 2 6 2 3" xfId="49583"/>
    <cellStyle name="표준 9 4 2 6 2 3 2" xfId="49584"/>
    <cellStyle name="표준 9 4 2 6 2 3 3" xfId="49585"/>
    <cellStyle name="표준 9 4 2 6 2 4" xfId="49586"/>
    <cellStyle name="표준 9 4 2 6 2 5" xfId="49587"/>
    <cellStyle name="표준 9 4 2 6 3" xfId="49588"/>
    <cellStyle name="표준 9 4 2 6 3 2" xfId="49589"/>
    <cellStyle name="표준 9 4 2 6 3 2 2" xfId="49590"/>
    <cellStyle name="표준 9 4 2 6 3 2 2 2" xfId="49591"/>
    <cellStyle name="표준 9 4 2 6 3 2 2 3" xfId="49592"/>
    <cellStyle name="표준 9 4 2 6 3 2 3" xfId="49593"/>
    <cellStyle name="표준 9 4 2 6 3 2 4" xfId="49594"/>
    <cellStyle name="표준 9 4 2 6 3 3" xfId="49595"/>
    <cellStyle name="표준 9 4 2 6 3 3 2" xfId="49596"/>
    <cellStyle name="표준 9 4 2 6 3 3 3" xfId="49597"/>
    <cellStyle name="표준 9 4 2 6 3 4" xfId="49598"/>
    <cellStyle name="표준 9 4 2 6 3 5" xfId="49599"/>
    <cellStyle name="표준 9 4 2 6 4" xfId="49600"/>
    <cellStyle name="표준 9 4 2 6 4 2" xfId="49601"/>
    <cellStyle name="표준 9 4 2 6 4 2 2" xfId="49602"/>
    <cellStyle name="표준 9 4 2 6 4 2 3" xfId="49603"/>
    <cellStyle name="표준 9 4 2 6 4 3" xfId="49604"/>
    <cellStyle name="표준 9 4 2 6 4 4" xfId="49605"/>
    <cellStyle name="표준 9 4 2 6 5" xfId="49606"/>
    <cellStyle name="표준 9 4 2 6 5 2" xfId="49607"/>
    <cellStyle name="표준 9 4 2 6 5 3" xfId="49608"/>
    <cellStyle name="표준 9 4 2 6 6" xfId="49609"/>
    <cellStyle name="표준 9 4 2 6 7" xfId="49610"/>
    <cellStyle name="표준 9 4 2 7" xfId="49611"/>
    <cellStyle name="표준 9 4 2 7 2" xfId="49612"/>
    <cellStyle name="표준 9 4 2 7 2 2" xfId="49613"/>
    <cellStyle name="표준 9 4 2 7 2 2 2" xfId="49614"/>
    <cellStyle name="표준 9 4 2 7 2 2 3" xfId="49615"/>
    <cellStyle name="표준 9 4 2 7 2 3" xfId="49616"/>
    <cellStyle name="표준 9 4 2 7 2 4" xfId="49617"/>
    <cellStyle name="표준 9 4 2 7 3" xfId="49618"/>
    <cellStyle name="표준 9 4 2 7 3 2" xfId="49619"/>
    <cellStyle name="표준 9 4 2 7 3 3" xfId="49620"/>
    <cellStyle name="표준 9 4 2 7 4" xfId="49621"/>
    <cellStyle name="표준 9 4 2 7 5" xfId="49622"/>
    <cellStyle name="표준 9 4 2 8" xfId="49623"/>
    <cellStyle name="표준 9 4 2 8 2" xfId="49624"/>
    <cellStyle name="표준 9 4 2 8 2 2" xfId="49625"/>
    <cellStyle name="표준 9 4 2 8 2 2 2" xfId="49626"/>
    <cellStyle name="표준 9 4 2 8 2 2 3" xfId="49627"/>
    <cellStyle name="표준 9 4 2 8 2 3" xfId="49628"/>
    <cellStyle name="표준 9 4 2 8 2 4" xfId="49629"/>
    <cellStyle name="표준 9 4 2 8 3" xfId="49630"/>
    <cellStyle name="표준 9 4 2 8 3 2" xfId="49631"/>
    <cellStyle name="표준 9 4 2 8 3 3" xfId="49632"/>
    <cellStyle name="표준 9 4 2 8 4" xfId="49633"/>
    <cellStyle name="표준 9 4 2 8 5" xfId="49634"/>
    <cellStyle name="표준 9 4 2 9" xfId="49635"/>
    <cellStyle name="표준 9 4 2 9 2" xfId="49636"/>
    <cellStyle name="표준 9 4 2 9 2 2" xfId="49637"/>
    <cellStyle name="표준 9 4 2 9 2 2 2" xfId="49638"/>
    <cellStyle name="표준 9 4 2 9 2 2 3" xfId="49639"/>
    <cellStyle name="표준 9 4 2 9 2 3" xfId="49640"/>
    <cellStyle name="표준 9 4 2 9 2 4" xfId="49641"/>
    <cellStyle name="표준 9 4 2 9 3" xfId="49642"/>
    <cellStyle name="표준 9 4 2 9 3 2" xfId="49643"/>
    <cellStyle name="표준 9 4 2 9 3 3" xfId="49644"/>
    <cellStyle name="표준 9 4 2 9 4" xfId="49645"/>
    <cellStyle name="표준 9 4 2 9 5" xfId="49646"/>
    <cellStyle name="표준 9 4 3" xfId="49647"/>
    <cellStyle name="표준 9 4 3 10" xfId="49648"/>
    <cellStyle name="표준 9 4 3 2" xfId="49649"/>
    <cellStyle name="표준 9 4 3 2 2" xfId="49650"/>
    <cellStyle name="표준 9 4 3 2 2 2" xfId="49651"/>
    <cellStyle name="표준 9 4 3 2 2 2 2" xfId="49652"/>
    <cellStyle name="표준 9 4 3 2 2 2 2 2" xfId="49653"/>
    <cellStyle name="표준 9 4 3 2 2 2 2 3" xfId="49654"/>
    <cellStyle name="표준 9 4 3 2 2 2 3" xfId="49655"/>
    <cellStyle name="표준 9 4 3 2 2 2 4" xfId="49656"/>
    <cellStyle name="표준 9 4 3 2 2 3" xfId="49657"/>
    <cellStyle name="표준 9 4 3 2 2 3 2" xfId="49658"/>
    <cellStyle name="표준 9 4 3 2 2 3 3" xfId="49659"/>
    <cellStyle name="표준 9 4 3 2 2 4" xfId="49660"/>
    <cellStyle name="표준 9 4 3 2 2 5" xfId="49661"/>
    <cellStyle name="표준 9 4 3 2 3" xfId="49662"/>
    <cellStyle name="표준 9 4 3 2 3 2" xfId="49663"/>
    <cellStyle name="표준 9 4 3 2 3 2 2" xfId="49664"/>
    <cellStyle name="표준 9 4 3 2 3 2 2 2" xfId="49665"/>
    <cellStyle name="표준 9 4 3 2 3 2 2 3" xfId="49666"/>
    <cellStyle name="표준 9 4 3 2 3 2 3" xfId="49667"/>
    <cellStyle name="표준 9 4 3 2 3 2 4" xfId="49668"/>
    <cellStyle name="표준 9 4 3 2 3 3" xfId="49669"/>
    <cellStyle name="표준 9 4 3 2 3 3 2" xfId="49670"/>
    <cellStyle name="표준 9 4 3 2 3 3 3" xfId="49671"/>
    <cellStyle name="표준 9 4 3 2 3 4" xfId="49672"/>
    <cellStyle name="표준 9 4 3 2 3 5" xfId="49673"/>
    <cellStyle name="표준 9 4 3 2 4" xfId="49674"/>
    <cellStyle name="표준 9 4 3 2 4 2" xfId="49675"/>
    <cellStyle name="표준 9 4 3 2 4 2 2" xfId="49676"/>
    <cellStyle name="표준 9 4 3 2 4 2 3" xfId="49677"/>
    <cellStyle name="표준 9 4 3 2 4 3" xfId="49678"/>
    <cellStyle name="표준 9 4 3 2 4 4" xfId="49679"/>
    <cellStyle name="표준 9 4 3 2 5" xfId="49680"/>
    <cellStyle name="표준 9 4 3 2 5 2" xfId="49681"/>
    <cellStyle name="표준 9 4 3 2 5 3" xfId="49682"/>
    <cellStyle name="표준 9 4 3 2 6" xfId="49683"/>
    <cellStyle name="표준 9 4 3 2 7" xfId="49684"/>
    <cellStyle name="표준 9 4 3 3" xfId="49685"/>
    <cellStyle name="표준 9 4 3 3 2" xfId="49686"/>
    <cellStyle name="표준 9 4 3 3 2 2" xfId="49687"/>
    <cellStyle name="표준 9 4 3 3 2 2 2" xfId="49688"/>
    <cellStyle name="표준 9 4 3 3 2 2 2 2" xfId="49689"/>
    <cellStyle name="표준 9 4 3 3 2 2 2 3" xfId="49690"/>
    <cellStyle name="표준 9 4 3 3 2 2 3" xfId="49691"/>
    <cellStyle name="표준 9 4 3 3 2 2 4" xfId="49692"/>
    <cellStyle name="표준 9 4 3 3 2 3" xfId="49693"/>
    <cellStyle name="표준 9 4 3 3 2 3 2" xfId="49694"/>
    <cellStyle name="표준 9 4 3 3 2 3 3" xfId="49695"/>
    <cellStyle name="표준 9 4 3 3 2 4" xfId="49696"/>
    <cellStyle name="표준 9 4 3 3 2 5" xfId="49697"/>
    <cellStyle name="표준 9 4 3 3 3" xfId="49698"/>
    <cellStyle name="표준 9 4 3 3 3 2" xfId="49699"/>
    <cellStyle name="표준 9 4 3 3 3 2 2" xfId="49700"/>
    <cellStyle name="표준 9 4 3 3 3 2 2 2" xfId="49701"/>
    <cellStyle name="표준 9 4 3 3 3 2 2 3" xfId="49702"/>
    <cellStyle name="표준 9 4 3 3 3 2 3" xfId="49703"/>
    <cellStyle name="표준 9 4 3 3 3 2 4" xfId="49704"/>
    <cellStyle name="표준 9 4 3 3 3 3" xfId="49705"/>
    <cellStyle name="표준 9 4 3 3 3 3 2" xfId="49706"/>
    <cellStyle name="표준 9 4 3 3 3 3 3" xfId="49707"/>
    <cellStyle name="표준 9 4 3 3 3 4" xfId="49708"/>
    <cellStyle name="표준 9 4 3 3 3 5" xfId="49709"/>
    <cellStyle name="표준 9 4 3 3 4" xfId="49710"/>
    <cellStyle name="표준 9 4 3 3 4 2" xfId="49711"/>
    <cellStyle name="표준 9 4 3 3 4 2 2" xfId="49712"/>
    <cellStyle name="표준 9 4 3 3 4 2 3" xfId="49713"/>
    <cellStyle name="표준 9 4 3 3 4 3" xfId="49714"/>
    <cellStyle name="표준 9 4 3 3 4 4" xfId="49715"/>
    <cellStyle name="표준 9 4 3 3 5" xfId="49716"/>
    <cellStyle name="표준 9 4 3 3 5 2" xfId="49717"/>
    <cellStyle name="표준 9 4 3 3 5 3" xfId="49718"/>
    <cellStyle name="표준 9 4 3 3 6" xfId="49719"/>
    <cellStyle name="표준 9 4 3 3 7" xfId="49720"/>
    <cellStyle name="표준 9 4 3 4" xfId="49721"/>
    <cellStyle name="표준 9 4 3 4 2" xfId="49722"/>
    <cellStyle name="표준 9 4 3 4 2 2" xfId="49723"/>
    <cellStyle name="표준 9 4 3 4 2 2 2" xfId="49724"/>
    <cellStyle name="표준 9 4 3 4 2 2 3" xfId="49725"/>
    <cellStyle name="표준 9 4 3 4 2 3" xfId="49726"/>
    <cellStyle name="표준 9 4 3 4 2 4" xfId="49727"/>
    <cellStyle name="표준 9 4 3 4 3" xfId="49728"/>
    <cellStyle name="표준 9 4 3 4 3 2" xfId="49729"/>
    <cellStyle name="표준 9 4 3 4 3 3" xfId="49730"/>
    <cellStyle name="표준 9 4 3 4 4" xfId="49731"/>
    <cellStyle name="표준 9 4 3 4 5" xfId="49732"/>
    <cellStyle name="표준 9 4 3 5" xfId="49733"/>
    <cellStyle name="표준 9 4 3 5 2" xfId="49734"/>
    <cellStyle name="표준 9 4 3 5 2 2" xfId="49735"/>
    <cellStyle name="표준 9 4 3 5 2 2 2" xfId="49736"/>
    <cellStyle name="표준 9 4 3 5 2 2 3" xfId="49737"/>
    <cellStyle name="표준 9 4 3 5 2 3" xfId="49738"/>
    <cellStyle name="표준 9 4 3 5 2 4" xfId="49739"/>
    <cellStyle name="표준 9 4 3 5 3" xfId="49740"/>
    <cellStyle name="표준 9 4 3 5 3 2" xfId="49741"/>
    <cellStyle name="표준 9 4 3 5 3 3" xfId="49742"/>
    <cellStyle name="표준 9 4 3 5 4" xfId="49743"/>
    <cellStyle name="표준 9 4 3 5 5" xfId="49744"/>
    <cellStyle name="표준 9 4 3 6" xfId="49745"/>
    <cellStyle name="표준 9 4 3 6 2" xfId="49746"/>
    <cellStyle name="표준 9 4 3 6 2 2" xfId="49747"/>
    <cellStyle name="표준 9 4 3 6 2 2 2" xfId="49748"/>
    <cellStyle name="표준 9 4 3 6 2 2 3" xfId="49749"/>
    <cellStyle name="표준 9 4 3 6 2 3" xfId="49750"/>
    <cellStyle name="표준 9 4 3 6 2 4" xfId="49751"/>
    <cellStyle name="표준 9 4 3 6 3" xfId="49752"/>
    <cellStyle name="표준 9 4 3 6 3 2" xfId="49753"/>
    <cellStyle name="표준 9 4 3 6 3 3" xfId="49754"/>
    <cellStyle name="표준 9 4 3 6 4" xfId="49755"/>
    <cellStyle name="표준 9 4 3 6 5" xfId="49756"/>
    <cellStyle name="표준 9 4 3 7" xfId="49757"/>
    <cellStyle name="표준 9 4 3 7 2" xfId="49758"/>
    <cellStyle name="표준 9 4 3 7 2 2" xfId="49759"/>
    <cellStyle name="표준 9 4 3 7 2 3" xfId="49760"/>
    <cellStyle name="표준 9 4 3 7 3" xfId="49761"/>
    <cellStyle name="표준 9 4 3 7 4" xfId="49762"/>
    <cellStyle name="표준 9 4 3 8" xfId="49763"/>
    <cellStyle name="표준 9 4 3 8 2" xfId="49764"/>
    <cellStyle name="표준 9 4 3 8 3" xfId="49765"/>
    <cellStyle name="표준 9 4 3 9" xfId="49766"/>
    <cellStyle name="표준 9 4 4" xfId="49767"/>
    <cellStyle name="표준 9 4 4 10" xfId="49768"/>
    <cellStyle name="표준 9 4 4 2" xfId="49769"/>
    <cellStyle name="표준 9 4 4 2 2" xfId="49770"/>
    <cellStyle name="표준 9 4 4 2 2 2" xfId="49771"/>
    <cellStyle name="표준 9 4 4 2 2 2 2" xfId="49772"/>
    <cellStyle name="표준 9 4 4 2 2 2 2 2" xfId="49773"/>
    <cellStyle name="표준 9 4 4 2 2 2 2 3" xfId="49774"/>
    <cellStyle name="표준 9 4 4 2 2 2 3" xfId="49775"/>
    <cellStyle name="표준 9 4 4 2 2 2 4" xfId="49776"/>
    <cellStyle name="표준 9 4 4 2 2 3" xfId="49777"/>
    <cellStyle name="표준 9 4 4 2 2 3 2" xfId="49778"/>
    <cellStyle name="표준 9 4 4 2 2 3 3" xfId="49779"/>
    <cellStyle name="표준 9 4 4 2 2 4" xfId="49780"/>
    <cellStyle name="표준 9 4 4 2 2 5" xfId="49781"/>
    <cellStyle name="표준 9 4 4 2 3" xfId="49782"/>
    <cellStyle name="표준 9 4 4 2 3 2" xfId="49783"/>
    <cellStyle name="표준 9 4 4 2 3 2 2" xfId="49784"/>
    <cellStyle name="표준 9 4 4 2 3 2 2 2" xfId="49785"/>
    <cellStyle name="표준 9 4 4 2 3 2 2 3" xfId="49786"/>
    <cellStyle name="표준 9 4 4 2 3 2 3" xfId="49787"/>
    <cellStyle name="표준 9 4 4 2 3 2 4" xfId="49788"/>
    <cellStyle name="표준 9 4 4 2 3 3" xfId="49789"/>
    <cellStyle name="표준 9 4 4 2 3 3 2" xfId="49790"/>
    <cellStyle name="표준 9 4 4 2 3 3 3" xfId="49791"/>
    <cellStyle name="표준 9 4 4 2 3 4" xfId="49792"/>
    <cellStyle name="표준 9 4 4 2 3 5" xfId="49793"/>
    <cellStyle name="표준 9 4 4 2 4" xfId="49794"/>
    <cellStyle name="표준 9 4 4 2 4 2" xfId="49795"/>
    <cellStyle name="표준 9 4 4 2 4 2 2" xfId="49796"/>
    <cellStyle name="표준 9 4 4 2 4 2 3" xfId="49797"/>
    <cellStyle name="표준 9 4 4 2 4 3" xfId="49798"/>
    <cellStyle name="표준 9 4 4 2 4 4" xfId="49799"/>
    <cellStyle name="표준 9 4 4 2 5" xfId="49800"/>
    <cellStyle name="표준 9 4 4 2 5 2" xfId="49801"/>
    <cellStyle name="표준 9 4 4 2 5 3" xfId="49802"/>
    <cellStyle name="표준 9 4 4 2 6" xfId="49803"/>
    <cellStyle name="표준 9 4 4 2 7" xfId="49804"/>
    <cellStyle name="표준 9 4 4 3" xfId="49805"/>
    <cellStyle name="표준 9 4 4 3 2" xfId="49806"/>
    <cellStyle name="표준 9 4 4 3 2 2" xfId="49807"/>
    <cellStyle name="표준 9 4 4 3 2 2 2" xfId="49808"/>
    <cellStyle name="표준 9 4 4 3 2 2 2 2" xfId="49809"/>
    <cellStyle name="표준 9 4 4 3 2 2 2 3" xfId="49810"/>
    <cellStyle name="표준 9 4 4 3 2 2 3" xfId="49811"/>
    <cellStyle name="표준 9 4 4 3 2 2 4" xfId="49812"/>
    <cellStyle name="표준 9 4 4 3 2 3" xfId="49813"/>
    <cellStyle name="표준 9 4 4 3 2 3 2" xfId="49814"/>
    <cellStyle name="표준 9 4 4 3 2 3 3" xfId="49815"/>
    <cellStyle name="표준 9 4 4 3 2 4" xfId="49816"/>
    <cellStyle name="표준 9 4 4 3 2 5" xfId="49817"/>
    <cellStyle name="표준 9 4 4 3 3" xfId="49818"/>
    <cellStyle name="표준 9 4 4 3 3 2" xfId="49819"/>
    <cellStyle name="표준 9 4 4 3 3 2 2" xfId="49820"/>
    <cellStyle name="표준 9 4 4 3 3 2 2 2" xfId="49821"/>
    <cellStyle name="표준 9 4 4 3 3 2 2 3" xfId="49822"/>
    <cellStyle name="표준 9 4 4 3 3 2 3" xfId="49823"/>
    <cellStyle name="표준 9 4 4 3 3 2 4" xfId="49824"/>
    <cellStyle name="표준 9 4 4 3 3 3" xfId="49825"/>
    <cellStyle name="표준 9 4 4 3 3 3 2" xfId="49826"/>
    <cellStyle name="표준 9 4 4 3 3 3 3" xfId="49827"/>
    <cellStyle name="표준 9 4 4 3 3 4" xfId="49828"/>
    <cellStyle name="표준 9 4 4 3 3 5" xfId="49829"/>
    <cellStyle name="표준 9 4 4 3 4" xfId="49830"/>
    <cellStyle name="표준 9 4 4 3 4 2" xfId="49831"/>
    <cellStyle name="표준 9 4 4 3 4 2 2" xfId="49832"/>
    <cellStyle name="표준 9 4 4 3 4 2 3" xfId="49833"/>
    <cellStyle name="표준 9 4 4 3 4 3" xfId="49834"/>
    <cellStyle name="표준 9 4 4 3 4 4" xfId="49835"/>
    <cellStyle name="표준 9 4 4 3 5" xfId="49836"/>
    <cellStyle name="표준 9 4 4 3 5 2" xfId="49837"/>
    <cellStyle name="표준 9 4 4 3 5 3" xfId="49838"/>
    <cellStyle name="표준 9 4 4 3 6" xfId="49839"/>
    <cellStyle name="표준 9 4 4 3 7" xfId="49840"/>
    <cellStyle name="표준 9 4 4 4" xfId="49841"/>
    <cellStyle name="표준 9 4 4 4 2" xfId="49842"/>
    <cellStyle name="표준 9 4 4 4 2 2" xfId="49843"/>
    <cellStyle name="표준 9 4 4 4 2 2 2" xfId="49844"/>
    <cellStyle name="표준 9 4 4 4 2 2 3" xfId="49845"/>
    <cellStyle name="표준 9 4 4 4 2 3" xfId="49846"/>
    <cellStyle name="표준 9 4 4 4 2 4" xfId="49847"/>
    <cellStyle name="표준 9 4 4 4 3" xfId="49848"/>
    <cellStyle name="표준 9 4 4 4 3 2" xfId="49849"/>
    <cellStyle name="표준 9 4 4 4 3 3" xfId="49850"/>
    <cellStyle name="표준 9 4 4 4 4" xfId="49851"/>
    <cellStyle name="표준 9 4 4 4 5" xfId="49852"/>
    <cellStyle name="표준 9 4 4 5" xfId="49853"/>
    <cellStyle name="표준 9 4 4 5 2" xfId="49854"/>
    <cellStyle name="표준 9 4 4 5 2 2" xfId="49855"/>
    <cellStyle name="표준 9 4 4 5 2 2 2" xfId="49856"/>
    <cellStyle name="표준 9 4 4 5 2 2 3" xfId="49857"/>
    <cellStyle name="표준 9 4 4 5 2 3" xfId="49858"/>
    <cellStyle name="표준 9 4 4 5 2 4" xfId="49859"/>
    <cellStyle name="표준 9 4 4 5 3" xfId="49860"/>
    <cellStyle name="표준 9 4 4 5 3 2" xfId="49861"/>
    <cellStyle name="표준 9 4 4 5 3 3" xfId="49862"/>
    <cellStyle name="표준 9 4 4 5 4" xfId="49863"/>
    <cellStyle name="표준 9 4 4 5 5" xfId="49864"/>
    <cellStyle name="표준 9 4 4 6" xfId="49865"/>
    <cellStyle name="표준 9 4 4 6 2" xfId="49866"/>
    <cellStyle name="표준 9 4 4 6 2 2" xfId="49867"/>
    <cellStyle name="표준 9 4 4 6 2 2 2" xfId="49868"/>
    <cellStyle name="표준 9 4 4 6 2 2 3" xfId="49869"/>
    <cellStyle name="표준 9 4 4 6 2 3" xfId="49870"/>
    <cellStyle name="표준 9 4 4 6 2 4" xfId="49871"/>
    <cellStyle name="표준 9 4 4 6 3" xfId="49872"/>
    <cellStyle name="표준 9 4 4 6 3 2" xfId="49873"/>
    <cellStyle name="표준 9 4 4 6 3 3" xfId="49874"/>
    <cellStyle name="표준 9 4 4 6 4" xfId="49875"/>
    <cellStyle name="표준 9 4 4 6 5" xfId="49876"/>
    <cellStyle name="표준 9 4 4 7" xfId="49877"/>
    <cellStyle name="표준 9 4 4 7 2" xfId="49878"/>
    <cellStyle name="표준 9 4 4 7 2 2" xfId="49879"/>
    <cellStyle name="표준 9 4 4 7 2 3" xfId="49880"/>
    <cellStyle name="표준 9 4 4 7 3" xfId="49881"/>
    <cellStyle name="표준 9 4 4 7 4" xfId="49882"/>
    <cellStyle name="표준 9 4 4 8" xfId="49883"/>
    <cellStyle name="표준 9 4 4 8 2" xfId="49884"/>
    <cellStyle name="표준 9 4 4 8 3" xfId="49885"/>
    <cellStyle name="표준 9 4 4 9" xfId="49886"/>
    <cellStyle name="표준 9 4 5" xfId="49887"/>
    <cellStyle name="표준 9 4 5 10" xfId="49888"/>
    <cellStyle name="표준 9 4 5 2" xfId="49889"/>
    <cellStyle name="표준 9 4 5 2 2" xfId="49890"/>
    <cellStyle name="표준 9 4 5 2 2 2" xfId="49891"/>
    <cellStyle name="표준 9 4 5 2 2 2 2" xfId="49892"/>
    <cellStyle name="표준 9 4 5 2 2 2 2 2" xfId="49893"/>
    <cellStyle name="표준 9 4 5 2 2 2 2 3" xfId="49894"/>
    <cellStyle name="표준 9 4 5 2 2 2 3" xfId="49895"/>
    <cellStyle name="표준 9 4 5 2 2 2 4" xfId="49896"/>
    <cellStyle name="표준 9 4 5 2 2 3" xfId="49897"/>
    <cellStyle name="표준 9 4 5 2 2 3 2" xfId="49898"/>
    <cellStyle name="표준 9 4 5 2 2 3 3" xfId="49899"/>
    <cellStyle name="표준 9 4 5 2 2 4" xfId="49900"/>
    <cellStyle name="표준 9 4 5 2 2 5" xfId="49901"/>
    <cellStyle name="표준 9 4 5 2 3" xfId="49902"/>
    <cellStyle name="표준 9 4 5 2 3 2" xfId="49903"/>
    <cellStyle name="표준 9 4 5 2 3 2 2" xfId="49904"/>
    <cellStyle name="표준 9 4 5 2 3 2 2 2" xfId="49905"/>
    <cellStyle name="표준 9 4 5 2 3 2 2 3" xfId="49906"/>
    <cellStyle name="표준 9 4 5 2 3 2 3" xfId="49907"/>
    <cellStyle name="표준 9 4 5 2 3 2 4" xfId="49908"/>
    <cellStyle name="표준 9 4 5 2 3 3" xfId="49909"/>
    <cellStyle name="표준 9 4 5 2 3 3 2" xfId="49910"/>
    <cellStyle name="표준 9 4 5 2 3 3 3" xfId="49911"/>
    <cellStyle name="표준 9 4 5 2 3 4" xfId="49912"/>
    <cellStyle name="표준 9 4 5 2 3 5" xfId="49913"/>
    <cellStyle name="표준 9 4 5 2 4" xfId="49914"/>
    <cellStyle name="표준 9 4 5 2 4 2" xfId="49915"/>
    <cellStyle name="표준 9 4 5 2 4 2 2" xfId="49916"/>
    <cellStyle name="표준 9 4 5 2 4 2 3" xfId="49917"/>
    <cellStyle name="표준 9 4 5 2 4 3" xfId="49918"/>
    <cellStyle name="표준 9 4 5 2 4 4" xfId="49919"/>
    <cellStyle name="표준 9 4 5 2 5" xfId="49920"/>
    <cellStyle name="표준 9 4 5 2 5 2" xfId="49921"/>
    <cellStyle name="표준 9 4 5 2 5 3" xfId="49922"/>
    <cellStyle name="표준 9 4 5 2 6" xfId="49923"/>
    <cellStyle name="표준 9 4 5 2 7" xfId="49924"/>
    <cellStyle name="표준 9 4 5 3" xfId="49925"/>
    <cellStyle name="표준 9 4 5 3 2" xfId="49926"/>
    <cellStyle name="표준 9 4 5 3 2 2" xfId="49927"/>
    <cellStyle name="표준 9 4 5 3 2 2 2" xfId="49928"/>
    <cellStyle name="표준 9 4 5 3 2 2 2 2" xfId="49929"/>
    <cellStyle name="표준 9 4 5 3 2 2 2 3" xfId="49930"/>
    <cellStyle name="표준 9 4 5 3 2 2 3" xfId="49931"/>
    <cellStyle name="표준 9 4 5 3 2 2 4" xfId="49932"/>
    <cellStyle name="표준 9 4 5 3 2 3" xfId="49933"/>
    <cellStyle name="표준 9 4 5 3 2 3 2" xfId="49934"/>
    <cellStyle name="표준 9 4 5 3 2 3 3" xfId="49935"/>
    <cellStyle name="표준 9 4 5 3 2 4" xfId="49936"/>
    <cellStyle name="표준 9 4 5 3 2 5" xfId="49937"/>
    <cellStyle name="표준 9 4 5 3 3" xfId="49938"/>
    <cellStyle name="표준 9 4 5 3 3 2" xfId="49939"/>
    <cellStyle name="표준 9 4 5 3 3 2 2" xfId="49940"/>
    <cellStyle name="표준 9 4 5 3 3 2 2 2" xfId="49941"/>
    <cellStyle name="표준 9 4 5 3 3 2 2 3" xfId="49942"/>
    <cellStyle name="표준 9 4 5 3 3 2 3" xfId="49943"/>
    <cellStyle name="표준 9 4 5 3 3 2 4" xfId="49944"/>
    <cellStyle name="표준 9 4 5 3 3 3" xfId="49945"/>
    <cellStyle name="표준 9 4 5 3 3 3 2" xfId="49946"/>
    <cellStyle name="표준 9 4 5 3 3 3 3" xfId="49947"/>
    <cellStyle name="표준 9 4 5 3 3 4" xfId="49948"/>
    <cellStyle name="표준 9 4 5 3 3 5" xfId="49949"/>
    <cellStyle name="표준 9 4 5 3 4" xfId="49950"/>
    <cellStyle name="표준 9 4 5 3 4 2" xfId="49951"/>
    <cellStyle name="표준 9 4 5 3 4 2 2" xfId="49952"/>
    <cellStyle name="표준 9 4 5 3 4 2 3" xfId="49953"/>
    <cellStyle name="표준 9 4 5 3 4 3" xfId="49954"/>
    <cellStyle name="표준 9 4 5 3 4 4" xfId="49955"/>
    <cellStyle name="표준 9 4 5 3 5" xfId="49956"/>
    <cellStyle name="표준 9 4 5 3 5 2" xfId="49957"/>
    <cellStyle name="표준 9 4 5 3 5 3" xfId="49958"/>
    <cellStyle name="표준 9 4 5 3 6" xfId="49959"/>
    <cellStyle name="표준 9 4 5 3 7" xfId="49960"/>
    <cellStyle name="표준 9 4 5 4" xfId="49961"/>
    <cellStyle name="표준 9 4 5 4 2" xfId="49962"/>
    <cellStyle name="표준 9 4 5 4 2 2" xfId="49963"/>
    <cellStyle name="표준 9 4 5 4 2 2 2" xfId="49964"/>
    <cellStyle name="표준 9 4 5 4 2 2 3" xfId="49965"/>
    <cellStyle name="표준 9 4 5 4 2 3" xfId="49966"/>
    <cellStyle name="표준 9 4 5 4 2 4" xfId="49967"/>
    <cellStyle name="표준 9 4 5 4 3" xfId="49968"/>
    <cellStyle name="표준 9 4 5 4 3 2" xfId="49969"/>
    <cellStyle name="표준 9 4 5 4 3 3" xfId="49970"/>
    <cellStyle name="표준 9 4 5 4 4" xfId="49971"/>
    <cellStyle name="표준 9 4 5 4 5" xfId="49972"/>
    <cellStyle name="표준 9 4 5 5" xfId="49973"/>
    <cellStyle name="표준 9 4 5 5 2" xfId="49974"/>
    <cellStyle name="표준 9 4 5 5 2 2" xfId="49975"/>
    <cellStyle name="표준 9 4 5 5 2 2 2" xfId="49976"/>
    <cellStyle name="표준 9 4 5 5 2 2 3" xfId="49977"/>
    <cellStyle name="표준 9 4 5 5 2 3" xfId="49978"/>
    <cellStyle name="표준 9 4 5 5 2 4" xfId="49979"/>
    <cellStyle name="표준 9 4 5 5 3" xfId="49980"/>
    <cellStyle name="표준 9 4 5 5 3 2" xfId="49981"/>
    <cellStyle name="표준 9 4 5 5 3 3" xfId="49982"/>
    <cellStyle name="표준 9 4 5 5 4" xfId="49983"/>
    <cellStyle name="표준 9 4 5 5 5" xfId="49984"/>
    <cellStyle name="표준 9 4 5 6" xfId="49985"/>
    <cellStyle name="표준 9 4 5 6 2" xfId="49986"/>
    <cellStyle name="표준 9 4 5 6 2 2" xfId="49987"/>
    <cellStyle name="표준 9 4 5 6 2 2 2" xfId="49988"/>
    <cellStyle name="표준 9 4 5 6 2 2 3" xfId="49989"/>
    <cellStyle name="표준 9 4 5 6 2 3" xfId="49990"/>
    <cellStyle name="표준 9 4 5 6 2 4" xfId="49991"/>
    <cellStyle name="표준 9 4 5 6 3" xfId="49992"/>
    <cellStyle name="표준 9 4 5 6 3 2" xfId="49993"/>
    <cellStyle name="표준 9 4 5 6 3 3" xfId="49994"/>
    <cellStyle name="표준 9 4 5 6 4" xfId="49995"/>
    <cellStyle name="표준 9 4 5 6 5" xfId="49996"/>
    <cellStyle name="표준 9 4 5 7" xfId="49997"/>
    <cellStyle name="표준 9 4 5 7 2" xfId="49998"/>
    <cellStyle name="표준 9 4 5 7 2 2" xfId="49999"/>
    <cellStyle name="표준 9 4 5 7 2 3" xfId="50000"/>
    <cellStyle name="표준 9 4 5 7 3" xfId="50001"/>
    <cellStyle name="표준 9 4 5 7 4" xfId="50002"/>
    <cellStyle name="표준 9 4 5 8" xfId="50003"/>
    <cellStyle name="표준 9 4 5 8 2" xfId="50004"/>
    <cellStyle name="표준 9 4 5 8 3" xfId="50005"/>
    <cellStyle name="표준 9 4 5 9" xfId="50006"/>
    <cellStyle name="표준 9 4 6" xfId="50007"/>
    <cellStyle name="표준 9 4 6 2" xfId="50008"/>
    <cellStyle name="표준 9 4 6 2 2" xfId="50009"/>
    <cellStyle name="표준 9 4 6 2 2 2" xfId="50010"/>
    <cellStyle name="표준 9 4 6 2 2 2 2" xfId="50011"/>
    <cellStyle name="표준 9 4 6 2 2 2 3" xfId="50012"/>
    <cellStyle name="표준 9 4 6 2 2 3" xfId="50013"/>
    <cellStyle name="표준 9 4 6 2 2 4" xfId="50014"/>
    <cellStyle name="표준 9 4 6 2 3" xfId="50015"/>
    <cellStyle name="표준 9 4 6 2 3 2" xfId="50016"/>
    <cellStyle name="표준 9 4 6 2 3 3" xfId="50017"/>
    <cellStyle name="표준 9 4 6 2 4" xfId="50018"/>
    <cellStyle name="표준 9 4 6 2 5" xfId="50019"/>
    <cellStyle name="표준 9 4 6 3" xfId="50020"/>
    <cellStyle name="표준 9 4 6 3 2" xfId="50021"/>
    <cellStyle name="표준 9 4 6 3 2 2" xfId="50022"/>
    <cellStyle name="표준 9 4 6 3 2 2 2" xfId="50023"/>
    <cellStyle name="표준 9 4 6 3 2 2 3" xfId="50024"/>
    <cellStyle name="표준 9 4 6 3 2 3" xfId="50025"/>
    <cellStyle name="표준 9 4 6 3 2 4" xfId="50026"/>
    <cellStyle name="표준 9 4 6 3 3" xfId="50027"/>
    <cellStyle name="표준 9 4 6 3 3 2" xfId="50028"/>
    <cellStyle name="표준 9 4 6 3 3 3" xfId="50029"/>
    <cellStyle name="표준 9 4 6 3 4" xfId="50030"/>
    <cellStyle name="표준 9 4 6 3 5" xfId="50031"/>
    <cellStyle name="표준 9 4 6 4" xfId="50032"/>
    <cellStyle name="표준 9 4 6 4 2" xfId="50033"/>
    <cellStyle name="표준 9 4 6 4 2 2" xfId="50034"/>
    <cellStyle name="표준 9 4 6 4 2 3" xfId="50035"/>
    <cellStyle name="표준 9 4 6 4 3" xfId="50036"/>
    <cellStyle name="표준 9 4 6 4 4" xfId="50037"/>
    <cellStyle name="표준 9 4 6 5" xfId="50038"/>
    <cellStyle name="표준 9 4 6 5 2" xfId="50039"/>
    <cellStyle name="표준 9 4 6 5 3" xfId="50040"/>
    <cellStyle name="표준 9 4 6 6" xfId="50041"/>
    <cellStyle name="표준 9 4 6 7" xfId="50042"/>
    <cellStyle name="표준 9 4 7" xfId="50043"/>
    <cellStyle name="표준 9 4 7 2" xfId="50044"/>
    <cellStyle name="표준 9 4 7 2 2" xfId="50045"/>
    <cellStyle name="표준 9 4 7 2 2 2" xfId="50046"/>
    <cellStyle name="표준 9 4 7 2 2 2 2" xfId="50047"/>
    <cellStyle name="표준 9 4 7 2 2 2 3" xfId="50048"/>
    <cellStyle name="표준 9 4 7 2 2 3" xfId="50049"/>
    <cellStyle name="표준 9 4 7 2 2 4" xfId="50050"/>
    <cellStyle name="표준 9 4 7 2 3" xfId="50051"/>
    <cellStyle name="표준 9 4 7 2 3 2" xfId="50052"/>
    <cellStyle name="표준 9 4 7 2 3 3" xfId="50053"/>
    <cellStyle name="표준 9 4 7 2 4" xfId="50054"/>
    <cellStyle name="표준 9 4 7 2 5" xfId="50055"/>
    <cellStyle name="표준 9 4 7 3" xfId="50056"/>
    <cellStyle name="표준 9 4 7 3 2" xfId="50057"/>
    <cellStyle name="표준 9 4 7 3 2 2" xfId="50058"/>
    <cellStyle name="표준 9 4 7 3 2 2 2" xfId="50059"/>
    <cellStyle name="표준 9 4 7 3 2 2 3" xfId="50060"/>
    <cellStyle name="표준 9 4 7 3 2 3" xfId="50061"/>
    <cellStyle name="표준 9 4 7 3 2 4" xfId="50062"/>
    <cellStyle name="표준 9 4 7 3 3" xfId="50063"/>
    <cellStyle name="표준 9 4 7 3 3 2" xfId="50064"/>
    <cellStyle name="표준 9 4 7 3 3 3" xfId="50065"/>
    <cellStyle name="표준 9 4 7 3 4" xfId="50066"/>
    <cellStyle name="표준 9 4 7 3 5" xfId="50067"/>
    <cellStyle name="표준 9 4 7 4" xfId="50068"/>
    <cellStyle name="표준 9 4 7 4 2" xfId="50069"/>
    <cellStyle name="표준 9 4 7 4 2 2" xfId="50070"/>
    <cellStyle name="표준 9 4 7 4 2 3" xfId="50071"/>
    <cellStyle name="표준 9 4 7 4 3" xfId="50072"/>
    <cellStyle name="표준 9 4 7 4 4" xfId="50073"/>
    <cellStyle name="표준 9 4 7 5" xfId="50074"/>
    <cellStyle name="표준 9 4 7 5 2" xfId="50075"/>
    <cellStyle name="표준 9 4 7 5 3" xfId="50076"/>
    <cellStyle name="표준 9 4 7 6" xfId="50077"/>
    <cellStyle name="표준 9 4 7 7" xfId="50078"/>
    <cellStyle name="표준 9 4 8" xfId="50079"/>
    <cellStyle name="표준 9 4 8 2" xfId="50080"/>
    <cellStyle name="표준 9 4 8 2 2" xfId="50081"/>
    <cellStyle name="표준 9 4 8 2 2 2" xfId="50082"/>
    <cellStyle name="표준 9 4 8 2 2 3" xfId="50083"/>
    <cellStyle name="표준 9 4 8 2 3" xfId="50084"/>
    <cellStyle name="표준 9 4 8 2 4" xfId="50085"/>
    <cellStyle name="표준 9 4 8 3" xfId="50086"/>
    <cellStyle name="표준 9 4 8 3 2" xfId="50087"/>
    <cellStyle name="표준 9 4 8 3 3" xfId="50088"/>
    <cellStyle name="표준 9 4 8 4" xfId="50089"/>
    <cellStyle name="표준 9 4 8 5" xfId="50090"/>
    <cellStyle name="표준 9 4 9" xfId="50091"/>
    <cellStyle name="표준 9 4 9 2" xfId="50092"/>
    <cellStyle name="표준 9 4 9 2 2" xfId="50093"/>
    <cellStyle name="표준 9 4 9 2 2 2" xfId="50094"/>
    <cellStyle name="표준 9 4 9 2 2 3" xfId="50095"/>
    <cellStyle name="표준 9 4 9 2 3" xfId="50096"/>
    <cellStyle name="표준 9 4 9 2 4" xfId="50097"/>
    <cellStyle name="표준 9 4 9 3" xfId="50098"/>
    <cellStyle name="표준 9 4 9 3 2" xfId="50099"/>
    <cellStyle name="표준 9 4 9 3 3" xfId="50100"/>
    <cellStyle name="표준 9 4 9 4" xfId="50101"/>
    <cellStyle name="표준 9 4 9 5" xfId="50102"/>
    <cellStyle name="표준 9 5" xfId="50103"/>
    <cellStyle name="표준 9 5 10" xfId="50104"/>
    <cellStyle name="표준 9 5 10 2" xfId="50105"/>
    <cellStyle name="표준 9 5 10 2 2" xfId="50106"/>
    <cellStyle name="표준 9 5 10 2 3" xfId="50107"/>
    <cellStyle name="표준 9 5 10 3" xfId="50108"/>
    <cellStyle name="표준 9 5 10 4" xfId="50109"/>
    <cellStyle name="표준 9 5 11" xfId="50110"/>
    <cellStyle name="표준 9 5 11 2" xfId="50111"/>
    <cellStyle name="표준 9 5 11 3" xfId="50112"/>
    <cellStyle name="표준 9 5 12" xfId="50113"/>
    <cellStyle name="표준 9 5 13" xfId="50114"/>
    <cellStyle name="표준 9 5 2" xfId="50115"/>
    <cellStyle name="표준 9 5 2 10" xfId="50116"/>
    <cellStyle name="표준 9 5 2 2" xfId="50117"/>
    <cellStyle name="표준 9 5 2 2 2" xfId="50118"/>
    <cellStyle name="표준 9 5 2 2 2 2" xfId="50119"/>
    <cellStyle name="표준 9 5 2 2 2 2 2" xfId="50120"/>
    <cellStyle name="표준 9 5 2 2 2 2 2 2" xfId="50121"/>
    <cellStyle name="표준 9 5 2 2 2 2 2 3" xfId="50122"/>
    <cellStyle name="표준 9 5 2 2 2 2 3" xfId="50123"/>
    <cellStyle name="표준 9 5 2 2 2 2 4" xfId="50124"/>
    <cellStyle name="표준 9 5 2 2 2 3" xfId="50125"/>
    <cellStyle name="표준 9 5 2 2 2 3 2" xfId="50126"/>
    <cellStyle name="표준 9 5 2 2 2 3 3" xfId="50127"/>
    <cellStyle name="표준 9 5 2 2 2 4" xfId="50128"/>
    <cellStyle name="표준 9 5 2 2 2 5" xfId="50129"/>
    <cellStyle name="표준 9 5 2 2 3" xfId="50130"/>
    <cellStyle name="표준 9 5 2 2 3 2" xfId="50131"/>
    <cellStyle name="표준 9 5 2 2 3 2 2" xfId="50132"/>
    <cellStyle name="표준 9 5 2 2 3 2 2 2" xfId="50133"/>
    <cellStyle name="표준 9 5 2 2 3 2 2 3" xfId="50134"/>
    <cellStyle name="표준 9 5 2 2 3 2 3" xfId="50135"/>
    <cellStyle name="표준 9 5 2 2 3 2 4" xfId="50136"/>
    <cellStyle name="표준 9 5 2 2 3 3" xfId="50137"/>
    <cellStyle name="표준 9 5 2 2 3 3 2" xfId="50138"/>
    <cellStyle name="표준 9 5 2 2 3 3 3" xfId="50139"/>
    <cellStyle name="표준 9 5 2 2 3 4" xfId="50140"/>
    <cellStyle name="표준 9 5 2 2 3 5" xfId="50141"/>
    <cellStyle name="표준 9 5 2 2 4" xfId="50142"/>
    <cellStyle name="표준 9 5 2 2 4 2" xfId="50143"/>
    <cellStyle name="표준 9 5 2 2 4 2 2" xfId="50144"/>
    <cellStyle name="표준 9 5 2 2 4 2 3" xfId="50145"/>
    <cellStyle name="표준 9 5 2 2 4 3" xfId="50146"/>
    <cellStyle name="표준 9 5 2 2 4 4" xfId="50147"/>
    <cellStyle name="표준 9 5 2 2 5" xfId="50148"/>
    <cellStyle name="표준 9 5 2 2 5 2" xfId="50149"/>
    <cellStyle name="표준 9 5 2 2 5 3" xfId="50150"/>
    <cellStyle name="표준 9 5 2 2 6" xfId="50151"/>
    <cellStyle name="표준 9 5 2 2 7" xfId="50152"/>
    <cellStyle name="표준 9 5 2 3" xfId="50153"/>
    <cellStyle name="표준 9 5 2 3 2" xfId="50154"/>
    <cellStyle name="표준 9 5 2 3 2 2" xfId="50155"/>
    <cellStyle name="표준 9 5 2 3 2 2 2" xfId="50156"/>
    <cellStyle name="표준 9 5 2 3 2 2 2 2" xfId="50157"/>
    <cellStyle name="표준 9 5 2 3 2 2 2 3" xfId="50158"/>
    <cellStyle name="표준 9 5 2 3 2 2 3" xfId="50159"/>
    <cellStyle name="표준 9 5 2 3 2 2 4" xfId="50160"/>
    <cellStyle name="표준 9 5 2 3 2 3" xfId="50161"/>
    <cellStyle name="표준 9 5 2 3 2 3 2" xfId="50162"/>
    <cellStyle name="표준 9 5 2 3 2 3 3" xfId="50163"/>
    <cellStyle name="표준 9 5 2 3 2 4" xfId="50164"/>
    <cellStyle name="표준 9 5 2 3 2 5" xfId="50165"/>
    <cellStyle name="표준 9 5 2 3 3" xfId="50166"/>
    <cellStyle name="표준 9 5 2 3 3 2" xfId="50167"/>
    <cellStyle name="표준 9 5 2 3 3 2 2" xfId="50168"/>
    <cellStyle name="표준 9 5 2 3 3 2 2 2" xfId="50169"/>
    <cellStyle name="표준 9 5 2 3 3 2 2 3" xfId="50170"/>
    <cellStyle name="표준 9 5 2 3 3 2 3" xfId="50171"/>
    <cellStyle name="표준 9 5 2 3 3 2 4" xfId="50172"/>
    <cellStyle name="표준 9 5 2 3 3 3" xfId="50173"/>
    <cellStyle name="표준 9 5 2 3 3 3 2" xfId="50174"/>
    <cellStyle name="표준 9 5 2 3 3 3 3" xfId="50175"/>
    <cellStyle name="표준 9 5 2 3 3 4" xfId="50176"/>
    <cellStyle name="표준 9 5 2 3 3 5" xfId="50177"/>
    <cellStyle name="표준 9 5 2 3 4" xfId="50178"/>
    <cellStyle name="표준 9 5 2 3 4 2" xfId="50179"/>
    <cellStyle name="표준 9 5 2 3 4 2 2" xfId="50180"/>
    <cellStyle name="표준 9 5 2 3 4 2 3" xfId="50181"/>
    <cellStyle name="표준 9 5 2 3 4 3" xfId="50182"/>
    <cellStyle name="표준 9 5 2 3 4 4" xfId="50183"/>
    <cellStyle name="표준 9 5 2 3 5" xfId="50184"/>
    <cellStyle name="표준 9 5 2 3 5 2" xfId="50185"/>
    <cellStyle name="표준 9 5 2 3 5 3" xfId="50186"/>
    <cellStyle name="표준 9 5 2 3 6" xfId="50187"/>
    <cellStyle name="표준 9 5 2 3 7" xfId="50188"/>
    <cellStyle name="표준 9 5 2 4" xfId="50189"/>
    <cellStyle name="표준 9 5 2 4 2" xfId="50190"/>
    <cellStyle name="표준 9 5 2 4 2 2" xfId="50191"/>
    <cellStyle name="표준 9 5 2 4 2 2 2" xfId="50192"/>
    <cellStyle name="표준 9 5 2 4 2 2 3" xfId="50193"/>
    <cellStyle name="표준 9 5 2 4 2 3" xfId="50194"/>
    <cellStyle name="표준 9 5 2 4 2 4" xfId="50195"/>
    <cellStyle name="표준 9 5 2 4 3" xfId="50196"/>
    <cellStyle name="표준 9 5 2 4 3 2" xfId="50197"/>
    <cellStyle name="표준 9 5 2 4 3 3" xfId="50198"/>
    <cellStyle name="표준 9 5 2 4 4" xfId="50199"/>
    <cellStyle name="표준 9 5 2 4 5" xfId="50200"/>
    <cellStyle name="표준 9 5 2 5" xfId="50201"/>
    <cellStyle name="표준 9 5 2 5 2" xfId="50202"/>
    <cellStyle name="표준 9 5 2 5 2 2" xfId="50203"/>
    <cellStyle name="표준 9 5 2 5 2 2 2" xfId="50204"/>
    <cellStyle name="표준 9 5 2 5 2 2 3" xfId="50205"/>
    <cellStyle name="표준 9 5 2 5 2 3" xfId="50206"/>
    <cellStyle name="표준 9 5 2 5 2 4" xfId="50207"/>
    <cellStyle name="표준 9 5 2 5 3" xfId="50208"/>
    <cellStyle name="표준 9 5 2 5 3 2" xfId="50209"/>
    <cellStyle name="표준 9 5 2 5 3 3" xfId="50210"/>
    <cellStyle name="표준 9 5 2 5 4" xfId="50211"/>
    <cellStyle name="표준 9 5 2 5 5" xfId="50212"/>
    <cellStyle name="표준 9 5 2 6" xfId="50213"/>
    <cellStyle name="표준 9 5 2 6 2" xfId="50214"/>
    <cellStyle name="표준 9 5 2 6 2 2" xfId="50215"/>
    <cellStyle name="표준 9 5 2 6 2 2 2" xfId="50216"/>
    <cellStyle name="표준 9 5 2 6 2 2 3" xfId="50217"/>
    <cellStyle name="표준 9 5 2 6 2 3" xfId="50218"/>
    <cellStyle name="표준 9 5 2 6 2 4" xfId="50219"/>
    <cellStyle name="표준 9 5 2 6 3" xfId="50220"/>
    <cellStyle name="표준 9 5 2 6 3 2" xfId="50221"/>
    <cellStyle name="표준 9 5 2 6 3 3" xfId="50222"/>
    <cellStyle name="표준 9 5 2 6 4" xfId="50223"/>
    <cellStyle name="표준 9 5 2 6 5" xfId="50224"/>
    <cellStyle name="표준 9 5 2 7" xfId="50225"/>
    <cellStyle name="표준 9 5 2 7 2" xfId="50226"/>
    <cellStyle name="표준 9 5 2 7 2 2" xfId="50227"/>
    <cellStyle name="표준 9 5 2 7 2 3" xfId="50228"/>
    <cellStyle name="표준 9 5 2 7 3" xfId="50229"/>
    <cellStyle name="표준 9 5 2 7 4" xfId="50230"/>
    <cellStyle name="표준 9 5 2 8" xfId="50231"/>
    <cellStyle name="표준 9 5 2 8 2" xfId="50232"/>
    <cellStyle name="표준 9 5 2 8 3" xfId="50233"/>
    <cellStyle name="표준 9 5 2 9" xfId="50234"/>
    <cellStyle name="표준 9 5 3" xfId="50235"/>
    <cellStyle name="표준 9 5 3 10" xfId="50236"/>
    <cellStyle name="표준 9 5 3 2" xfId="50237"/>
    <cellStyle name="표준 9 5 3 2 2" xfId="50238"/>
    <cellStyle name="표준 9 5 3 2 2 2" xfId="50239"/>
    <cellStyle name="표준 9 5 3 2 2 2 2" xfId="50240"/>
    <cellStyle name="표준 9 5 3 2 2 2 2 2" xfId="50241"/>
    <cellStyle name="표준 9 5 3 2 2 2 2 3" xfId="50242"/>
    <cellStyle name="표준 9 5 3 2 2 2 3" xfId="50243"/>
    <cellStyle name="표준 9 5 3 2 2 2 4" xfId="50244"/>
    <cellStyle name="표준 9 5 3 2 2 3" xfId="50245"/>
    <cellStyle name="표준 9 5 3 2 2 3 2" xfId="50246"/>
    <cellStyle name="표준 9 5 3 2 2 3 3" xfId="50247"/>
    <cellStyle name="표준 9 5 3 2 2 4" xfId="50248"/>
    <cellStyle name="표준 9 5 3 2 2 5" xfId="50249"/>
    <cellStyle name="표준 9 5 3 2 3" xfId="50250"/>
    <cellStyle name="표준 9 5 3 2 3 2" xfId="50251"/>
    <cellStyle name="표준 9 5 3 2 3 2 2" xfId="50252"/>
    <cellStyle name="표준 9 5 3 2 3 2 2 2" xfId="50253"/>
    <cellStyle name="표준 9 5 3 2 3 2 2 3" xfId="50254"/>
    <cellStyle name="표준 9 5 3 2 3 2 3" xfId="50255"/>
    <cellStyle name="표준 9 5 3 2 3 2 4" xfId="50256"/>
    <cellStyle name="표준 9 5 3 2 3 3" xfId="50257"/>
    <cellStyle name="표준 9 5 3 2 3 3 2" xfId="50258"/>
    <cellStyle name="표준 9 5 3 2 3 3 3" xfId="50259"/>
    <cellStyle name="표준 9 5 3 2 3 4" xfId="50260"/>
    <cellStyle name="표준 9 5 3 2 3 5" xfId="50261"/>
    <cellStyle name="표준 9 5 3 2 4" xfId="50262"/>
    <cellStyle name="표준 9 5 3 2 4 2" xfId="50263"/>
    <cellStyle name="표준 9 5 3 2 4 2 2" xfId="50264"/>
    <cellStyle name="표준 9 5 3 2 4 2 3" xfId="50265"/>
    <cellStyle name="표준 9 5 3 2 4 3" xfId="50266"/>
    <cellStyle name="표준 9 5 3 2 4 4" xfId="50267"/>
    <cellStyle name="표준 9 5 3 2 5" xfId="50268"/>
    <cellStyle name="표준 9 5 3 2 5 2" xfId="50269"/>
    <cellStyle name="표준 9 5 3 2 5 3" xfId="50270"/>
    <cellStyle name="표준 9 5 3 2 6" xfId="50271"/>
    <cellStyle name="표준 9 5 3 2 7" xfId="50272"/>
    <cellStyle name="표준 9 5 3 3" xfId="50273"/>
    <cellStyle name="표준 9 5 3 3 2" xfId="50274"/>
    <cellStyle name="표준 9 5 3 3 2 2" xfId="50275"/>
    <cellStyle name="표준 9 5 3 3 2 2 2" xfId="50276"/>
    <cellStyle name="표준 9 5 3 3 2 2 2 2" xfId="50277"/>
    <cellStyle name="표준 9 5 3 3 2 2 2 3" xfId="50278"/>
    <cellStyle name="표준 9 5 3 3 2 2 3" xfId="50279"/>
    <cellStyle name="표준 9 5 3 3 2 2 4" xfId="50280"/>
    <cellStyle name="표준 9 5 3 3 2 3" xfId="50281"/>
    <cellStyle name="표준 9 5 3 3 2 3 2" xfId="50282"/>
    <cellStyle name="표준 9 5 3 3 2 3 3" xfId="50283"/>
    <cellStyle name="표준 9 5 3 3 2 4" xfId="50284"/>
    <cellStyle name="표준 9 5 3 3 2 5" xfId="50285"/>
    <cellStyle name="표준 9 5 3 3 3" xfId="50286"/>
    <cellStyle name="표준 9 5 3 3 3 2" xfId="50287"/>
    <cellStyle name="표준 9 5 3 3 3 2 2" xfId="50288"/>
    <cellStyle name="표준 9 5 3 3 3 2 2 2" xfId="50289"/>
    <cellStyle name="표준 9 5 3 3 3 2 2 3" xfId="50290"/>
    <cellStyle name="표준 9 5 3 3 3 2 3" xfId="50291"/>
    <cellStyle name="표준 9 5 3 3 3 2 4" xfId="50292"/>
    <cellStyle name="표준 9 5 3 3 3 3" xfId="50293"/>
    <cellStyle name="표준 9 5 3 3 3 3 2" xfId="50294"/>
    <cellStyle name="표준 9 5 3 3 3 3 3" xfId="50295"/>
    <cellStyle name="표준 9 5 3 3 3 4" xfId="50296"/>
    <cellStyle name="표준 9 5 3 3 3 5" xfId="50297"/>
    <cellStyle name="표준 9 5 3 3 4" xfId="50298"/>
    <cellStyle name="표준 9 5 3 3 4 2" xfId="50299"/>
    <cellStyle name="표준 9 5 3 3 4 2 2" xfId="50300"/>
    <cellStyle name="표준 9 5 3 3 4 2 3" xfId="50301"/>
    <cellStyle name="표준 9 5 3 3 4 3" xfId="50302"/>
    <cellStyle name="표준 9 5 3 3 4 4" xfId="50303"/>
    <cellStyle name="표준 9 5 3 3 5" xfId="50304"/>
    <cellStyle name="표준 9 5 3 3 5 2" xfId="50305"/>
    <cellStyle name="표준 9 5 3 3 5 3" xfId="50306"/>
    <cellStyle name="표준 9 5 3 3 6" xfId="50307"/>
    <cellStyle name="표준 9 5 3 3 7" xfId="50308"/>
    <cellStyle name="표준 9 5 3 4" xfId="50309"/>
    <cellStyle name="표준 9 5 3 4 2" xfId="50310"/>
    <cellStyle name="표준 9 5 3 4 2 2" xfId="50311"/>
    <cellStyle name="표준 9 5 3 4 2 2 2" xfId="50312"/>
    <cellStyle name="표준 9 5 3 4 2 2 3" xfId="50313"/>
    <cellStyle name="표준 9 5 3 4 2 3" xfId="50314"/>
    <cellStyle name="표준 9 5 3 4 2 4" xfId="50315"/>
    <cellStyle name="표준 9 5 3 4 3" xfId="50316"/>
    <cellStyle name="표준 9 5 3 4 3 2" xfId="50317"/>
    <cellStyle name="표준 9 5 3 4 3 3" xfId="50318"/>
    <cellStyle name="표준 9 5 3 4 4" xfId="50319"/>
    <cellStyle name="표준 9 5 3 4 5" xfId="50320"/>
    <cellStyle name="표준 9 5 3 5" xfId="50321"/>
    <cellStyle name="표준 9 5 3 5 2" xfId="50322"/>
    <cellStyle name="표준 9 5 3 5 2 2" xfId="50323"/>
    <cellStyle name="표준 9 5 3 5 2 2 2" xfId="50324"/>
    <cellStyle name="표준 9 5 3 5 2 2 3" xfId="50325"/>
    <cellStyle name="표준 9 5 3 5 2 3" xfId="50326"/>
    <cellStyle name="표준 9 5 3 5 2 4" xfId="50327"/>
    <cellStyle name="표준 9 5 3 5 3" xfId="50328"/>
    <cellStyle name="표준 9 5 3 5 3 2" xfId="50329"/>
    <cellStyle name="표준 9 5 3 5 3 3" xfId="50330"/>
    <cellStyle name="표준 9 5 3 5 4" xfId="50331"/>
    <cellStyle name="표준 9 5 3 5 5" xfId="50332"/>
    <cellStyle name="표준 9 5 3 6" xfId="50333"/>
    <cellStyle name="표준 9 5 3 6 2" xfId="50334"/>
    <cellStyle name="표준 9 5 3 6 2 2" xfId="50335"/>
    <cellStyle name="표준 9 5 3 6 2 2 2" xfId="50336"/>
    <cellStyle name="표준 9 5 3 6 2 2 3" xfId="50337"/>
    <cellStyle name="표준 9 5 3 6 2 3" xfId="50338"/>
    <cellStyle name="표준 9 5 3 6 2 4" xfId="50339"/>
    <cellStyle name="표준 9 5 3 6 3" xfId="50340"/>
    <cellStyle name="표준 9 5 3 6 3 2" xfId="50341"/>
    <cellStyle name="표준 9 5 3 6 3 3" xfId="50342"/>
    <cellStyle name="표준 9 5 3 6 4" xfId="50343"/>
    <cellStyle name="표준 9 5 3 6 5" xfId="50344"/>
    <cellStyle name="표준 9 5 3 7" xfId="50345"/>
    <cellStyle name="표준 9 5 3 7 2" xfId="50346"/>
    <cellStyle name="표준 9 5 3 7 2 2" xfId="50347"/>
    <cellStyle name="표준 9 5 3 7 2 3" xfId="50348"/>
    <cellStyle name="표준 9 5 3 7 3" xfId="50349"/>
    <cellStyle name="표준 9 5 3 7 4" xfId="50350"/>
    <cellStyle name="표준 9 5 3 8" xfId="50351"/>
    <cellStyle name="표준 9 5 3 8 2" xfId="50352"/>
    <cellStyle name="표준 9 5 3 8 3" xfId="50353"/>
    <cellStyle name="표준 9 5 3 9" xfId="50354"/>
    <cellStyle name="표준 9 5 4" xfId="50355"/>
    <cellStyle name="표준 9 5 4 10" xfId="50356"/>
    <cellStyle name="표준 9 5 4 2" xfId="50357"/>
    <cellStyle name="표준 9 5 4 2 2" xfId="50358"/>
    <cellStyle name="표준 9 5 4 2 2 2" xfId="50359"/>
    <cellStyle name="표준 9 5 4 2 2 2 2" xfId="50360"/>
    <cellStyle name="표준 9 5 4 2 2 2 2 2" xfId="50361"/>
    <cellStyle name="표준 9 5 4 2 2 2 2 3" xfId="50362"/>
    <cellStyle name="표준 9 5 4 2 2 2 3" xfId="50363"/>
    <cellStyle name="표준 9 5 4 2 2 2 4" xfId="50364"/>
    <cellStyle name="표준 9 5 4 2 2 3" xfId="50365"/>
    <cellStyle name="표준 9 5 4 2 2 3 2" xfId="50366"/>
    <cellStyle name="표준 9 5 4 2 2 3 3" xfId="50367"/>
    <cellStyle name="표준 9 5 4 2 2 4" xfId="50368"/>
    <cellStyle name="표준 9 5 4 2 2 5" xfId="50369"/>
    <cellStyle name="표준 9 5 4 2 3" xfId="50370"/>
    <cellStyle name="표준 9 5 4 2 3 2" xfId="50371"/>
    <cellStyle name="표준 9 5 4 2 3 2 2" xfId="50372"/>
    <cellStyle name="표준 9 5 4 2 3 2 2 2" xfId="50373"/>
    <cellStyle name="표준 9 5 4 2 3 2 2 3" xfId="50374"/>
    <cellStyle name="표준 9 5 4 2 3 2 3" xfId="50375"/>
    <cellStyle name="표준 9 5 4 2 3 2 4" xfId="50376"/>
    <cellStyle name="표준 9 5 4 2 3 3" xfId="50377"/>
    <cellStyle name="표준 9 5 4 2 3 3 2" xfId="50378"/>
    <cellStyle name="표준 9 5 4 2 3 3 3" xfId="50379"/>
    <cellStyle name="표준 9 5 4 2 3 4" xfId="50380"/>
    <cellStyle name="표준 9 5 4 2 3 5" xfId="50381"/>
    <cellStyle name="표준 9 5 4 2 4" xfId="50382"/>
    <cellStyle name="표준 9 5 4 2 4 2" xfId="50383"/>
    <cellStyle name="표준 9 5 4 2 4 2 2" xfId="50384"/>
    <cellStyle name="표준 9 5 4 2 4 2 3" xfId="50385"/>
    <cellStyle name="표준 9 5 4 2 4 3" xfId="50386"/>
    <cellStyle name="표준 9 5 4 2 4 4" xfId="50387"/>
    <cellStyle name="표준 9 5 4 2 5" xfId="50388"/>
    <cellStyle name="표준 9 5 4 2 5 2" xfId="50389"/>
    <cellStyle name="표준 9 5 4 2 5 3" xfId="50390"/>
    <cellStyle name="표준 9 5 4 2 6" xfId="50391"/>
    <cellStyle name="표준 9 5 4 2 7" xfId="50392"/>
    <cellStyle name="표준 9 5 4 3" xfId="50393"/>
    <cellStyle name="표준 9 5 4 3 2" xfId="50394"/>
    <cellStyle name="표준 9 5 4 3 2 2" xfId="50395"/>
    <cellStyle name="표준 9 5 4 3 2 2 2" xfId="50396"/>
    <cellStyle name="표준 9 5 4 3 2 2 2 2" xfId="50397"/>
    <cellStyle name="표준 9 5 4 3 2 2 2 3" xfId="50398"/>
    <cellStyle name="표준 9 5 4 3 2 2 3" xfId="50399"/>
    <cellStyle name="표준 9 5 4 3 2 2 4" xfId="50400"/>
    <cellStyle name="표준 9 5 4 3 2 3" xfId="50401"/>
    <cellStyle name="표준 9 5 4 3 2 3 2" xfId="50402"/>
    <cellStyle name="표준 9 5 4 3 2 3 3" xfId="50403"/>
    <cellStyle name="표준 9 5 4 3 2 4" xfId="50404"/>
    <cellStyle name="표준 9 5 4 3 2 5" xfId="50405"/>
    <cellStyle name="표준 9 5 4 3 3" xfId="50406"/>
    <cellStyle name="표준 9 5 4 3 3 2" xfId="50407"/>
    <cellStyle name="표준 9 5 4 3 3 2 2" xfId="50408"/>
    <cellStyle name="표준 9 5 4 3 3 2 2 2" xfId="50409"/>
    <cellStyle name="표준 9 5 4 3 3 2 2 3" xfId="50410"/>
    <cellStyle name="표준 9 5 4 3 3 2 3" xfId="50411"/>
    <cellStyle name="표준 9 5 4 3 3 2 4" xfId="50412"/>
    <cellStyle name="표준 9 5 4 3 3 3" xfId="50413"/>
    <cellStyle name="표준 9 5 4 3 3 3 2" xfId="50414"/>
    <cellStyle name="표준 9 5 4 3 3 3 3" xfId="50415"/>
    <cellStyle name="표준 9 5 4 3 3 4" xfId="50416"/>
    <cellStyle name="표준 9 5 4 3 3 5" xfId="50417"/>
    <cellStyle name="표준 9 5 4 3 4" xfId="50418"/>
    <cellStyle name="표준 9 5 4 3 4 2" xfId="50419"/>
    <cellStyle name="표준 9 5 4 3 4 2 2" xfId="50420"/>
    <cellStyle name="표준 9 5 4 3 4 2 3" xfId="50421"/>
    <cellStyle name="표준 9 5 4 3 4 3" xfId="50422"/>
    <cellStyle name="표준 9 5 4 3 4 4" xfId="50423"/>
    <cellStyle name="표준 9 5 4 3 5" xfId="50424"/>
    <cellStyle name="표준 9 5 4 3 5 2" xfId="50425"/>
    <cellStyle name="표준 9 5 4 3 5 3" xfId="50426"/>
    <cellStyle name="표준 9 5 4 3 6" xfId="50427"/>
    <cellStyle name="표준 9 5 4 3 7" xfId="50428"/>
    <cellStyle name="표준 9 5 4 4" xfId="50429"/>
    <cellStyle name="표준 9 5 4 4 2" xfId="50430"/>
    <cellStyle name="표준 9 5 4 4 2 2" xfId="50431"/>
    <cellStyle name="표준 9 5 4 4 2 2 2" xfId="50432"/>
    <cellStyle name="표준 9 5 4 4 2 2 3" xfId="50433"/>
    <cellStyle name="표준 9 5 4 4 2 3" xfId="50434"/>
    <cellStyle name="표준 9 5 4 4 2 4" xfId="50435"/>
    <cellStyle name="표준 9 5 4 4 3" xfId="50436"/>
    <cellStyle name="표준 9 5 4 4 3 2" xfId="50437"/>
    <cellStyle name="표준 9 5 4 4 3 3" xfId="50438"/>
    <cellStyle name="표준 9 5 4 4 4" xfId="50439"/>
    <cellStyle name="표준 9 5 4 4 5" xfId="50440"/>
    <cellStyle name="표준 9 5 4 5" xfId="50441"/>
    <cellStyle name="표준 9 5 4 5 2" xfId="50442"/>
    <cellStyle name="표준 9 5 4 5 2 2" xfId="50443"/>
    <cellStyle name="표준 9 5 4 5 2 2 2" xfId="50444"/>
    <cellStyle name="표준 9 5 4 5 2 2 3" xfId="50445"/>
    <cellStyle name="표준 9 5 4 5 2 3" xfId="50446"/>
    <cellStyle name="표준 9 5 4 5 2 4" xfId="50447"/>
    <cellStyle name="표준 9 5 4 5 3" xfId="50448"/>
    <cellStyle name="표준 9 5 4 5 3 2" xfId="50449"/>
    <cellStyle name="표준 9 5 4 5 3 3" xfId="50450"/>
    <cellStyle name="표준 9 5 4 5 4" xfId="50451"/>
    <cellStyle name="표준 9 5 4 5 5" xfId="50452"/>
    <cellStyle name="표준 9 5 4 6" xfId="50453"/>
    <cellStyle name="표준 9 5 4 6 2" xfId="50454"/>
    <cellStyle name="표준 9 5 4 6 2 2" xfId="50455"/>
    <cellStyle name="표준 9 5 4 6 2 2 2" xfId="50456"/>
    <cellStyle name="표준 9 5 4 6 2 2 3" xfId="50457"/>
    <cellStyle name="표준 9 5 4 6 2 3" xfId="50458"/>
    <cellStyle name="표준 9 5 4 6 2 4" xfId="50459"/>
    <cellStyle name="표준 9 5 4 6 3" xfId="50460"/>
    <cellStyle name="표준 9 5 4 6 3 2" xfId="50461"/>
    <cellStyle name="표준 9 5 4 6 3 3" xfId="50462"/>
    <cellStyle name="표준 9 5 4 6 4" xfId="50463"/>
    <cellStyle name="표준 9 5 4 6 5" xfId="50464"/>
    <cellStyle name="표준 9 5 4 7" xfId="50465"/>
    <cellStyle name="표준 9 5 4 7 2" xfId="50466"/>
    <cellStyle name="표준 9 5 4 7 2 2" xfId="50467"/>
    <cellStyle name="표준 9 5 4 7 2 3" xfId="50468"/>
    <cellStyle name="표준 9 5 4 7 3" xfId="50469"/>
    <cellStyle name="표준 9 5 4 7 4" xfId="50470"/>
    <cellStyle name="표준 9 5 4 8" xfId="50471"/>
    <cellStyle name="표준 9 5 4 8 2" xfId="50472"/>
    <cellStyle name="표준 9 5 4 8 3" xfId="50473"/>
    <cellStyle name="표준 9 5 4 9" xfId="50474"/>
    <cellStyle name="표준 9 5 5" xfId="50475"/>
    <cellStyle name="표준 9 5 5 2" xfId="50476"/>
    <cellStyle name="표준 9 5 5 2 2" xfId="50477"/>
    <cellStyle name="표준 9 5 5 2 2 2" xfId="50478"/>
    <cellStyle name="표준 9 5 5 2 2 2 2" xfId="50479"/>
    <cellStyle name="표준 9 5 5 2 2 2 3" xfId="50480"/>
    <cellStyle name="표준 9 5 5 2 2 3" xfId="50481"/>
    <cellStyle name="표준 9 5 5 2 2 4" xfId="50482"/>
    <cellStyle name="표준 9 5 5 2 3" xfId="50483"/>
    <cellStyle name="표준 9 5 5 2 3 2" xfId="50484"/>
    <cellStyle name="표준 9 5 5 2 3 3" xfId="50485"/>
    <cellStyle name="표준 9 5 5 2 4" xfId="50486"/>
    <cellStyle name="표준 9 5 5 2 5" xfId="50487"/>
    <cellStyle name="표준 9 5 5 3" xfId="50488"/>
    <cellStyle name="표준 9 5 5 3 2" xfId="50489"/>
    <cellStyle name="표준 9 5 5 3 2 2" xfId="50490"/>
    <cellStyle name="표준 9 5 5 3 2 2 2" xfId="50491"/>
    <cellStyle name="표준 9 5 5 3 2 2 3" xfId="50492"/>
    <cellStyle name="표준 9 5 5 3 2 3" xfId="50493"/>
    <cellStyle name="표준 9 5 5 3 2 4" xfId="50494"/>
    <cellStyle name="표준 9 5 5 3 3" xfId="50495"/>
    <cellStyle name="표준 9 5 5 3 3 2" xfId="50496"/>
    <cellStyle name="표준 9 5 5 3 3 3" xfId="50497"/>
    <cellStyle name="표준 9 5 5 3 4" xfId="50498"/>
    <cellStyle name="표준 9 5 5 3 5" xfId="50499"/>
    <cellStyle name="표준 9 5 5 4" xfId="50500"/>
    <cellStyle name="표준 9 5 5 4 2" xfId="50501"/>
    <cellStyle name="표준 9 5 5 4 2 2" xfId="50502"/>
    <cellStyle name="표준 9 5 5 4 2 3" xfId="50503"/>
    <cellStyle name="표준 9 5 5 4 3" xfId="50504"/>
    <cellStyle name="표준 9 5 5 4 4" xfId="50505"/>
    <cellStyle name="표준 9 5 5 5" xfId="50506"/>
    <cellStyle name="표준 9 5 5 5 2" xfId="50507"/>
    <cellStyle name="표준 9 5 5 5 3" xfId="50508"/>
    <cellStyle name="표준 9 5 5 6" xfId="50509"/>
    <cellStyle name="표준 9 5 5 7" xfId="50510"/>
    <cellStyle name="표준 9 5 6" xfId="50511"/>
    <cellStyle name="표준 9 5 6 2" xfId="50512"/>
    <cellStyle name="표준 9 5 6 2 2" xfId="50513"/>
    <cellStyle name="표준 9 5 6 2 2 2" xfId="50514"/>
    <cellStyle name="표준 9 5 6 2 2 2 2" xfId="50515"/>
    <cellStyle name="표준 9 5 6 2 2 2 3" xfId="50516"/>
    <cellStyle name="표준 9 5 6 2 2 3" xfId="50517"/>
    <cellStyle name="표준 9 5 6 2 2 4" xfId="50518"/>
    <cellStyle name="표준 9 5 6 2 3" xfId="50519"/>
    <cellStyle name="표준 9 5 6 2 3 2" xfId="50520"/>
    <cellStyle name="표준 9 5 6 2 3 3" xfId="50521"/>
    <cellStyle name="표준 9 5 6 2 4" xfId="50522"/>
    <cellStyle name="표준 9 5 6 2 5" xfId="50523"/>
    <cellStyle name="표준 9 5 6 3" xfId="50524"/>
    <cellStyle name="표준 9 5 6 3 2" xfId="50525"/>
    <cellStyle name="표준 9 5 6 3 2 2" xfId="50526"/>
    <cellStyle name="표준 9 5 6 3 2 2 2" xfId="50527"/>
    <cellStyle name="표준 9 5 6 3 2 2 3" xfId="50528"/>
    <cellStyle name="표준 9 5 6 3 2 3" xfId="50529"/>
    <cellStyle name="표준 9 5 6 3 2 4" xfId="50530"/>
    <cellStyle name="표준 9 5 6 3 3" xfId="50531"/>
    <cellStyle name="표준 9 5 6 3 3 2" xfId="50532"/>
    <cellStyle name="표준 9 5 6 3 3 3" xfId="50533"/>
    <cellStyle name="표준 9 5 6 3 4" xfId="50534"/>
    <cellStyle name="표준 9 5 6 3 5" xfId="50535"/>
    <cellStyle name="표준 9 5 6 4" xfId="50536"/>
    <cellStyle name="표준 9 5 6 4 2" xfId="50537"/>
    <cellStyle name="표준 9 5 6 4 2 2" xfId="50538"/>
    <cellStyle name="표준 9 5 6 4 2 3" xfId="50539"/>
    <cellStyle name="표준 9 5 6 4 3" xfId="50540"/>
    <cellStyle name="표준 9 5 6 4 4" xfId="50541"/>
    <cellStyle name="표준 9 5 6 5" xfId="50542"/>
    <cellStyle name="표준 9 5 6 5 2" xfId="50543"/>
    <cellStyle name="표준 9 5 6 5 3" xfId="50544"/>
    <cellStyle name="표준 9 5 6 6" xfId="50545"/>
    <cellStyle name="표준 9 5 6 7" xfId="50546"/>
    <cellStyle name="표준 9 5 7" xfId="50547"/>
    <cellStyle name="표준 9 5 7 2" xfId="50548"/>
    <cellStyle name="표준 9 5 7 2 2" xfId="50549"/>
    <cellStyle name="표준 9 5 7 2 2 2" xfId="50550"/>
    <cellStyle name="표준 9 5 7 2 2 3" xfId="50551"/>
    <cellStyle name="표준 9 5 7 2 3" xfId="50552"/>
    <cellStyle name="표준 9 5 7 2 4" xfId="50553"/>
    <cellStyle name="표준 9 5 7 3" xfId="50554"/>
    <cellStyle name="표준 9 5 7 3 2" xfId="50555"/>
    <cellStyle name="표준 9 5 7 3 3" xfId="50556"/>
    <cellStyle name="표준 9 5 7 4" xfId="50557"/>
    <cellStyle name="표준 9 5 7 5" xfId="50558"/>
    <cellStyle name="표준 9 5 8" xfId="50559"/>
    <cellStyle name="표준 9 5 8 2" xfId="50560"/>
    <cellStyle name="표준 9 5 8 2 2" xfId="50561"/>
    <cellStyle name="표준 9 5 8 2 2 2" xfId="50562"/>
    <cellStyle name="표준 9 5 8 2 2 3" xfId="50563"/>
    <cellStyle name="표준 9 5 8 2 3" xfId="50564"/>
    <cellStyle name="표준 9 5 8 2 4" xfId="50565"/>
    <cellStyle name="표준 9 5 8 3" xfId="50566"/>
    <cellStyle name="표준 9 5 8 3 2" xfId="50567"/>
    <cellStyle name="표준 9 5 8 3 3" xfId="50568"/>
    <cellStyle name="표준 9 5 8 4" xfId="50569"/>
    <cellStyle name="표준 9 5 8 5" xfId="50570"/>
    <cellStyle name="표준 9 5 9" xfId="50571"/>
    <cellStyle name="표준 9 5 9 2" xfId="50572"/>
    <cellStyle name="표준 9 5 9 2 2" xfId="50573"/>
    <cellStyle name="표준 9 5 9 2 2 2" xfId="50574"/>
    <cellStyle name="표준 9 5 9 2 2 3" xfId="50575"/>
    <cellStyle name="표준 9 5 9 2 3" xfId="50576"/>
    <cellStyle name="표준 9 5 9 2 4" xfId="50577"/>
    <cellStyle name="표준 9 5 9 3" xfId="50578"/>
    <cellStyle name="표준 9 5 9 3 2" xfId="50579"/>
    <cellStyle name="표준 9 5 9 3 3" xfId="50580"/>
    <cellStyle name="표준 9 5 9 4" xfId="50581"/>
    <cellStyle name="표준 9 5 9 5" xfId="50582"/>
    <cellStyle name="표준 9 6" xfId="50583"/>
    <cellStyle name="표준 9 6 10" xfId="50584"/>
    <cellStyle name="표준 9 6 2" xfId="50585"/>
    <cellStyle name="표준 9 6 2 2" xfId="50586"/>
    <cellStyle name="표준 9 6 2 2 2" xfId="50587"/>
    <cellStyle name="표준 9 6 2 2 2 2" xfId="50588"/>
    <cellStyle name="표준 9 6 2 2 2 2 2" xfId="50589"/>
    <cellStyle name="표준 9 6 2 2 2 2 3" xfId="50590"/>
    <cellStyle name="표준 9 6 2 2 2 3" xfId="50591"/>
    <cellStyle name="표준 9 6 2 2 2 4" xfId="50592"/>
    <cellStyle name="표준 9 6 2 2 3" xfId="50593"/>
    <cellStyle name="표준 9 6 2 2 3 2" xfId="50594"/>
    <cellStyle name="표준 9 6 2 2 3 3" xfId="50595"/>
    <cellStyle name="표준 9 6 2 2 4" xfId="50596"/>
    <cellStyle name="표준 9 6 2 2 5" xfId="50597"/>
    <cellStyle name="표준 9 6 2 3" xfId="50598"/>
    <cellStyle name="표준 9 6 2 3 2" xfId="50599"/>
    <cellStyle name="표준 9 6 2 3 2 2" xfId="50600"/>
    <cellStyle name="표준 9 6 2 3 2 2 2" xfId="50601"/>
    <cellStyle name="표준 9 6 2 3 2 2 3" xfId="50602"/>
    <cellStyle name="표준 9 6 2 3 2 3" xfId="50603"/>
    <cellStyle name="표준 9 6 2 3 2 4" xfId="50604"/>
    <cellStyle name="표준 9 6 2 3 3" xfId="50605"/>
    <cellStyle name="표준 9 6 2 3 3 2" xfId="50606"/>
    <cellStyle name="표준 9 6 2 3 3 3" xfId="50607"/>
    <cellStyle name="표준 9 6 2 3 4" xfId="50608"/>
    <cellStyle name="표준 9 6 2 3 5" xfId="50609"/>
    <cellStyle name="표준 9 6 2 4" xfId="50610"/>
    <cellStyle name="표준 9 6 2 4 2" xfId="50611"/>
    <cellStyle name="표준 9 6 2 4 2 2" xfId="50612"/>
    <cellStyle name="표준 9 6 2 4 2 3" xfId="50613"/>
    <cellStyle name="표준 9 6 2 4 3" xfId="50614"/>
    <cellStyle name="표준 9 6 2 4 4" xfId="50615"/>
    <cellStyle name="표준 9 6 2 5" xfId="50616"/>
    <cellStyle name="표준 9 6 2 5 2" xfId="50617"/>
    <cellStyle name="표준 9 6 2 5 3" xfId="50618"/>
    <cellStyle name="표준 9 6 2 6" xfId="50619"/>
    <cellStyle name="표준 9 6 2 7" xfId="50620"/>
    <cellStyle name="표준 9 6 3" xfId="50621"/>
    <cellStyle name="표준 9 6 3 2" xfId="50622"/>
    <cellStyle name="표준 9 6 3 2 2" xfId="50623"/>
    <cellStyle name="표준 9 6 3 2 2 2" xfId="50624"/>
    <cellStyle name="표준 9 6 3 2 2 2 2" xfId="50625"/>
    <cellStyle name="표준 9 6 3 2 2 2 3" xfId="50626"/>
    <cellStyle name="표준 9 6 3 2 2 3" xfId="50627"/>
    <cellStyle name="표준 9 6 3 2 2 4" xfId="50628"/>
    <cellStyle name="표준 9 6 3 2 3" xfId="50629"/>
    <cellStyle name="표준 9 6 3 2 3 2" xfId="50630"/>
    <cellStyle name="표준 9 6 3 2 3 3" xfId="50631"/>
    <cellStyle name="표준 9 6 3 2 4" xfId="50632"/>
    <cellStyle name="표준 9 6 3 2 5" xfId="50633"/>
    <cellStyle name="표준 9 6 3 3" xfId="50634"/>
    <cellStyle name="표준 9 6 3 3 2" xfId="50635"/>
    <cellStyle name="표준 9 6 3 3 2 2" xfId="50636"/>
    <cellStyle name="표준 9 6 3 3 2 2 2" xfId="50637"/>
    <cellStyle name="표준 9 6 3 3 2 2 3" xfId="50638"/>
    <cellStyle name="표준 9 6 3 3 2 3" xfId="50639"/>
    <cellStyle name="표준 9 6 3 3 2 4" xfId="50640"/>
    <cellStyle name="표준 9 6 3 3 3" xfId="50641"/>
    <cellStyle name="표준 9 6 3 3 3 2" xfId="50642"/>
    <cellStyle name="표준 9 6 3 3 3 3" xfId="50643"/>
    <cellStyle name="표준 9 6 3 3 4" xfId="50644"/>
    <cellStyle name="표준 9 6 3 3 5" xfId="50645"/>
    <cellStyle name="표준 9 6 3 4" xfId="50646"/>
    <cellStyle name="표준 9 6 3 4 2" xfId="50647"/>
    <cellStyle name="표준 9 6 3 4 2 2" xfId="50648"/>
    <cellStyle name="표준 9 6 3 4 2 3" xfId="50649"/>
    <cellStyle name="표준 9 6 3 4 3" xfId="50650"/>
    <cellStyle name="표준 9 6 3 4 4" xfId="50651"/>
    <cellStyle name="표준 9 6 3 5" xfId="50652"/>
    <cellStyle name="표준 9 6 3 5 2" xfId="50653"/>
    <cellStyle name="표준 9 6 3 5 3" xfId="50654"/>
    <cellStyle name="표준 9 6 3 6" xfId="50655"/>
    <cellStyle name="표준 9 6 3 7" xfId="50656"/>
    <cellStyle name="표준 9 6 4" xfId="50657"/>
    <cellStyle name="표준 9 6 4 2" xfId="50658"/>
    <cellStyle name="표준 9 6 4 2 2" xfId="50659"/>
    <cellStyle name="표준 9 6 4 2 2 2" xfId="50660"/>
    <cellStyle name="표준 9 6 4 2 2 3" xfId="50661"/>
    <cellStyle name="표준 9 6 4 2 3" xfId="50662"/>
    <cellStyle name="표준 9 6 4 2 4" xfId="50663"/>
    <cellStyle name="표준 9 6 4 3" xfId="50664"/>
    <cellStyle name="표준 9 6 4 3 2" xfId="50665"/>
    <cellStyle name="표준 9 6 4 3 3" xfId="50666"/>
    <cellStyle name="표준 9 6 4 4" xfId="50667"/>
    <cellStyle name="표준 9 6 4 5" xfId="50668"/>
    <cellStyle name="표준 9 6 5" xfId="50669"/>
    <cellStyle name="표준 9 6 5 2" xfId="50670"/>
    <cellStyle name="표준 9 6 5 2 2" xfId="50671"/>
    <cellStyle name="표준 9 6 5 2 2 2" xfId="50672"/>
    <cellStyle name="표준 9 6 5 2 2 3" xfId="50673"/>
    <cellStyle name="표준 9 6 5 2 3" xfId="50674"/>
    <cellStyle name="표준 9 6 5 2 4" xfId="50675"/>
    <cellStyle name="표준 9 6 5 3" xfId="50676"/>
    <cellStyle name="표준 9 6 5 3 2" xfId="50677"/>
    <cellStyle name="표준 9 6 5 3 3" xfId="50678"/>
    <cellStyle name="표준 9 6 5 4" xfId="50679"/>
    <cellStyle name="표준 9 6 5 5" xfId="50680"/>
    <cellStyle name="표준 9 6 6" xfId="50681"/>
    <cellStyle name="표준 9 6 6 2" xfId="50682"/>
    <cellStyle name="표준 9 6 6 2 2" xfId="50683"/>
    <cellStyle name="표준 9 6 6 2 2 2" xfId="50684"/>
    <cellStyle name="표준 9 6 6 2 2 3" xfId="50685"/>
    <cellStyle name="표준 9 6 6 2 3" xfId="50686"/>
    <cellStyle name="표준 9 6 6 2 4" xfId="50687"/>
    <cellStyle name="표준 9 6 6 3" xfId="50688"/>
    <cellStyle name="표준 9 6 6 3 2" xfId="50689"/>
    <cellStyle name="표준 9 6 6 3 3" xfId="50690"/>
    <cellStyle name="표준 9 6 6 4" xfId="50691"/>
    <cellStyle name="표준 9 6 6 5" xfId="50692"/>
    <cellStyle name="표준 9 6 7" xfId="50693"/>
    <cellStyle name="표준 9 6 7 2" xfId="50694"/>
    <cellStyle name="표준 9 6 7 2 2" xfId="50695"/>
    <cellStyle name="표준 9 6 7 2 3" xfId="50696"/>
    <cellStyle name="표준 9 6 7 3" xfId="50697"/>
    <cellStyle name="표준 9 6 7 4" xfId="50698"/>
    <cellStyle name="표준 9 6 8" xfId="50699"/>
    <cellStyle name="표준 9 6 8 2" xfId="50700"/>
    <cellStyle name="표준 9 6 8 3" xfId="50701"/>
    <cellStyle name="표준 9 6 9" xfId="50702"/>
    <cellStyle name="표준 9 7" xfId="50703"/>
    <cellStyle name="표준 9 7 10" xfId="50704"/>
    <cellStyle name="표준 9 7 2" xfId="50705"/>
    <cellStyle name="표준 9 7 2 2" xfId="50706"/>
    <cellStyle name="표준 9 7 2 2 2" xfId="50707"/>
    <cellStyle name="표준 9 7 2 2 2 2" xfId="50708"/>
    <cellStyle name="표준 9 7 2 2 2 2 2" xfId="50709"/>
    <cellStyle name="표준 9 7 2 2 2 2 3" xfId="50710"/>
    <cellStyle name="표준 9 7 2 2 2 3" xfId="50711"/>
    <cellStyle name="표준 9 7 2 2 2 4" xfId="50712"/>
    <cellStyle name="표준 9 7 2 2 3" xfId="50713"/>
    <cellStyle name="표준 9 7 2 2 3 2" xfId="50714"/>
    <cellStyle name="표준 9 7 2 2 3 3" xfId="50715"/>
    <cellStyle name="표준 9 7 2 2 4" xfId="50716"/>
    <cellStyle name="표준 9 7 2 2 5" xfId="50717"/>
    <cellStyle name="표준 9 7 2 3" xfId="50718"/>
    <cellStyle name="표준 9 7 2 3 2" xfId="50719"/>
    <cellStyle name="표준 9 7 2 3 2 2" xfId="50720"/>
    <cellStyle name="표준 9 7 2 3 2 2 2" xfId="50721"/>
    <cellStyle name="표준 9 7 2 3 2 2 3" xfId="50722"/>
    <cellStyle name="표준 9 7 2 3 2 3" xfId="50723"/>
    <cellStyle name="표준 9 7 2 3 2 4" xfId="50724"/>
    <cellStyle name="표준 9 7 2 3 3" xfId="50725"/>
    <cellStyle name="표준 9 7 2 3 3 2" xfId="50726"/>
    <cellStyle name="표준 9 7 2 3 3 3" xfId="50727"/>
    <cellStyle name="표준 9 7 2 3 4" xfId="50728"/>
    <cellStyle name="표준 9 7 2 3 5" xfId="50729"/>
    <cellStyle name="표준 9 7 2 4" xfId="50730"/>
    <cellStyle name="표준 9 7 2 4 2" xfId="50731"/>
    <cellStyle name="표준 9 7 2 4 2 2" xfId="50732"/>
    <cellStyle name="표준 9 7 2 4 2 3" xfId="50733"/>
    <cellStyle name="표준 9 7 2 4 3" xfId="50734"/>
    <cellStyle name="표준 9 7 2 4 4" xfId="50735"/>
    <cellStyle name="표준 9 7 2 5" xfId="50736"/>
    <cellStyle name="표준 9 7 2 5 2" xfId="50737"/>
    <cellStyle name="표준 9 7 2 5 3" xfId="50738"/>
    <cellStyle name="표준 9 7 2 6" xfId="50739"/>
    <cellStyle name="표준 9 7 2 7" xfId="50740"/>
    <cellStyle name="표준 9 7 3" xfId="50741"/>
    <cellStyle name="표준 9 7 3 2" xfId="50742"/>
    <cellStyle name="표준 9 7 3 2 2" xfId="50743"/>
    <cellStyle name="표준 9 7 3 2 2 2" xfId="50744"/>
    <cellStyle name="표준 9 7 3 2 2 2 2" xfId="50745"/>
    <cellStyle name="표준 9 7 3 2 2 2 3" xfId="50746"/>
    <cellStyle name="표준 9 7 3 2 2 3" xfId="50747"/>
    <cellStyle name="표준 9 7 3 2 2 4" xfId="50748"/>
    <cellStyle name="표준 9 7 3 2 3" xfId="50749"/>
    <cellStyle name="표준 9 7 3 2 3 2" xfId="50750"/>
    <cellStyle name="표준 9 7 3 2 3 3" xfId="50751"/>
    <cellStyle name="표준 9 7 3 2 4" xfId="50752"/>
    <cellStyle name="표준 9 7 3 2 5" xfId="50753"/>
    <cellStyle name="표준 9 7 3 3" xfId="50754"/>
    <cellStyle name="표준 9 7 3 3 2" xfId="50755"/>
    <cellStyle name="표준 9 7 3 3 2 2" xfId="50756"/>
    <cellStyle name="표준 9 7 3 3 2 2 2" xfId="50757"/>
    <cellStyle name="표준 9 7 3 3 2 2 3" xfId="50758"/>
    <cellStyle name="표준 9 7 3 3 2 3" xfId="50759"/>
    <cellStyle name="표준 9 7 3 3 2 4" xfId="50760"/>
    <cellStyle name="표준 9 7 3 3 3" xfId="50761"/>
    <cellStyle name="표준 9 7 3 3 3 2" xfId="50762"/>
    <cellStyle name="표준 9 7 3 3 3 3" xfId="50763"/>
    <cellStyle name="표준 9 7 3 3 4" xfId="50764"/>
    <cellStyle name="표준 9 7 3 3 5" xfId="50765"/>
    <cellStyle name="표준 9 7 3 4" xfId="50766"/>
    <cellStyle name="표준 9 7 3 4 2" xfId="50767"/>
    <cellStyle name="표준 9 7 3 4 2 2" xfId="50768"/>
    <cellStyle name="표준 9 7 3 4 2 3" xfId="50769"/>
    <cellStyle name="표준 9 7 3 4 3" xfId="50770"/>
    <cellStyle name="표준 9 7 3 4 4" xfId="50771"/>
    <cellStyle name="표준 9 7 3 5" xfId="50772"/>
    <cellStyle name="표준 9 7 3 5 2" xfId="50773"/>
    <cellStyle name="표준 9 7 3 5 3" xfId="50774"/>
    <cellStyle name="표준 9 7 3 6" xfId="50775"/>
    <cellStyle name="표준 9 7 3 7" xfId="50776"/>
    <cellStyle name="표준 9 7 4" xfId="50777"/>
    <cellStyle name="표준 9 7 4 2" xfId="50778"/>
    <cellStyle name="표준 9 7 4 2 2" xfId="50779"/>
    <cellStyle name="표준 9 7 4 2 2 2" xfId="50780"/>
    <cellStyle name="표준 9 7 4 2 2 3" xfId="50781"/>
    <cellStyle name="표준 9 7 4 2 3" xfId="50782"/>
    <cellStyle name="표준 9 7 4 2 4" xfId="50783"/>
    <cellStyle name="표준 9 7 4 3" xfId="50784"/>
    <cellStyle name="표준 9 7 4 3 2" xfId="50785"/>
    <cellStyle name="표준 9 7 4 3 3" xfId="50786"/>
    <cellStyle name="표준 9 7 4 4" xfId="50787"/>
    <cellStyle name="표준 9 7 4 5" xfId="50788"/>
    <cellStyle name="표준 9 7 5" xfId="50789"/>
    <cellStyle name="표준 9 7 5 2" xfId="50790"/>
    <cellStyle name="표준 9 7 5 2 2" xfId="50791"/>
    <cellStyle name="표준 9 7 5 2 2 2" xfId="50792"/>
    <cellStyle name="표준 9 7 5 2 2 3" xfId="50793"/>
    <cellStyle name="표준 9 7 5 2 3" xfId="50794"/>
    <cellStyle name="표준 9 7 5 2 4" xfId="50795"/>
    <cellStyle name="표준 9 7 5 3" xfId="50796"/>
    <cellStyle name="표준 9 7 5 3 2" xfId="50797"/>
    <cellStyle name="표준 9 7 5 3 3" xfId="50798"/>
    <cellStyle name="표준 9 7 5 4" xfId="50799"/>
    <cellStyle name="표준 9 7 5 5" xfId="50800"/>
    <cellStyle name="표준 9 7 6" xfId="50801"/>
    <cellStyle name="표준 9 7 6 2" xfId="50802"/>
    <cellStyle name="표준 9 7 6 2 2" xfId="50803"/>
    <cellStyle name="표준 9 7 6 2 2 2" xfId="50804"/>
    <cellStyle name="표준 9 7 6 2 2 3" xfId="50805"/>
    <cellStyle name="표준 9 7 6 2 3" xfId="50806"/>
    <cellStyle name="표준 9 7 6 2 4" xfId="50807"/>
    <cellStyle name="표준 9 7 6 3" xfId="50808"/>
    <cellStyle name="표준 9 7 6 3 2" xfId="50809"/>
    <cellStyle name="표준 9 7 6 3 3" xfId="50810"/>
    <cellStyle name="표준 9 7 6 4" xfId="50811"/>
    <cellStyle name="표준 9 7 6 5" xfId="50812"/>
    <cellStyle name="표준 9 7 7" xfId="50813"/>
    <cellStyle name="표준 9 7 7 2" xfId="50814"/>
    <cellStyle name="표준 9 7 7 2 2" xfId="50815"/>
    <cellStyle name="표준 9 7 7 2 3" xfId="50816"/>
    <cellStyle name="표준 9 7 7 3" xfId="50817"/>
    <cellStyle name="표준 9 7 7 4" xfId="50818"/>
    <cellStyle name="표준 9 7 8" xfId="50819"/>
    <cellStyle name="표준 9 7 8 2" xfId="50820"/>
    <cellStyle name="표준 9 7 8 3" xfId="50821"/>
    <cellStyle name="표준 9 7 9" xfId="50822"/>
    <cellStyle name="표준 9 8" xfId="50823"/>
    <cellStyle name="표준 9 8 10" xfId="50824"/>
    <cellStyle name="표준 9 8 2" xfId="50825"/>
    <cellStyle name="표준 9 8 2 2" xfId="50826"/>
    <cellStyle name="표준 9 8 2 2 2" xfId="50827"/>
    <cellStyle name="표준 9 8 2 2 2 2" xfId="50828"/>
    <cellStyle name="표준 9 8 2 2 2 2 2" xfId="50829"/>
    <cellStyle name="표준 9 8 2 2 2 2 3" xfId="50830"/>
    <cellStyle name="표준 9 8 2 2 2 3" xfId="50831"/>
    <cellStyle name="표준 9 8 2 2 2 4" xfId="50832"/>
    <cellStyle name="표준 9 8 2 2 3" xfId="50833"/>
    <cellStyle name="표준 9 8 2 2 3 2" xfId="50834"/>
    <cellStyle name="표준 9 8 2 2 3 3" xfId="50835"/>
    <cellStyle name="표준 9 8 2 2 4" xfId="50836"/>
    <cellStyle name="표준 9 8 2 2 5" xfId="50837"/>
    <cellStyle name="표준 9 8 2 3" xfId="50838"/>
    <cellStyle name="표준 9 8 2 3 2" xfId="50839"/>
    <cellStyle name="표준 9 8 2 3 2 2" xfId="50840"/>
    <cellStyle name="표준 9 8 2 3 2 2 2" xfId="50841"/>
    <cellStyle name="표준 9 8 2 3 2 2 3" xfId="50842"/>
    <cellStyle name="표준 9 8 2 3 2 3" xfId="50843"/>
    <cellStyle name="표준 9 8 2 3 2 4" xfId="50844"/>
    <cellStyle name="표준 9 8 2 3 3" xfId="50845"/>
    <cellStyle name="표준 9 8 2 3 3 2" xfId="50846"/>
    <cellStyle name="표준 9 8 2 3 3 3" xfId="50847"/>
    <cellStyle name="표준 9 8 2 3 4" xfId="50848"/>
    <cellStyle name="표준 9 8 2 3 5" xfId="50849"/>
    <cellStyle name="표준 9 8 2 4" xfId="50850"/>
    <cellStyle name="표준 9 8 2 4 2" xfId="50851"/>
    <cellStyle name="표준 9 8 2 4 2 2" xfId="50852"/>
    <cellStyle name="표준 9 8 2 4 2 3" xfId="50853"/>
    <cellStyle name="표준 9 8 2 4 3" xfId="50854"/>
    <cellStyle name="표준 9 8 2 4 4" xfId="50855"/>
    <cellStyle name="표준 9 8 2 5" xfId="50856"/>
    <cellStyle name="표준 9 8 2 5 2" xfId="50857"/>
    <cellStyle name="표준 9 8 2 5 3" xfId="50858"/>
    <cellStyle name="표준 9 8 2 6" xfId="50859"/>
    <cellStyle name="표준 9 8 2 7" xfId="50860"/>
    <cellStyle name="표준 9 8 3" xfId="50861"/>
    <cellStyle name="표준 9 8 3 2" xfId="50862"/>
    <cellStyle name="표준 9 8 3 2 2" xfId="50863"/>
    <cellStyle name="표준 9 8 3 2 2 2" xfId="50864"/>
    <cellStyle name="표준 9 8 3 2 2 2 2" xfId="50865"/>
    <cellStyle name="표준 9 8 3 2 2 2 3" xfId="50866"/>
    <cellStyle name="표준 9 8 3 2 2 3" xfId="50867"/>
    <cellStyle name="표준 9 8 3 2 2 4" xfId="50868"/>
    <cellStyle name="표준 9 8 3 2 3" xfId="50869"/>
    <cellStyle name="표준 9 8 3 2 3 2" xfId="50870"/>
    <cellStyle name="표준 9 8 3 2 3 3" xfId="50871"/>
    <cellStyle name="표준 9 8 3 2 4" xfId="50872"/>
    <cellStyle name="표준 9 8 3 2 5" xfId="50873"/>
    <cellStyle name="표준 9 8 3 3" xfId="50874"/>
    <cellStyle name="표준 9 8 3 3 2" xfId="50875"/>
    <cellStyle name="표준 9 8 3 3 2 2" xfId="50876"/>
    <cellStyle name="표준 9 8 3 3 2 2 2" xfId="50877"/>
    <cellStyle name="표준 9 8 3 3 2 2 3" xfId="50878"/>
    <cellStyle name="표준 9 8 3 3 2 3" xfId="50879"/>
    <cellStyle name="표준 9 8 3 3 2 4" xfId="50880"/>
    <cellStyle name="표준 9 8 3 3 3" xfId="50881"/>
    <cellStyle name="표준 9 8 3 3 3 2" xfId="50882"/>
    <cellStyle name="표준 9 8 3 3 3 3" xfId="50883"/>
    <cellStyle name="표준 9 8 3 3 4" xfId="50884"/>
    <cellStyle name="표준 9 8 3 3 5" xfId="50885"/>
    <cellStyle name="표준 9 8 3 4" xfId="50886"/>
    <cellStyle name="표준 9 8 3 4 2" xfId="50887"/>
    <cellStyle name="표준 9 8 3 4 2 2" xfId="50888"/>
    <cellStyle name="표준 9 8 3 4 2 3" xfId="50889"/>
    <cellStyle name="표준 9 8 3 4 3" xfId="50890"/>
    <cellStyle name="표준 9 8 3 4 4" xfId="50891"/>
    <cellStyle name="표준 9 8 3 5" xfId="50892"/>
    <cellStyle name="표준 9 8 3 5 2" xfId="50893"/>
    <cellStyle name="표준 9 8 3 5 3" xfId="50894"/>
    <cellStyle name="표준 9 8 3 6" xfId="50895"/>
    <cellStyle name="표준 9 8 3 7" xfId="50896"/>
    <cellStyle name="표준 9 8 4" xfId="50897"/>
    <cellStyle name="표준 9 8 4 2" xfId="50898"/>
    <cellStyle name="표준 9 8 4 2 2" xfId="50899"/>
    <cellStyle name="표준 9 8 4 2 2 2" xfId="50900"/>
    <cellStyle name="표준 9 8 4 2 2 3" xfId="50901"/>
    <cellStyle name="표준 9 8 4 2 3" xfId="50902"/>
    <cellStyle name="표준 9 8 4 2 4" xfId="50903"/>
    <cellStyle name="표준 9 8 4 3" xfId="50904"/>
    <cellStyle name="표준 9 8 4 3 2" xfId="50905"/>
    <cellStyle name="표준 9 8 4 3 3" xfId="50906"/>
    <cellStyle name="표준 9 8 4 4" xfId="50907"/>
    <cellStyle name="표준 9 8 4 5" xfId="50908"/>
    <cellStyle name="표준 9 8 5" xfId="50909"/>
    <cellStyle name="표준 9 8 5 2" xfId="50910"/>
    <cellStyle name="표준 9 8 5 2 2" xfId="50911"/>
    <cellStyle name="표준 9 8 5 2 2 2" xfId="50912"/>
    <cellStyle name="표준 9 8 5 2 2 3" xfId="50913"/>
    <cellStyle name="표준 9 8 5 2 3" xfId="50914"/>
    <cellStyle name="표준 9 8 5 2 4" xfId="50915"/>
    <cellStyle name="표준 9 8 5 3" xfId="50916"/>
    <cellStyle name="표준 9 8 5 3 2" xfId="50917"/>
    <cellStyle name="표준 9 8 5 3 3" xfId="50918"/>
    <cellStyle name="표준 9 8 5 4" xfId="50919"/>
    <cellStyle name="표준 9 8 5 5" xfId="50920"/>
    <cellStyle name="표준 9 8 6" xfId="50921"/>
    <cellStyle name="표준 9 8 6 2" xfId="50922"/>
    <cellStyle name="표준 9 8 6 2 2" xfId="50923"/>
    <cellStyle name="표준 9 8 6 2 2 2" xfId="50924"/>
    <cellStyle name="표준 9 8 6 2 2 3" xfId="50925"/>
    <cellStyle name="표준 9 8 6 2 3" xfId="50926"/>
    <cellStyle name="표준 9 8 6 2 4" xfId="50927"/>
    <cellStyle name="표준 9 8 6 3" xfId="50928"/>
    <cellStyle name="표준 9 8 6 3 2" xfId="50929"/>
    <cellStyle name="표준 9 8 6 3 3" xfId="50930"/>
    <cellStyle name="표준 9 8 6 4" xfId="50931"/>
    <cellStyle name="표준 9 8 6 5" xfId="50932"/>
    <cellStyle name="표준 9 8 7" xfId="50933"/>
    <cellStyle name="표준 9 8 7 2" xfId="50934"/>
    <cellStyle name="표준 9 8 7 2 2" xfId="50935"/>
    <cellStyle name="표준 9 8 7 2 3" xfId="50936"/>
    <cellStyle name="표준 9 8 7 3" xfId="50937"/>
    <cellStyle name="표준 9 8 7 4" xfId="50938"/>
    <cellStyle name="표준 9 8 8" xfId="50939"/>
    <cellStyle name="표준 9 8 8 2" xfId="50940"/>
    <cellStyle name="표준 9 8 8 3" xfId="50941"/>
    <cellStyle name="표준 9 8 9" xfId="50942"/>
    <cellStyle name="표준 9 9" xfId="50943"/>
    <cellStyle name="표준 9 9 2" xfId="50944"/>
    <cellStyle name="표준 9 9 2 2" xfId="50945"/>
    <cellStyle name="표준 9 9 2 2 2" xfId="50946"/>
    <cellStyle name="표준 9 9 2 2 2 2" xfId="50947"/>
    <cellStyle name="표준 9 9 2 2 2 3" xfId="50948"/>
    <cellStyle name="표준 9 9 2 2 3" xfId="50949"/>
    <cellStyle name="표준 9 9 2 2 4" xfId="50950"/>
    <cellStyle name="표준 9 9 2 3" xfId="50951"/>
    <cellStyle name="표준 9 9 2 3 2" xfId="50952"/>
    <cellStyle name="표준 9 9 2 3 3" xfId="50953"/>
    <cellStyle name="표준 9 9 2 4" xfId="50954"/>
    <cellStyle name="표준 9 9 2 5" xfId="50955"/>
    <cellStyle name="표준 9 9 3" xfId="50956"/>
    <cellStyle name="표준 9 9 3 2" xfId="50957"/>
    <cellStyle name="표준 9 9 3 2 2" xfId="50958"/>
    <cellStyle name="표준 9 9 3 2 2 2" xfId="50959"/>
    <cellStyle name="표준 9 9 3 2 2 3" xfId="50960"/>
    <cellStyle name="표준 9 9 3 2 3" xfId="50961"/>
    <cellStyle name="표준 9 9 3 2 4" xfId="50962"/>
    <cellStyle name="표준 9 9 3 3" xfId="50963"/>
    <cellStyle name="표준 9 9 3 3 2" xfId="50964"/>
    <cellStyle name="표준 9 9 3 3 3" xfId="50965"/>
    <cellStyle name="표준 9 9 3 4" xfId="50966"/>
    <cellStyle name="표준 9 9 3 5" xfId="50967"/>
    <cellStyle name="표준 9 9 4" xfId="50968"/>
    <cellStyle name="표준 9 9 4 2" xfId="50969"/>
    <cellStyle name="표준 9 9 4 2 2" xfId="50970"/>
    <cellStyle name="표준 9 9 4 2 3" xfId="50971"/>
    <cellStyle name="표준 9 9 4 3" xfId="50972"/>
    <cellStyle name="표준 9 9 4 4" xfId="50973"/>
    <cellStyle name="표준 9 9 5" xfId="50974"/>
    <cellStyle name="표준 9 9 5 2" xfId="50975"/>
    <cellStyle name="표준 9 9 5 3" xfId="50976"/>
    <cellStyle name="표준 9 9 6" xfId="50977"/>
    <cellStyle name="표준 9 9 7" xfId="50978"/>
    <cellStyle name="표준 9_Sheet3" xfId="50979"/>
    <cellStyle name="표준 90" xfId="50980"/>
    <cellStyle name="표준 91" xfId="50981"/>
    <cellStyle name="표준 92" xfId="50982"/>
    <cellStyle name="표준 93" xfId="50983"/>
    <cellStyle name="표준 94" xfId="50984"/>
    <cellStyle name="표준 95" xfId="50985"/>
    <cellStyle name="표준 96" xfId="50986"/>
    <cellStyle name="표준 97" xfId="50987"/>
    <cellStyle name="표준 98" xfId="50988"/>
    <cellStyle name="표준 99" xfId="50989"/>
    <cellStyle name="표준1" xfId="50990"/>
    <cellStyle name="표준-천마편람" xfId="50991"/>
    <cellStyle name="표준⽴laroux_laroux_2" xfId="50992"/>
    <cellStyle name="푤롸貫[0]_丹홈셕뺍,茄셥 " xfId="50993"/>
    <cellStyle name="푤롸貫_丹홈셕뺍,茄셥 " xfId="50994"/>
    <cellStyle name="하이퍼링크 2" xfId="50995"/>
    <cellStyle name="하이퍼링크 2 2" xfId="50996"/>
    <cellStyle name="하이퍼링크_NDI社 SMT공정 진단_0716" xfId="50997"/>
    <cellStyle name="합산" xfId="50998"/>
    <cellStyle name="합산 2" xfId="50999"/>
    <cellStyle name="합산 2 2" xfId="51000"/>
    <cellStyle name="합산 3" xfId="51001"/>
    <cellStyle name="화폐기호" xfId="51002"/>
    <cellStyle name="화폐기호 2" xfId="51003"/>
    <cellStyle name="화폐기호 2 2" xfId="51004"/>
    <cellStyle name="화폐기호 3" xfId="51005"/>
    <cellStyle name="화폐기호0" xfId="51006"/>
    <cellStyle name="화폐기호0 2" xfId="51007"/>
    <cellStyle name="화폐기호0 2 2" xfId="51008"/>
    <cellStyle name="화폐기호0 3" xfId="51009"/>
    <cellStyle name="千位分隔[0]_GTHMSNZ" xfId="51010"/>
    <cellStyle name="千位分隔_GTHMSNZ" xfId="51011"/>
    <cellStyle name="咬訌裝?INCOM1" xfId="51012"/>
    <cellStyle name="咬訌裝?INCOM10" xfId="51013"/>
    <cellStyle name="咬訌裝?INCOM2" xfId="51014"/>
    <cellStyle name="咬訌裝?INCOM3" xfId="51015"/>
    <cellStyle name="咬訌裝?INCOM4" xfId="51016"/>
    <cellStyle name="咬訌裝?INCOM5" xfId="51017"/>
    <cellStyle name="咬訌裝?INCOM6" xfId="51018"/>
    <cellStyle name="咬訌裝?INCOM7" xfId="51019"/>
    <cellStyle name="咬訌裝?INCOM8" xfId="51020"/>
    <cellStyle name="咬訌裝?INCOM9" xfId="51021"/>
    <cellStyle name="咬訌裝?PRIB11" xfId="51022"/>
    <cellStyle name="單" xfId="51023"/>
    <cellStyle name="單 2" xfId="51024"/>
    <cellStyle name="巍葆 [0]_laroux" xfId="51025"/>
    <cellStyle name="巍葆_laroux" xfId="51026"/>
    <cellStyle name="常规_GTHMSNZ" xfId="51027"/>
    <cellStyle name="归盒啦_老老前龙泅炔 " xfId="51028"/>
    <cellStyle name="普通_封皮" xfId="51029"/>
    <cellStyle name="桁区切り_ＦＩＴＳ見積（FIT-042）" xfId="51030"/>
    <cellStyle name="烹拳 [0]_  ?  ?  " xfId="51031"/>
    <cellStyle name="烹拳_  ?  ?  " xfId="51032"/>
    <cellStyle name="百分比_ORDER COVER SHEET(D9905-3)" xfId="51033"/>
    <cellStyle name="第俊 ?? ??欺傅?" xfId="51034"/>
    <cellStyle name="表示済みのハイパーリンク_Book1 グラフ 22" xfId="51035"/>
    <cellStyle name="货币[0]_GTHMSNZ" xfId="51036"/>
    <cellStyle name="货币_GTHMSNZ" xfId="51037"/>
    <cellStyle name="通貨 [0.00]_Book1" xfId="51038"/>
    <cellStyle name="通貨_Book1" xfId="51039"/>
    <cellStyle name="钎霖_   " xfId="51040"/>
    <cellStyle name="霓付 [0]_  ?  ?  " xfId="51041"/>
    <cellStyle name="霓付_  ?  ?  " xfId="51042"/>
    <cellStyle name="鱔 [0]_laroux" xfId="51043"/>
    <cellStyle name="鱔_laroux" xfId="51044"/>
    <cellStyle name="Percent" xfId="51045" builtinId="5"/>
    <cellStyle name="Hyperlink" xfId="51046" builtinId="8"/>
    <cellStyle name="Normal 3" xfId="51047"/>
    <cellStyle name="Comma 2" xfId="51048"/>
    <cellStyle name="Percent 2" xfId="51049"/>
    <cellStyle name="??" xfId="51050"/>
    <cellStyle name="?? [0.00]_PRODUCT DETAIL Q1" xfId="51051"/>
    <cellStyle name="?? [0]" xfId="51052"/>
    <cellStyle name="???? [0.00]_PRODUCT DETAIL Q1" xfId="51053"/>
    <cellStyle name="????_PRODUCT DETAIL Q1" xfId="51054"/>
    <cellStyle name="???[0]_Book1" xfId="51055"/>
    <cellStyle name="???_95" xfId="51056"/>
    <cellStyle name="??_(????)??????" xfId="51057"/>
    <cellStyle name="C?AØ_¿?¾÷CoE² " xfId="51058"/>
    <cellStyle name="Comma0" xfId="51059"/>
    <cellStyle name="Currency0" xfId="51060"/>
    <cellStyle name=" [0.00]_ Att. 1- Cover" xfId="51061"/>
    <cellStyle name="_ Att. 1- Cover" xfId="51062"/>
    <cellStyle name="?_ Att. 1- Cover" xfId="51063"/>
    <cellStyle name="백분율_95" xfId="51064"/>
    <cellStyle name="통화 [0]_1202" xfId="51065"/>
    <cellStyle name="통화_1202" xfId="51066"/>
    <cellStyle name="표준_(정보부문)월별인원계획" xfId="51067"/>
    <cellStyle name="一般_00Q3902REV.1" xfId="51068"/>
    <cellStyle name="千分位[0]_00Q3902REV.1" xfId="51069"/>
    <cellStyle name="千分位_00Q3902REV.1" xfId="51070"/>
    <cellStyle name="標準_1-seatdimensional" xfId="51071"/>
    <cellStyle name="貨幣 [0]_00Q3902REV.1" xfId="51072"/>
    <cellStyle name="貨幣[0]_BRE" xfId="51073"/>
    <cellStyle name="貨幣_00Q3902REV.1" xfId="51074"/>
    <cellStyle name="Normal 4" xfId="51075"/>
    <cellStyle name="표준 2 48" xfId="51076"/>
    <cellStyle name="표준_QSA_Check-Sheet" xfId="51077"/>
    <cellStyle name="Percent 3" xfId="51078"/>
    <cellStyle name="표준_NDI社 SMT공정 진단_0716" xfId="51079"/>
    <cellStyle name="Normal 5" xfId="51080"/>
  </cellStyles>
  <dxfs count="1">
    <dxf>
      <font>
        <condense val="0"/>
        <color indexed="10"/>
        <extend val="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styles" Target="styles.xml" Id="rId33"/><Relationship Type="http://schemas.openxmlformats.org/officeDocument/2006/relationships/theme" Target="theme/theme1.xml" Id="rId34"/></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Report'!$D$11:$D$16</f>
              <strCache>
                <ptCount val="6"/>
                <pt idx="0">
                  <v>Warehouse for Materials</v>
                </pt>
                <pt idx="1">
                  <v>Material Inspection  and  Preparation</v>
                </pt>
                <pt idx="2">
                  <v>Control Tooling</v>
                </pt>
                <pt idx="3">
                  <v xml:space="preserve"> Production Process</v>
                </pt>
                <pt idx="4">
                  <v>Product Evaluation (OQC)</v>
                </pt>
                <pt idx="5">
                  <v>Packing and Shipment</v>
                </pt>
              </strCache>
            </strRef>
          </cat>
          <val>
            <numRef>
              <f>'Result Report'!$K$11:$K$16</f>
              <numCache>
                <formatCode xml:space="preserve">#,##0.0_ </formatCode>
                <ptCount val="6"/>
                <pt idx="0">
                  <v>0</v>
                </pt>
                <pt idx="1">
                  <v>0</v>
                </pt>
                <pt idx="2">
                  <v>0</v>
                </pt>
                <pt idx="3">
                  <v>0</v>
                </pt>
                <pt idx="4">
                  <v>0</v>
                </pt>
                <pt idx="5">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Report'!$D$11:$D$16</f>
              <strCache>
                <ptCount val="6"/>
                <pt idx="0">
                  <v>Warehouse for Materials</v>
                </pt>
                <pt idx="1">
                  <v>Material Inspection  and  Preparation</v>
                </pt>
                <pt idx="2">
                  <v>Control Tooling</v>
                </pt>
                <pt idx="3">
                  <v xml:space="preserve"> Production Process</v>
                </pt>
                <pt idx="4">
                  <v>Product Evaluation (OQC)</v>
                </pt>
                <pt idx="5">
                  <v>Packing and Shipment</v>
                </pt>
              </strCache>
            </strRef>
          </cat>
          <val>
            <numRef>
              <f>'Result Report'!$L$11:$L$16</f>
              <numCache>
                <formatCode xml:space="preserve">#,##0.0_ </formatCode>
                <ptCount val="6"/>
              </numCache>
            </numRef>
          </val>
        </ser>
        <dLbls>
          <showLegendKey val="0"/>
          <showVal val="0"/>
          <showCatName val="0"/>
          <showSerName val="0"/>
          <showPercent val="0"/>
          <showBubbleSize val="0"/>
        </dLbls>
        <axId val="101812480"/>
        <axId val="101818368"/>
      </radarChart>
      <catAx>
        <axId val="101812480"/>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01818368"/>
        <crosses val="autoZero"/>
        <auto val="1"/>
        <lblAlgn val="ctr"/>
        <lblOffset val="100"/>
        <noMultiLvlLbl val="0"/>
      </catAx>
      <valAx>
        <axId val="101818368"/>
        <scaling>
          <orientation val="minMax"/>
          <max val="100"/>
          <min val="0"/>
        </scaling>
        <delete val="0"/>
        <axPos val="l"/>
        <majorGridlines/>
        <numFmt formatCode="#,##0.0_ " sourceLinked="1"/>
        <majorTickMark val="cross"/>
        <minorTickMark val="none"/>
        <tickLblPos val="nextTo"/>
        <crossAx val="101812480"/>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Report'!$C$21:$C$25</f>
              <strCache>
                <ptCount val="5"/>
                <pt idx="0">
                  <v>Material Management</v>
                </pt>
                <pt idx="1">
                  <v>Material Inspection  and  Preparation</v>
                </pt>
                <pt idx="2">
                  <v>Production Process</v>
                </pt>
                <pt idx="3">
                  <v>Product Evaluation</v>
                </pt>
                <pt idx="4">
                  <v>Packing Management</v>
                </pt>
              </strCache>
            </strRef>
          </cat>
          <val>
            <numRef>
              <f>'Result Report'!$D$21:$D$25</f>
              <numCache>
                <formatCode>General</formatCode>
                <ptCount val="5"/>
              </numCache>
            </numRef>
          </val>
        </ser>
        <ser>
          <idx val="1"/>
          <order val="1"/>
          <spPr>
            <a:ln xmlns:a="http://schemas.openxmlformats.org/drawingml/2006/main">
              <a:prstDash val="solid"/>
            </a:ln>
          </spPr>
          <invertIfNegative val="0"/>
          <cat>
            <strRef>
              <f>'Result Report'!$C$21:$C$25</f>
              <strCache>
                <ptCount val="5"/>
                <pt idx="0">
                  <v>Material Management</v>
                </pt>
                <pt idx="1">
                  <v>Material Inspection  and  Preparation</v>
                </pt>
                <pt idx="2">
                  <v>Production Process</v>
                </pt>
                <pt idx="3">
                  <v>Product Evaluation</v>
                </pt>
                <pt idx="4">
                  <v>Packing Management</v>
                </pt>
              </strCache>
            </strRef>
          </cat>
          <val>
            <numRef>
              <f>'Result Report'!$E$21:$E$25</f>
              <numCache>
                <formatCode>General</formatCode>
                <ptCount val="5"/>
              </numCache>
            </numRef>
          </val>
        </ser>
        <ser>
          <idx val="2"/>
          <order val="2"/>
          <spPr>
            <a:ln xmlns:a="http://schemas.openxmlformats.org/drawingml/2006/main">
              <a:prstDash val="solid"/>
            </a:ln>
          </spPr>
          <invertIfNegative val="0"/>
          <cat>
            <strRef>
              <f>'Result Report'!$C$21:$C$25</f>
              <strCache>
                <ptCount val="5"/>
                <pt idx="0">
                  <v>Material Management</v>
                </pt>
                <pt idx="1">
                  <v>Material Inspection  and  Preparation</v>
                </pt>
                <pt idx="2">
                  <v>Production Process</v>
                </pt>
                <pt idx="3">
                  <v>Product Evaluation</v>
                </pt>
                <pt idx="4">
                  <v>Packing Management</v>
                </pt>
              </strCache>
            </strRef>
          </cat>
          <val>
            <numRef>
              <f>'Result Report'!$F$21:$F$25</f>
              <numCache>
                <formatCode>General</formatCode>
                <ptCount val="5"/>
              </numCache>
            </numRef>
          </val>
        </ser>
        <ser>
          <idx val="3"/>
          <order val="3"/>
          <spPr>
            <a:ln xmlns:a="http://schemas.openxmlformats.org/drawingml/2006/main">
              <a:prstDash val="solid"/>
            </a:ln>
          </spPr>
          <invertIfNegative val="0"/>
          <cat>
            <strRef>
              <f>'Result Report'!$C$21:$C$25</f>
              <strCache>
                <ptCount val="5"/>
                <pt idx="0">
                  <v>Material Management</v>
                </pt>
                <pt idx="1">
                  <v>Material Inspection  and  Preparation</v>
                </pt>
                <pt idx="2">
                  <v>Production Process</v>
                </pt>
                <pt idx="3">
                  <v>Product Evaluation</v>
                </pt>
                <pt idx="4">
                  <v>Packing Management</v>
                </pt>
              </strCache>
            </strRef>
          </cat>
          <val>
            <numRef>
              <f>'Result Report'!$G$21:$G$25</f>
              <numCache>
                <formatCode>General</formatCode>
                <ptCount val="5"/>
              </numCache>
            </numRef>
          </val>
        </ser>
        <ser>
          <idx val="4"/>
          <order val="4"/>
          <spPr>
            <a:ln xmlns:a="http://schemas.openxmlformats.org/drawingml/2006/main">
              <a:prstDash val="solid"/>
            </a:ln>
          </spPr>
          <invertIfNegative val="0"/>
          <cat>
            <strRef>
              <f>'Result Report'!$C$21:$C$25</f>
              <strCache>
                <ptCount val="5"/>
                <pt idx="0">
                  <v>Material Management</v>
                </pt>
                <pt idx="1">
                  <v>Material Inspection  and  Preparation</v>
                </pt>
                <pt idx="2">
                  <v>Production Process</v>
                </pt>
                <pt idx="3">
                  <v>Product Evaluation</v>
                </pt>
                <pt idx="4">
                  <v>Packing Management</v>
                </pt>
              </strCache>
            </strRef>
          </cat>
          <val>
            <numRef>
              <f>'Result Report'!$H$21:$H$25</f>
              <numCache>
                <formatCode>General</formatCode>
                <ptCount val="5"/>
              </numCache>
            </numRef>
          </val>
        </ser>
        <dLbls>
          <showLegendKey val="0"/>
          <showVal val="0"/>
          <showCatName val="0"/>
          <showSerName val="0"/>
          <showPercent val="0"/>
          <showBubbleSize val="0"/>
        </dLbls>
        <gapWidth val="150"/>
        <axId val="102165888"/>
        <axId val="106718336"/>
      </barChart>
      <catAx>
        <axId val="102165888"/>
        <scaling>
          <orientation val="minMax"/>
        </scaling>
        <delete val="0"/>
        <axPos val="b"/>
        <numFmt formatCode="General" sourceLinked="0"/>
        <majorTickMark val="out"/>
        <minorTickMark val="none"/>
        <tickLblPos val="nextTo"/>
        <crossAx val="106718336"/>
        <crosses val="autoZero"/>
        <auto val="1"/>
        <lblAlgn val="ctr"/>
        <lblOffset val="100"/>
        <noMultiLvlLbl val="0"/>
      </catAx>
      <valAx>
        <axId val="106718336"/>
        <scaling>
          <orientation val="minMax"/>
        </scaling>
        <delete val="0"/>
        <axPos val="l"/>
        <majorGridlines/>
        <numFmt formatCode="General" sourceLinked="1"/>
        <majorTickMark val="out"/>
        <minorTickMark val="none"/>
        <tickLblPos val="nextTo"/>
        <crossAx val="102165888"/>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7" authorId="0" shapeId="0">
      <text>
        <t>평점 : (심사 종합득점/종합배점)*100</t>
      </text>
    </comment>
    <comment ref="H17" authorId="0" shapeId="0">
      <text>
        <t xml:space="preserve">A등급 : 90 ~ 100
B등급 : 80 ~ 89
C등급 : 70 ~ 79
D등급 : 60 ~ 69
E등급 : 59 이하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248650" y="209550"/>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18</row>
      <rowOff>201705</rowOff>
    </from>
    <to>
      <col>18</col>
      <colOff>0</colOff>
      <row>26</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12</col>
      <colOff>1212594</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441771" y="89646"/>
          <a:ext cx="1449598"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192.168.100.6\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file:///\\192.168.100.6\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file:///D:\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192.168.100.6\PART%20LIST\MYDATA\DSC210&#50896;&#44032;&#48516;&#49437;\&#51116;&#47308;&#48708;&#47588;&#53356;&#47196;.xls" TargetMode="External" Id="rId1"/></Relationships>
</file>

<file path=xl/externalLinks/_rels/externalLink7.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192.168.100.6\1.%20Quality%20Data\5)%20&#54801;&#47141;&#50629;&#52404;\&#51221;&#44592;&#54217;&#44032;\2&#52264;&#44060;&#49440;\'12&#45380;%20&#54801;&#47141;&#50629;&#52404;%20QPA%20&#49324;&#51204;%20&#51216;&#44160;%20&#44208;&#44284;_&#51204;&#52404;_120305.xlsx" TargetMode="External" Id="rId1"/></Relationships>
</file>

<file path=xl/externalLinks/_rels/externalLink9.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1.xml.rels><Relationships xmlns="http://schemas.openxmlformats.org/package/2006/relationships"><Relationship Type="http://schemas.openxmlformats.org/officeDocument/2006/relationships/externalLinkPath" Target="file:///D:\Excel%20Files\4-MT80-2000-001-I%20%20Supplier%20Assessment%20Template%2005-11-05.xls" TargetMode="External" Id="rId1"/></Relationships>
</file>

<file path=xl/externalLinks/_rels/externalLink12.xml.rels><Relationships xmlns="http://schemas.openxmlformats.org/package/2006/relationships"><Relationship Type="http://schemas.openxmlformats.org/officeDocument/2006/relationships/externalLinkPath" Target="file:///D:\SPS%20DATA\training\audit%20questionare\Injection%20Molding%20OSA%20Template%20-%20Concept%2010-15-2014.xlsm" TargetMode="External" Id="rId1"/></Relationships>
</file>

<file path=xl/externalLinks/_rels/externalLink13.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4.xml.rels><Relationships xmlns="http://schemas.openxmlformats.org/package/2006/relationships"><Relationship Type="http://schemas.openxmlformats.org/officeDocument/2006/relationships/externalLinkPath" Target="file:///\\192.168.100.6\PART%20LIST\Single\Office40\temp\D3500319.xls" TargetMode="External" Id="rId1"/></Relationships>
</file>

<file path=xl/externalLinks/_rels/externalLink15.xml.rels><Relationships xmlns="http://schemas.openxmlformats.org/package/2006/relationships"><Relationship Type="http://schemas.openxmlformats.org/officeDocument/2006/relationships/externalLinkPath" Target="file:///\\192.168.100.6\PART%20LIST\data\xls\JINDAN.XLS"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8.xml.rels><Relationships xmlns="http://schemas.openxmlformats.org/package/2006/relationships"><Relationship Type="http://schemas.openxmlformats.org/officeDocument/2006/relationships/externalLinkPath" Target="file:///\\192.168.100.6\PART%20LIST\EXCEL\98SALE\98&#50868;&#50689;.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0.xml.rels><Relationships xmlns="http://schemas.openxmlformats.org/package/2006/relationships"><Relationship Type="http://schemas.openxmlformats.org/officeDocument/2006/relationships/externalLinkPath" Target="file:///\\192.168.100.6\PART%20LIST\My%20Documents\&#48372;&#44256;&#47928;&#49436;\98&#45380;&#50896;&#44032;.xls" TargetMode="External" Id="rId1"/></Relationships>
</file>

<file path=xl/externalLinks/_rels/externalLink21.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2.xml.rels><Relationships xmlns="http://schemas.openxmlformats.org/package/2006/relationships"><Relationship Type="http://schemas.openxmlformats.org/officeDocument/2006/relationships/externalLinkPath" Target="file:///\\192.168.100.6\PART%20LIST\DATA\97&#51204;&#47581;.xls" TargetMode="External" Id="rId1"/></Relationships>
</file>

<file path=xl/externalLinks/_rels/externalLink23.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4.xml.rels><Relationships xmlns="http://schemas.openxmlformats.org/package/2006/relationships"><Relationship Type="http://schemas.openxmlformats.org/officeDocument/2006/relationships/externalLinkPath" Target="file:///\\192.168.100.6\PART%20LIST\&#50629;&#47924;\&#50896;&#44032;\&#50896;&#44032;91&#51452;.XLS" TargetMode="External" Id="rId1"/></Relationships>
</file>

<file path=xl/externalLinks/_rels/externalLink25.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6.xml.rels><Relationships xmlns="http://schemas.openxmlformats.org/package/2006/relationships"><Relationship Type="http://schemas.openxmlformats.org/officeDocument/2006/relationships/externalLinkPath" Target="file:///\\192.168.100.6\PART%20LIST\&#52509;&#44221;&#48708;\98&#45380;\98&#52509;&#44221;&#48708;%20&#47785;&#54364;\&#52509;&#44221;&#52572;&#51333;&#54869;&#51221;.xls" TargetMode="External" Id="rId1"/></Relationships>
</file>

<file path=xl/externalLinks/_rels/externalLink27.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28.xml.rels><Relationships xmlns="http://schemas.openxmlformats.org/package/2006/relationships"><Relationship Type="http://schemas.openxmlformats.org/officeDocument/2006/relationships/externalLinkPath" Target="file:///\\192.168.100.6\PART%20LIST\BACKUP\&#50629;&#47924;&#51068;&#48152;\&#49373;&#49328;&#54788;&#54889;\8&#50900;\SANGGU\JOBJOB\6\SAMPLE.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O26"/>
  <sheetViews>
    <sheetView topLeftCell="A10" workbookViewId="0">
      <selection activeCell="G28" sqref="G28"/>
    </sheetView>
  </sheetViews>
  <sheetFormatPr baseColWidth="8" defaultRowHeight="16.5"/>
  <cols>
    <col width="2.5703125" customWidth="1" style="87" min="1" max="1"/>
    <col width="9.140625" customWidth="1" style="87" min="2" max="12"/>
    <col width="11.5703125" customWidth="1" style="87" min="13" max="14"/>
    <col width="0.7109375" customWidth="1" style="87" min="15" max="15"/>
    <col width="9.140625" customWidth="1" style="87" min="16" max="256"/>
    <col width="2.5703125" customWidth="1" style="87" min="257" max="257"/>
    <col width="9.140625" customWidth="1" style="87" min="258" max="268"/>
    <col width="11.5703125" customWidth="1" style="87" min="269" max="270"/>
    <col width="0.7109375" customWidth="1" style="87" min="271" max="271"/>
    <col width="9.140625" customWidth="1" style="87" min="272" max="512"/>
    <col width="2.5703125" customWidth="1" style="87" min="513" max="513"/>
    <col width="9.140625" customWidth="1" style="87" min="514" max="524"/>
    <col width="11.5703125" customWidth="1" style="87" min="525" max="526"/>
    <col width="0.7109375" customWidth="1" style="87" min="527" max="527"/>
    <col width="9.140625" customWidth="1" style="87" min="528" max="768"/>
    <col width="2.5703125" customWidth="1" style="87" min="769" max="769"/>
    <col width="9.140625" customWidth="1" style="87" min="770" max="780"/>
    <col width="11.5703125" customWidth="1" style="87" min="781" max="782"/>
    <col width="0.7109375" customWidth="1" style="87" min="783" max="783"/>
    <col width="9.140625" customWidth="1" style="87" min="784" max="1024"/>
    <col width="2.5703125" customWidth="1" style="87" min="1025" max="1025"/>
    <col width="9.140625" customWidth="1" style="87" min="1026" max="1036"/>
    <col width="11.5703125" customWidth="1" style="87" min="1037" max="1038"/>
    <col width="0.7109375" customWidth="1" style="87" min="1039" max="1039"/>
    <col width="9.140625" customWidth="1" style="87" min="1040" max="1280"/>
    <col width="2.5703125" customWidth="1" style="87" min="1281" max="1281"/>
    <col width="9.140625" customWidth="1" style="87" min="1282" max="1292"/>
    <col width="11.5703125" customWidth="1" style="87" min="1293" max="1294"/>
    <col width="0.7109375" customWidth="1" style="87" min="1295" max="1295"/>
    <col width="9.140625" customWidth="1" style="87" min="1296" max="1536"/>
    <col width="2.5703125" customWidth="1" style="87" min="1537" max="1537"/>
    <col width="9.140625" customWidth="1" style="87" min="1538" max="1548"/>
    <col width="11.5703125" customWidth="1" style="87" min="1549" max="1550"/>
    <col width="0.7109375" customWidth="1" style="87" min="1551" max="1551"/>
    <col width="9.140625" customWidth="1" style="87" min="1552" max="1792"/>
    <col width="2.5703125" customWidth="1" style="87" min="1793" max="1793"/>
    <col width="9.140625" customWidth="1" style="87" min="1794" max="1804"/>
    <col width="11.5703125" customWidth="1" style="87" min="1805" max="1806"/>
    <col width="0.7109375" customWidth="1" style="87" min="1807" max="1807"/>
    <col width="9.140625" customWidth="1" style="87" min="1808" max="2048"/>
    <col width="2.5703125" customWidth="1" style="87" min="2049" max="2049"/>
    <col width="9.140625" customWidth="1" style="87" min="2050" max="2060"/>
    <col width="11.5703125" customWidth="1" style="87" min="2061" max="2062"/>
    <col width="0.7109375" customWidth="1" style="87" min="2063" max="2063"/>
    <col width="9.140625" customWidth="1" style="87" min="2064" max="2304"/>
    <col width="2.5703125" customWidth="1" style="87" min="2305" max="2305"/>
    <col width="9.140625" customWidth="1" style="87" min="2306" max="2316"/>
    <col width="11.5703125" customWidth="1" style="87" min="2317" max="2318"/>
    <col width="0.7109375" customWidth="1" style="87" min="2319" max="2319"/>
    <col width="9.140625" customWidth="1" style="87" min="2320" max="2560"/>
    <col width="2.5703125" customWidth="1" style="87" min="2561" max="2561"/>
    <col width="9.140625" customWidth="1" style="87" min="2562" max="2572"/>
    <col width="11.5703125" customWidth="1" style="87" min="2573" max="2574"/>
    <col width="0.7109375" customWidth="1" style="87" min="2575" max="2575"/>
    <col width="9.140625" customWidth="1" style="87" min="2576" max="2816"/>
    <col width="2.5703125" customWidth="1" style="87" min="2817" max="2817"/>
    <col width="9.140625" customWidth="1" style="87" min="2818" max="2828"/>
    <col width="11.5703125" customWidth="1" style="87" min="2829" max="2830"/>
    <col width="0.7109375" customWidth="1" style="87" min="2831" max="2831"/>
    <col width="9.140625" customWidth="1" style="87" min="2832" max="3072"/>
    <col width="2.5703125" customWidth="1" style="87" min="3073" max="3073"/>
    <col width="9.140625" customWidth="1" style="87" min="3074" max="3084"/>
    <col width="11.5703125" customWidth="1" style="87" min="3085" max="3086"/>
    <col width="0.7109375" customWidth="1" style="87" min="3087" max="3087"/>
    <col width="9.140625" customWidth="1" style="87" min="3088" max="3328"/>
    <col width="2.5703125" customWidth="1" style="87" min="3329" max="3329"/>
    <col width="9.140625" customWidth="1" style="87" min="3330" max="3340"/>
    <col width="11.5703125" customWidth="1" style="87" min="3341" max="3342"/>
    <col width="0.7109375" customWidth="1" style="87" min="3343" max="3343"/>
    <col width="9.140625" customWidth="1" style="87" min="3344" max="3584"/>
    <col width="2.5703125" customWidth="1" style="87" min="3585" max="3585"/>
    <col width="9.140625" customWidth="1" style="87" min="3586" max="3596"/>
    <col width="11.5703125" customWidth="1" style="87" min="3597" max="3598"/>
    <col width="0.7109375" customWidth="1" style="87" min="3599" max="3599"/>
    <col width="9.140625" customWidth="1" style="87" min="3600" max="3840"/>
    <col width="2.5703125" customWidth="1" style="87" min="3841" max="3841"/>
    <col width="9.140625" customWidth="1" style="87" min="3842" max="3852"/>
    <col width="11.5703125" customWidth="1" style="87" min="3853" max="3854"/>
    <col width="0.7109375" customWidth="1" style="87" min="3855" max="3855"/>
    <col width="9.140625" customWidth="1" style="87" min="3856" max="4096"/>
    <col width="2.5703125" customWidth="1" style="87" min="4097" max="4097"/>
    <col width="9.140625" customWidth="1" style="87" min="4098" max="4108"/>
    <col width="11.5703125" customWidth="1" style="87" min="4109" max="4110"/>
    <col width="0.7109375" customWidth="1" style="87" min="4111" max="4111"/>
    <col width="9.140625" customWidth="1" style="87" min="4112" max="4352"/>
    <col width="2.5703125" customWidth="1" style="87" min="4353" max="4353"/>
    <col width="9.140625" customWidth="1" style="87" min="4354" max="4364"/>
    <col width="11.5703125" customWidth="1" style="87" min="4365" max="4366"/>
    <col width="0.7109375" customWidth="1" style="87" min="4367" max="4367"/>
    <col width="9.140625" customWidth="1" style="87" min="4368" max="4608"/>
    <col width="2.5703125" customWidth="1" style="87" min="4609" max="4609"/>
    <col width="9.140625" customWidth="1" style="87" min="4610" max="4620"/>
    <col width="11.5703125" customWidth="1" style="87" min="4621" max="4622"/>
    <col width="0.7109375" customWidth="1" style="87" min="4623" max="4623"/>
    <col width="9.140625" customWidth="1" style="87" min="4624" max="4864"/>
    <col width="2.5703125" customWidth="1" style="87" min="4865" max="4865"/>
    <col width="9.140625" customWidth="1" style="87" min="4866" max="4876"/>
    <col width="11.5703125" customWidth="1" style="87" min="4877" max="4878"/>
    <col width="0.7109375" customWidth="1" style="87" min="4879" max="4879"/>
    <col width="9.140625" customWidth="1" style="87" min="4880" max="5120"/>
    <col width="2.5703125" customWidth="1" style="87" min="5121" max="5121"/>
    <col width="9.140625" customWidth="1" style="87" min="5122" max="5132"/>
    <col width="11.5703125" customWidth="1" style="87" min="5133" max="5134"/>
    <col width="0.7109375" customWidth="1" style="87" min="5135" max="5135"/>
    <col width="9.140625" customWidth="1" style="87" min="5136" max="5376"/>
    <col width="2.5703125" customWidth="1" style="87" min="5377" max="5377"/>
    <col width="9.140625" customWidth="1" style="87" min="5378" max="5388"/>
    <col width="11.5703125" customWidth="1" style="87" min="5389" max="5390"/>
    <col width="0.7109375" customWidth="1" style="87" min="5391" max="5391"/>
    <col width="9.140625" customWidth="1" style="87" min="5392" max="5632"/>
    <col width="2.5703125" customWidth="1" style="87" min="5633" max="5633"/>
    <col width="9.140625" customWidth="1" style="87" min="5634" max="5644"/>
    <col width="11.5703125" customWidth="1" style="87" min="5645" max="5646"/>
    <col width="0.7109375" customWidth="1" style="87" min="5647" max="5647"/>
    <col width="9.140625" customWidth="1" style="87" min="5648" max="5888"/>
    <col width="2.5703125" customWidth="1" style="87" min="5889" max="5889"/>
    <col width="9.140625" customWidth="1" style="87" min="5890" max="5900"/>
    <col width="11.5703125" customWidth="1" style="87" min="5901" max="5902"/>
    <col width="0.7109375" customWidth="1" style="87" min="5903" max="5903"/>
    <col width="9.140625" customWidth="1" style="87" min="5904" max="6144"/>
    <col width="2.5703125" customWidth="1" style="87" min="6145" max="6145"/>
    <col width="9.140625" customWidth="1" style="87" min="6146" max="6156"/>
    <col width="11.5703125" customWidth="1" style="87" min="6157" max="6158"/>
    <col width="0.7109375" customWidth="1" style="87" min="6159" max="6159"/>
    <col width="9.140625" customWidth="1" style="87" min="6160" max="6400"/>
    <col width="2.5703125" customWidth="1" style="87" min="6401" max="6401"/>
    <col width="9.140625" customWidth="1" style="87" min="6402" max="6412"/>
    <col width="11.5703125" customWidth="1" style="87" min="6413" max="6414"/>
    <col width="0.7109375" customWidth="1" style="87" min="6415" max="6415"/>
    <col width="9.140625" customWidth="1" style="87" min="6416" max="6656"/>
    <col width="2.5703125" customWidth="1" style="87" min="6657" max="6657"/>
    <col width="9.140625" customWidth="1" style="87" min="6658" max="6668"/>
    <col width="11.5703125" customWidth="1" style="87" min="6669" max="6670"/>
    <col width="0.7109375" customWidth="1" style="87" min="6671" max="6671"/>
    <col width="9.140625" customWidth="1" style="87" min="6672" max="6912"/>
    <col width="2.5703125" customWidth="1" style="87" min="6913" max="6913"/>
    <col width="9.140625" customWidth="1" style="87" min="6914" max="6924"/>
    <col width="11.5703125" customWidth="1" style="87" min="6925" max="6926"/>
    <col width="0.7109375" customWidth="1" style="87" min="6927" max="6927"/>
    <col width="9.140625" customWidth="1" style="87" min="6928" max="7168"/>
    <col width="2.5703125" customWidth="1" style="87" min="7169" max="7169"/>
    <col width="9.140625" customWidth="1" style="87" min="7170" max="7180"/>
    <col width="11.5703125" customWidth="1" style="87" min="7181" max="7182"/>
    <col width="0.7109375" customWidth="1" style="87" min="7183" max="7183"/>
    <col width="9.140625" customWidth="1" style="87" min="7184" max="7424"/>
    <col width="2.5703125" customWidth="1" style="87" min="7425" max="7425"/>
    <col width="9.140625" customWidth="1" style="87" min="7426" max="7436"/>
    <col width="11.5703125" customWidth="1" style="87" min="7437" max="7438"/>
    <col width="0.7109375" customWidth="1" style="87" min="7439" max="7439"/>
    <col width="9.140625" customWidth="1" style="87" min="7440" max="7680"/>
    <col width="2.5703125" customWidth="1" style="87" min="7681" max="7681"/>
    <col width="9.140625" customWidth="1" style="87" min="7682" max="7692"/>
    <col width="11.5703125" customWidth="1" style="87" min="7693" max="7694"/>
    <col width="0.7109375" customWidth="1" style="87" min="7695" max="7695"/>
    <col width="9.140625" customWidth="1" style="87" min="7696" max="7936"/>
    <col width="2.5703125" customWidth="1" style="87" min="7937" max="7937"/>
    <col width="9.140625" customWidth="1" style="87" min="7938" max="7948"/>
    <col width="11.5703125" customWidth="1" style="87" min="7949" max="7950"/>
    <col width="0.7109375" customWidth="1" style="87" min="7951" max="7951"/>
    <col width="9.140625" customWidth="1" style="87" min="7952" max="8192"/>
    <col width="2.5703125" customWidth="1" style="87" min="8193" max="8193"/>
    <col width="9.140625" customWidth="1" style="87" min="8194" max="8204"/>
    <col width="11.5703125" customWidth="1" style="87" min="8205" max="8206"/>
    <col width="0.7109375" customWidth="1" style="87" min="8207" max="8207"/>
    <col width="9.140625" customWidth="1" style="87" min="8208" max="8448"/>
    <col width="2.5703125" customWidth="1" style="87" min="8449" max="8449"/>
    <col width="9.140625" customWidth="1" style="87" min="8450" max="8460"/>
    <col width="11.5703125" customWidth="1" style="87" min="8461" max="8462"/>
    <col width="0.7109375" customWidth="1" style="87" min="8463" max="8463"/>
    <col width="9.140625" customWidth="1" style="87" min="8464" max="8704"/>
    <col width="2.5703125" customWidth="1" style="87" min="8705" max="8705"/>
    <col width="9.140625" customWidth="1" style="87" min="8706" max="8716"/>
    <col width="11.5703125" customWidth="1" style="87" min="8717" max="8718"/>
    <col width="0.7109375" customWidth="1" style="87" min="8719" max="8719"/>
    <col width="9.140625" customWidth="1" style="87" min="8720" max="8960"/>
    <col width="2.5703125" customWidth="1" style="87" min="8961" max="8961"/>
    <col width="9.140625" customWidth="1" style="87" min="8962" max="8972"/>
    <col width="11.5703125" customWidth="1" style="87" min="8973" max="8974"/>
    <col width="0.7109375" customWidth="1" style="87" min="8975" max="8975"/>
    <col width="9.140625" customWidth="1" style="87" min="8976" max="9216"/>
    <col width="2.5703125" customWidth="1" style="87" min="9217" max="9217"/>
    <col width="9.140625" customWidth="1" style="87" min="9218" max="9228"/>
    <col width="11.5703125" customWidth="1" style="87" min="9229" max="9230"/>
    <col width="0.7109375" customWidth="1" style="87" min="9231" max="9231"/>
    <col width="9.140625" customWidth="1" style="87" min="9232" max="9472"/>
    <col width="2.5703125" customWidth="1" style="87" min="9473" max="9473"/>
    <col width="9.140625" customWidth="1" style="87" min="9474" max="9484"/>
    <col width="11.5703125" customWidth="1" style="87" min="9485" max="9486"/>
    <col width="0.7109375" customWidth="1" style="87" min="9487" max="9487"/>
    <col width="9.140625" customWidth="1" style="87" min="9488" max="9728"/>
    <col width="2.5703125" customWidth="1" style="87" min="9729" max="9729"/>
    <col width="9.140625" customWidth="1" style="87" min="9730" max="9740"/>
    <col width="11.5703125" customWidth="1" style="87" min="9741" max="9742"/>
    <col width="0.7109375" customWidth="1" style="87" min="9743" max="9743"/>
    <col width="9.140625" customWidth="1" style="87" min="9744" max="9984"/>
    <col width="2.5703125" customWidth="1" style="87" min="9985" max="9985"/>
    <col width="9.140625" customWidth="1" style="87" min="9986" max="9996"/>
    <col width="11.5703125" customWidth="1" style="87" min="9997" max="9998"/>
    <col width="0.7109375" customWidth="1" style="87" min="9999" max="9999"/>
    <col width="9.140625" customWidth="1" style="87" min="10000" max="10240"/>
    <col width="2.5703125" customWidth="1" style="87" min="10241" max="10241"/>
    <col width="9.140625" customWidth="1" style="87" min="10242" max="10252"/>
    <col width="11.5703125" customWidth="1" style="87" min="10253" max="10254"/>
    <col width="0.7109375" customWidth="1" style="87" min="10255" max="10255"/>
    <col width="9.140625" customWidth="1" style="87" min="10256" max="10496"/>
    <col width="2.5703125" customWidth="1" style="87" min="10497" max="10497"/>
    <col width="9.140625" customWidth="1" style="87" min="10498" max="10508"/>
    <col width="11.5703125" customWidth="1" style="87" min="10509" max="10510"/>
    <col width="0.7109375" customWidth="1" style="87" min="10511" max="10511"/>
    <col width="9.140625" customWidth="1" style="87" min="10512" max="10752"/>
    <col width="2.5703125" customWidth="1" style="87" min="10753" max="10753"/>
    <col width="9.140625" customWidth="1" style="87" min="10754" max="10764"/>
    <col width="11.5703125" customWidth="1" style="87" min="10765" max="10766"/>
    <col width="0.7109375" customWidth="1" style="87" min="10767" max="10767"/>
    <col width="9.140625" customWidth="1" style="87" min="10768" max="11008"/>
    <col width="2.5703125" customWidth="1" style="87" min="11009" max="11009"/>
    <col width="9.140625" customWidth="1" style="87" min="11010" max="11020"/>
    <col width="11.5703125" customWidth="1" style="87" min="11021" max="11022"/>
    <col width="0.7109375" customWidth="1" style="87" min="11023" max="11023"/>
    <col width="9.140625" customWidth="1" style="87" min="11024" max="11264"/>
    <col width="2.5703125" customWidth="1" style="87" min="11265" max="11265"/>
    <col width="9.140625" customWidth="1" style="87" min="11266" max="11276"/>
    <col width="11.5703125" customWidth="1" style="87" min="11277" max="11278"/>
    <col width="0.7109375" customWidth="1" style="87" min="11279" max="11279"/>
    <col width="9.140625" customWidth="1" style="87" min="11280" max="11520"/>
    <col width="2.5703125" customWidth="1" style="87" min="11521" max="11521"/>
    <col width="9.140625" customWidth="1" style="87" min="11522" max="11532"/>
    <col width="11.5703125" customWidth="1" style="87" min="11533" max="11534"/>
    <col width="0.7109375" customWidth="1" style="87" min="11535" max="11535"/>
    <col width="9.140625" customWidth="1" style="87" min="11536" max="11776"/>
    <col width="2.5703125" customWidth="1" style="87" min="11777" max="11777"/>
    <col width="9.140625" customWidth="1" style="87" min="11778" max="11788"/>
    <col width="11.5703125" customWidth="1" style="87" min="11789" max="11790"/>
    <col width="0.7109375" customWidth="1" style="87" min="11791" max="11791"/>
    <col width="9.140625" customWidth="1" style="87" min="11792" max="12032"/>
    <col width="2.5703125" customWidth="1" style="87" min="12033" max="12033"/>
    <col width="9.140625" customWidth="1" style="87" min="12034" max="12044"/>
    <col width="11.5703125" customWidth="1" style="87" min="12045" max="12046"/>
    <col width="0.7109375" customWidth="1" style="87" min="12047" max="12047"/>
    <col width="9.140625" customWidth="1" style="87" min="12048" max="12288"/>
    <col width="2.5703125" customWidth="1" style="87" min="12289" max="12289"/>
    <col width="9.140625" customWidth="1" style="87" min="12290" max="12300"/>
    <col width="11.5703125" customWidth="1" style="87" min="12301" max="12302"/>
    <col width="0.7109375" customWidth="1" style="87" min="12303" max="12303"/>
    <col width="9.140625" customWidth="1" style="87" min="12304" max="12544"/>
    <col width="2.5703125" customWidth="1" style="87" min="12545" max="12545"/>
    <col width="9.140625" customWidth="1" style="87" min="12546" max="12556"/>
    <col width="11.5703125" customWidth="1" style="87" min="12557" max="12558"/>
    <col width="0.7109375" customWidth="1" style="87" min="12559" max="12559"/>
    <col width="9.140625" customWidth="1" style="87" min="12560" max="12800"/>
    <col width="2.5703125" customWidth="1" style="87" min="12801" max="12801"/>
    <col width="9.140625" customWidth="1" style="87" min="12802" max="12812"/>
    <col width="11.5703125" customWidth="1" style="87" min="12813" max="12814"/>
    <col width="0.7109375" customWidth="1" style="87" min="12815" max="12815"/>
    <col width="9.140625" customWidth="1" style="87" min="12816" max="13056"/>
    <col width="2.5703125" customWidth="1" style="87" min="13057" max="13057"/>
    <col width="9.140625" customWidth="1" style="87" min="13058" max="13068"/>
    <col width="11.5703125" customWidth="1" style="87" min="13069" max="13070"/>
    <col width="0.7109375" customWidth="1" style="87" min="13071" max="13071"/>
    <col width="9.140625" customWidth="1" style="87" min="13072" max="13312"/>
    <col width="2.5703125" customWidth="1" style="87" min="13313" max="13313"/>
    <col width="9.140625" customWidth="1" style="87" min="13314" max="13324"/>
    <col width="11.5703125" customWidth="1" style="87" min="13325" max="13326"/>
    <col width="0.7109375" customWidth="1" style="87" min="13327" max="13327"/>
    <col width="9.140625" customWidth="1" style="87" min="13328" max="13568"/>
    <col width="2.5703125" customWidth="1" style="87" min="13569" max="13569"/>
    <col width="9.140625" customWidth="1" style="87" min="13570" max="13580"/>
    <col width="11.5703125" customWidth="1" style="87" min="13581" max="13582"/>
    <col width="0.7109375" customWidth="1" style="87" min="13583" max="13583"/>
    <col width="9.140625" customWidth="1" style="87" min="13584" max="13824"/>
    <col width="2.5703125" customWidth="1" style="87" min="13825" max="13825"/>
    <col width="9.140625" customWidth="1" style="87" min="13826" max="13836"/>
    <col width="11.5703125" customWidth="1" style="87" min="13837" max="13838"/>
    <col width="0.7109375" customWidth="1" style="87" min="13839" max="13839"/>
    <col width="9.140625" customWidth="1" style="87" min="13840" max="14080"/>
    <col width="2.5703125" customWidth="1" style="87" min="14081" max="14081"/>
    <col width="9.140625" customWidth="1" style="87" min="14082" max="14092"/>
    <col width="11.5703125" customWidth="1" style="87" min="14093" max="14094"/>
    <col width="0.7109375" customWidth="1" style="87" min="14095" max="14095"/>
    <col width="9.140625" customWidth="1" style="87" min="14096" max="14336"/>
    <col width="2.5703125" customWidth="1" style="87" min="14337" max="14337"/>
    <col width="9.140625" customWidth="1" style="87" min="14338" max="14348"/>
    <col width="11.5703125" customWidth="1" style="87" min="14349" max="14350"/>
    <col width="0.7109375" customWidth="1" style="87" min="14351" max="14351"/>
    <col width="9.140625" customWidth="1" style="87" min="14352" max="14592"/>
    <col width="2.5703125" customWidth="1" style="87" min="14593" max="14593"/>
    <col width="9.140625" customWidth="1" style="87" min="14594" max="14604"/>
    <col width="11.5703125" customWidth="1" style="87" min="14605" max="14606"/>
    <col width="0.7109375" customWidth="1" style="87" min="14607" max="14607"/>
    <col width="9.140625" customWidth="1" style="87" min="14608" max="14848"/>
    <col width="2.5703125" customWidth="1" style="87" min="14849" max="14849"/>
    <col width="9.140625" customWidth="1" style="87" min="14850" max="14860"/>
    <col width="11.5703125" customWidth="1" style="87" min="14861" max="14862"/>
    <col width="0.7109375" customWidth="1" style="87" min="14863" max="14863"/>
    <col width="9.140625" customWidth="1" style="87" min="14864" max="15104"/>
    <col width="2.5703125" customWidth="1" style="87" min="15105" max="15105"/>
    <col width="9.140625" customWidth="1" style="87" min="15106" max="15116"/>
    <col width="11.5703125" customWidth="1" style="87" min="15117" max="15118"/>
    <col width="0.7109375" customWidth="1" style="87" min="15119" max="15119"/>
    <col width="9.140625" customWidth="1" style="87" min="15120" max="15360"/>
    <col width="2.5703125" customWidth="1" style="87" min="15361" max="15361"/>
    <col width="9.140625" customWidth="1" style="87" min="15362" max="15372"/>
    <col width="11.5703125" customWidth="1" style="87" min="15373" max="15374"/>
    <col width="0.7109375" customWidth="1" style="87" min="15375" max="15375"/>
    <col width="9.140625" customWidth="1" style="87" min="15376" max="15616"/>
    <col width="2.5703125" customWidth="1" style="87" min="15617" max="15617"/>
    <col width="9.140625" customWidth="1" style="87" min="15618" max="15628"/>
    <col width="11.5703125" customWidth="1" style="87" min="15629" max="15630"/>
    <col width="0.7109375" customWidth="1" style="87" min="15631" max="15631"/>
    <col width="9.140625" customWidth="1" style="87" min="15632" max="15872"/>
    <col width="2.5703125" customWidth="1" style="87" min="15873" max="15873"/>
    <col width="9.140625" customWidth="1" style="87" min="15874" max="15884"/>
    <col width="11.5703125" customWidth="1" style="87" min="15885" max="15886"/>
    <col width="0.7109375" customWidth="1" style="87" min="15887" max="15887"/>
    <col width="9.140625" customWidth="1" style="87" min="15888" max="16128"/>
    <col width="2.5703125" customWidth="1" style="87" min="16129" max="16129"/>
    <col width="9.140625" customWidth="1" style="87" min="16130" max="16140"/>
    <col width="11.5703125" customWidth="1" style="87" min="16141" max="16142"/>
    <col width="0.7109375" customWidth="1" style="87" min="16143" max="16143"/>
    <col width="9.140625" customWidth="1" style="87" min="16144" max="16384"/>
  </cols>
  <sheetData>
    <row r="1" ht="11.25" customHeight="1" thickBot="1">
      <c r="B1" s="94" t="n"/>
      <c r="C1" s="94" t="n"/>
      <c r="D1" s="94" t="n"/>
      <c r="E1" s="94" t="n"/>
      <c r="F1" s="94" t="n"/>
      <c r="G1" s="94" t="n"/>
      <c r="H1" s="94" t="n"/>
      <c r="I1" s="94" t="n"/>
      <c r="J1" s="94" t="n"/>
      <c r="K1" s="94" t="n"/>
    </row>
    <row r="2">
      <c r="B2" s="88" t="n"/>
      <c r="C2" s="89" t="n"/>
      <c r="D2" s="89" t="n"/>
      <c r="E2" s="89" t="n"/>
      <c r="F2" s="89" t="n"/>
      <c r="G2" s="89" t="n"/>
      <c r="H2" s="89" t="n"/>
      <c r="I2" s="89" t="n"/>
      <c r="J2" s="89" t="n"/>
      <c r="K2" s="89" t="n"/>
      <c r="L2" s="89" t="n"/>
      <c r="M2" s="89" t="n"/>
      <c r="N2" s="89" t="n"/>
      <c r="O2" s="90" t="n"/>
    </row>
    <row r="3">
      <c r="B3" s="91" t="n"/>
      <c r="O3" s="92" t="n"/>
    </row>
    <row r="4">
      <c r="B4" s="91" t="n"/>
      <c r="O4" s="92" t="n"/>
    </row>
    <row r="5">
      <c r="B5" s="91" t="n"/>
      <c r="O5" s="92" t="n"/>
    </row>
    <row r="6">
      <c r="B6" s="91" t="n"/>
      <c r="O6" s="92" t="n"/>
    </row>
    <row r="7">
      <c r="B7" s="91" t="n"/>
      <c r="O7" s="92" t="n"/>
    </row>
    <row r="8">
      <c r="B8" s="91" t="n"/>
      <c r="O8" s="92" t="n"/>
    </row>
    <row r="9">
      <c r="B9" s="91" t="n"/>
      <c r="O9" s="92" t="n"/>
    </row>
    <row r="10">
      <c r="B10" s="91" t="n"/>
      <c r="O10" s="92" t="n"/>
    </row>
    <row r="11">
      <c r="B11" s="91" t="n"/>
      <c r="O11" s="92" t="n"/>
    </row>
    <row r="12">
      <c r="B12" s="91" t="n"/>
      <c r="O12" s="92" t="n"/>
    </row>
    <row r="13" ht="20.25" customHeight="1">
      <c r="B13" s="93" t="n"/>
      <c r="C13" s="94" t="n"/>
      <c r="D13" s="94" t="n"/>
      <c r="E13" s="195" t="inlineStr">
        <is>
          <t>Supplier name</t>
        </is>
      </c>
      <c r="F13" s="320" t="n"/>
      <c r="G13" s="196" t="n"/>
      <c r="H13" s="321" t="n"/>
      <c r="I13" s="321" t="n"/>
      <c r="J13" s="321" t="n"/>
      <c r="K13" s="320" t="n"/>
      <c r="O13" s="92" t="n"/>
    </row>
    <row r="14" ht="20.25" customHeight="1">
      <c r="B14" s="93" t="n"/>
      <c r="C14" s="94" t="n"/>
      <c r="D14" s="94" t="n"/>
      <c r="E14" s="195" t="inlineStr">
        <is>
          <t>Major Product</t>
        </is>
      </c>
      <c r="F14" s="320" t="n"/>
      <c r="G14" s="196" t="n"/>
      <c r="H14" s="321" t="n"/>
      <c r="I14" s="321" t="n"/>
      <c r="J14" s="321" t="n"/>
      <c r="K14" s="320" t="n"/>
      <c r="O14" s="92" t="n"/>
    </row>
    <row r="15" ht="20.25" customHeight="1">
      <c r="B15" s="95" t="n"/>
      <c r="C15" s="94" t="n"/>
      <c r="D15" s="94" t="n"/>
      <c r="E15" s="195" t="inlineStr">
        <is>
          <t>Audit Object</t>
        </is>
      </c>
      <c r="F15" s="320" t="n"/>
      <c r="G15" s="196" t="n"/>
      <c r="H15" s="321" t="n"/>
      <c r="I15" s="321" t="n"/>
      <c r="J15" s="321" t="n"/>
      <c r="K15" s="320" t="n"/>
      <c r="O15" s="92" t="n"/>
    </row>
    <row r="16" ht="20.25" customHeight="1">
      <c r="B16" s="93" t="n"/>
      <c r="C16" s="94" t="n"/>
      <c r="D16" s="96" t="n"/>
      <c r="E16" s="195" t="inlineStr">
        <is>
          <t>Date of Audit</t>
        </is>
      </c>
      <c r="F16" s="320" t="n"/>
      <c r="G16" s="196" t="n"/>
      <c r="H16" s="321" t="n"/>
      <c r="I16" s="321" t="n"/>
      <c r="J16" s="321" t="n"/>
      <c r="K16" s="320" t="n"/>
      <c r="O16" s="92" t="n"/>
    </row>
    <row r="17" ht="20.25" customHeight="1">
      <c r="B17" s="93" t="n"/>
      <c r="C17" s="94" t="n"/>
      <c r="D17" s="94" t="n"/>
      <c r="E17" s="195" t="inlineStr">
        <is>
          <t>Auditor</t>
        </is>
      </c>
      <c r="F17" s="320" t="n"/>
      <c r="G17" s="196" t="n"/>
      <c r="H17" s="321" t="n"/>
      <c r="I17" s="321" t="n"/>
      <c r="J17" s="321" t="n"/>
      <c r="K17" s="320" t="n"/>
      <c r="L17" s="94" t="n"/>
      <c r="M17" s="94" t="n"/>
      <c r="N17" s="94" t="n"/>
      <c r="O17" s="97" t="n"/>
    </row>
    <row r="18" ht="20.25" customHeight="1">
      <c r="B18" s="93" t="n"/>
      <c r="C18" s="94" t="n"/>
      <c r="D18" s="94" t="n"/>
      <c r="E18" s="195" t="inlineStr">
        <is>
          <t>Grade</t>
        </is>
      </c>
      <c r="F18" s="320" t="n"/>
      <c r="G18" s="196" t="n"/>
      <c r="H18" s="321" t="n"/>
      <c r="I18" s="321" t="n"/>
      <c r="J18" s="321" t="n"/>
      <c r="K18" s="320" t="n"/>
      <c r="L18" s="94" t="n"/>
      <c r="M18" s="94" t="n"/>
      <c r="N18" s="94" t="n"/>
      <c r="O18" s="97" t="n"/>
    </row>
    <row r="19" ht="20.25" customHeight="1">
      <c r="B19" s="93" t="n"/>
      <c r="C19" s="94" t="n"/>
      <c r="D19" s="94" t="n"/>
      <c r="E19" s="195" t="inlineStr">
        <is>
          <t>Result</t>
        </is>
      </c>
      <c r="F19" s="320" t="n"/>
      <c r="G19" s="196" t="n"/>
      <c r="H19" s="321" t="n"/>
      <c r="I19" s="321" t="n"/>
      <c r="J19" s="321" t="n"/>
      <c r="K19" s="320" t="n"/>
      <c r="L19" s="94" t="n"/>
      <c r="M19" s="94" t="n"/>
      <c r="N19" s="94" t="n"/>
      <c r="O19" s="97" t="n"/>
    </row>
    <row r="20">
      <c r="B20" s="91" t="n"/>
      <c r="O20" s="92" t="n"/>
    </row>
    <row r="21">
      <c r="B21" s="91" t="n"/>
      <c r="O21" s="92" t="n"/>
    </row>
    <row r="22" ht="29.25" customFormat="1" customHeight="1" s="98">
      <c r="B22" s="322" t="inlineStr">
        <is>
          <t>M&amp;C Electronics Vina</t>
        </is>
      </c>
      <c r="O22" s="323" t="n"/>
    </row>
    <row r="23" ht="21" customHeight="1">
      <c r="B23" s="324" t="n"/>
      <c r="O23" s="323" t="n"/>
    </row>
    <row r="24">
      <c r="B24" s="91" t="n"/>
      <c r="O24" s="92" t="n"/>
    </row>
    <row r="25">
      <c r="B25" s="91" t="n"/>
      <c r="O25" s="92" t="n"/>
    </row>
    <row r="26" ht="17.25" customHeight="1" thickBot="1">
      <c r="B26" s="99" t="n"/>
      <c r="C26" s="100" t="n"/>
      <c r="D26" s="100" t="n"/>
      <c r="E26" s="100" t="n"/>
      <c r="F26" s="100" t="n"/>
      <c r="G26" s="100" t="n"/>
      <c r="H26" s="100" t="n"/>
      <c r="I26" s="100" t="n"/>
      <c r="J26" s="100" t="n"/>
      <c r="K26" s="100" t="n"/>
      <c r="L26" s="100" t="n"/>
      <c r="M26" s="100" t="n"/>
      <c r="N26" s="100" t="n"/>
      <c r="O26" s="101" t="n"/>
    </row>
  </sheetData>
  <mergeCells count="16">
    <mergeCell ref="G17:K17"/>
    <mergeCell ref="E16:F16"/>
    <mergeCell ref="B23:O23"/>
    <mergeCell ref="E15:F15"/>
    <mergeCell ref="G15:K15"/>
    <mergeCell ref="E19:F19"/>
    <mergeCell ref="G16:K16"/>
    <mergeCell ref="G14:K14"/>
    <mergeCell ref="G19:K19"/>
    <mergeCell ref="E13:F13"/>
    <mergeCell ref="G13:K13"/>
    <mergeCell ref="E14:F14"/>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verticalDpi="12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1"/>
  <sheetViews>
    <sheetView showGridLines="0" view="pageBreakPreview" zoomScale="80" zoomScaleNormal="85" zoomScaleSheetLayoutView="80" workbookViewId="0">
      <selection activeCell="W11" sqref="W11"/>
    </sheetView>
  </sheetViews>
  <sheetFormatPr baseColWidth="8" defaultColWidth="9.140625" defaultRowHeight="12.75"/>
  <cols>
    <col width="4" customWidth="1" style="114" min="1" max="1"/>
    <col width="3.42578125" customWidth="1" style="114" min="2" max="2"/>
    <col width="9.42578125" customWidth="1" style="114" min="3" max="3"/>
    <col width="20.7109375" customWidth="1" style="114" min="4" max="4"/>
    <col width="7.5703125" customWidth="1" style="114" min="5" max="10"/>
    <col width="8.5703125" customWidth="1" style="114" min="11" max="13"/>
    <col width="10.5703125" customWidth="1" style="114" min="14" max="18"/>
    <col width="1.7109375" customWidth="1" style="114" min="19" max="19"/>
    <col width="9.140625" customWidth="1" style="114" min="20" max="16384"/>
  </cols>
  <sheetData>
    <row r="1" ht="50.1" customHeight="1">
      <c r="B1" s="102" t="inlineStr">
        <is>
          <t>Quality Process Audit Result Report</t>
        </is>
      </c>
      <c r="K1" s="104" t="n"/>
    </row>
    <row r="2" ht="6" customHeight="1"/>
    <row r="3" ht="30" customHeight="1">
      <c r="C3" s="104" t="inlineStr">
        <is>
          <t>□ Audit Result</t>
        </is>
      </c>
      <c r="D3" s="105" t="n"/>
      <c r="E3" s="105" t="n"/>
      <c r="F3" s="105" t="n"/>
      <c r="G3" s="105" t="n"/>
      <c r="H3" s="105" t="n"/>
      <c r="I3" s="105" t="n"/>
      <c r="J3" s="105" t="n"/>
      <c r="K3" s="105" t="n"/>
      <c r="L3" s="105" t="n"/>
      <c r="M3" s="105" t="n"/>
      <c r="N3" s="105" t="n"/>
      <c r="O3" s="105" t="n"/>
      <c r="P3" s="105" t="n"/>
      <c r="Q3" s="105" t="n"/>
      <c r="R3" s="105" t="n"/>
    </row>
    <row r="4" ht="20.1" customFormat="1" customHeight="1" s="106">
      <c r="C4" s="205" t="inlineStr">
        <is>
          <t>Audit Object</t>
        </is>
      </c>
      <c r="D4" s="325" t="n"/>
      <c r="E4" s="326" t="n"/>
      <c r="F4" s="327">
        <f>Cover.!G14</f>
        <v/>
      </c>
      <c r="G4" s="321" t="n"/>
      <c r="H4" s="321" t="n"/>
      <c r="I4" s="320" t="n"/>
      <c r="J4" s="208" t="inlineStr">
        <is>
          <t>Grade</t>
        </is>
      </c>
      <c r="K4" s="321" t="n"/>
      <c r="L4" s="320" t="n"/>
      <c r="M4" s="209">
        <f>Cover.!G18</f>
        <v/>
      </c>
      <c r="N4" s="320" t="n"/>
      <c r="O4" s="208" t="inlineStr">
        <is>
          <t>Date of Audit</t>
        </is>
      </c>
      <c r="P4" s="320" t="n"/>
      <c r="Q4" s="328" t="n"/>
      <c r="R4" s="320" t="n"/>
    </row>
    <row r="5" ht="20.1" customFormat="1" customHeight="1" s="106">
      <c r="C5" s="208" t="inlineStr">
        <is>
          <t>Major Product</t>
        </is>
      </c>
      <c r="D5" s="321" t="n"/>
      <c r="E5" s="320" t="n"/>
      <c r="F5" s="209">
        <f>Cover.!G15</f>
        <v/>
      </c>
      <c r="G5" s="321" t="n"/>
      <c r="H5" s="321" t="n"/>
      <c r="I5" s="320" t="n"/>
      <c r="J5" s="208" t="inlineStr">
        <is>
          <t>Auditor</t>
        </is>
      </c>
      <c r="K5" s="321" t="n"/>
      <c r="L5" s="320" t="n"/>
      <c r="M5" s="327">
        <f>Cover.!G17</f>
        <v/>
      </c>
      <c r="N5" s="320" t="n"/>
      <c r="O5" s="208" t="inlineStr">
        <is>
          <t>Auditee</t>
        </is>
      </c>
      <c r="P5" s="320" t="n"/>
      <c r="Q5" s="327" t="n"/>
      <c r="R5" s="320" t="n"/>
    </row>
    <row r="6" ht="11.25" customHeight="1"/>
    <row r="7" ht="9.75" customHeight="1"/>
    <row r="8" ht="18.95" customHeight="1">
      <c r="C8" s="104" t="inlineStr">
        <is>
          <t>□Scores and Grade by sector</t>
        </is>
      </c>
    </row>
    <row r="9" ht="22.5" customHeight="1">
      <c r="C9" s="215" t="inlineStr">
        <is>
          <t>No</t>
        </is>
      </c>
      <c r="D9" s="215" t="inlineStr">
        <is>
          <t>evaluation sector</t>
        </is>
      </c>
      <c r="E9" s="215" t="inlineStr">
        <is>
          <t>Evaluation requiment</t>
        </is>
      </c>
      <c r="F9" s="321" t="n"/>
      <c r="G9" s="320" t="n"/>
      <c r="H9" s="215" t="inlineStr">
        <is>
          <t>Evaluation result</t>
        </is>
      </c>
      <c r="I9" s="321" t="n"/>
      <c r="J9" s="321" t="n"/>
      <c r="K9" s="321" t="n"/>
      <c r="L9" s="320" t="n"/>
      <c r="M9" s="215" t="inlineStr">
        <is>
          <t>note</t>
        </is>
      </c>
      <c r="O9" s="107" t="n"/>
      <c r="P9" s="107" t="n"/>
      <c r="Q9" s="107" t="n"/>
      <c r="R9" s="107" t="n"/>
      <c r="S9" s="107" t="n"/>
      <c r="T9" s="107" t="n"/>
      <c r="U9" s="107" t="n"/>
    </row>
    <row r="10" ht="17.25" customHeight="1">
      <c r="C10" s="329" t="n"/>
      <c r="D10" s="329" t="n"/>
      <c r="E10" s="215" t="inlineStr">
        <is>
          <t>the whole</t>
        </is>
      </c>
      <c r="F10" s="321" t="n"/>
      <c r="G10" s="320" t="n"/>
      <c r="H10" s="222" t="inlineStr">
        <is>
          <t>Result</t>
        </is>
      </c>
      <c r="I10" s="321" t="n"/>
      <c r="J10" s="320" t="n"/>
      <c r="K10" s="222" t="inlineStr">
        <is>
          <t>Degree of Completion</t>
        </is>
      </c>
      <c r="L10" s="320" t="n"/>
      <c r="M10" s="329" t="n"/>
      <c r="O10" s="107" t="n"/>
      <c r="P10" s="107" t="n"/>
      <c r="Q10" s="107" t="n"/>
      <c r="R10" s="107" t="n"/>
      <c r="S10" s="107" t="n"/>
      <c r="T10" s="107" t="n"/>
      <c r="U10" s="107" t="n"/>
    </row>
    <row r="11" ht="24.75" customHeight="1">
      <c r="C11" s="108" t="n">
        <v>1</v>
      </c>
      <c r="D11" s="109" t="inlineStr">
        <is>
          <t>Warehouse for Materials</t>
        </is>
      </c>
      <c r="E11" s="330">
        <f>Checksheet!E59</f>
        <v/>
      </c>
      <c r="F11" s="321" t="n"/>
      <c r="G11" s="320" t="n"/>
      <c r="H11" s="331">
        <f>Checksheet!G10</f>
        <v/>
      </c>
      <c r="I11" s="321" t="n"/>
      <c r="J11" s="320" t="n"/>
      <c r="K11" s="332">
        <f>H11/E11*100</f>
        <v/>
      </c>
      <c r="L11" s="333" t="n"/>
      <c r="M11" s="110" t="n"/>
      <c r="O11" s="107" t="n"/>
      <c r="P11" s="107" t="n"/>
      <c r="Q11" s="107" t="n"/>
      <c r="R11" s="107" t="n"/>
      <c r="S11" s="107" t="n"/>
      <c r="T11" s="107" t="n"/>
      <c r="U11" s="107" t="n"/>
    </row>
    <row r="12" ht="24.75" customHeight="1">
      <c r="C12" s="246" t="n">
        <v>2</v>
      </c>
      <c r="D12" s="112" t="inlineStr">
        <is>
          <t>Material Inspection  and  Preparation</t>
        </is>
      </c>
      <c r="E12" s="330">
        <f>Checksheet!E60</f>
        <v/>
      </c>
      <c r="F12" s="321" t="n"/>
      <c r="G12" s="320" t="n"/>
      <c r="H12" s="331">
        <f>Checksheet!G16</f>
        <v/>
      </c>
      <c r="I12" s="321" t="n"/>
      <c r="J12" s="320" t="n"/>
      <c r="K12" s="332">
        <f>H12/E12*100</f>
        <v/>
      </c>
      <c r="L12" s="333" t="n"/>
      <c r="M12" s="113" t="n"/>
      <c r="O12" s="107" t="n"/>
      <c r="P12" s="107" t="n"/>
      <c r="Q12" s="107" t="n"/>
      <c r="R12" s="107" t="n"/>
      <c r="S12" s="107" t="n"/>
      <c r="T12" s="107" t="n"/>
      <c r="U12" s="107" t="n"/>
    </row>
    <row r="13" ht="24.75" customHeight="1">
      <c r="C13" s="246" t="n">
        <v>3</v>
      </c>
      <c r="D13" s="112" t="inlineStr">
        <is>
          <t>Control Tooling</t>
        </is>
      </c>
      <c r="E13" s="330">
        <f>Checksheet!E61</f>
        <v/>
      </c>
      <c r="F13" s="321" t="n"/>
      <c r="G13" s="320" t="n"/>
      <c r="H13" s="331">
        <f>Checksheet!G23</f>
        <v/>
      </c>
      <c r="I13" s="321" t="n"/>
      <c r="J13" s="320" t="n"/>
      <c r="K13" s="332">
        <f>H13/E13*100</f>
        <v/>
      </c>
      <c r="L13" s="333" t="n"/>
      <c r="M13" s="113" t="n"/>
      <c r="O13" s="107" t="n"/>
      <c r="P13" s="107" t="n"/>
      <c r="Q13" s="107" t="n"/>
      <c r="R13" s="107" t="n"/>
      <c r="S13" s="107" t="n"/>
      <c r="T13" s="107" t="n"/>
      <c r="U13" s="107" t="n"/>
    </row>
    <row r="14" ht="24.75" customHeight="1">
      <c r="C14" s="246" t="n">
        <v>4</v>
      </c>
      <c r="D14" s="112" t="inlineStr">
        <is>
          <t xml:space="preserve"> Production Process</t>
        </is>
      </c>
      <c r="E14" s="330">
        <f>Checksheet!E62</f>
        <v/>
      </c>
      <c r="F14" s="321" t="n"/>
      <c r="G14" s="320" t="n"/>
      <c r="H14" s="331">
        <f>Checksheet!G33</f>
        <v/>
      </c>
      <c r="I14" s="321" t="n"/>
      <c r="J14" s="320" t="n"/>
      <c r="K14" s="332">
        <f>H14/E14*100</f>
        <v/>
      </c>
      <c r="L14" s="333" t="n"/>
      <c r="M14" s="113" t="n"/>
      <c r="O14" s="107" t="n"/>
      <c r="P14" s="107" t="n"/>
      <c r="Q14" s="107" t="n"/>
      <c r="R14" s="107" t="n"/>
      <c r="S14" s="107" t="n"/>
      <c r="T14" s="107" t="n"/>
      <c r="U14" s="107" t="n"/>
      <c r="Y14" s="114" t="inlineStr">
        <is>
          <t xml:space="preserve">  </t>
        </is>
      </c>
    </row>
    <row r="15" ht="24.75" customHeight="1">
      <c r="C15" s="246" t="n">
        <v>5</v>
      </c>
      <c r="D15" s="112" t="inlineStr">
        <is>
          <t>Product Evaluation (OQC)</t>
        </is>
      </c>
      <c r="E15" s="330">
        <f>Checksheet!E63</f>
        <v/>
      </c>
      <c r="F15" s="321" t="n"/>
      <c r="G15" s="320" t="n"/>
      <c r="H15" s="331">
        <f>Checksheet!G42</f>
        <v/>
      </c>
      <c r="I15" s="321" t="n"/>
      <c r="J15" s="320" t="n"/>
      <c r="K15" s="332">
        <f>H15/E15*100</f>
        <v/>
      </c>
      <c r="L15" s="333" t="n"/>
      <c r="M15" s="113" t="n"/>
      <c r="O15" s="107" t="n"/>
      <c r="P15" s="107" t="n"/>
      <c r="Q15" s="107" t="n"/>
      <c r="R15" s="107" t="n"/>
      <c r="S15" s="107" t="n"/>
      <c r="T15" s="107" t="n"/>
      <c r="U15" s="107" t="n"/>
    </row>
    <row r="16" ht="24.75" customHeight="1">
      <c r="C16" s="246" t="n">
        <v>6</v>
      </c>
      <c r="D16" s="112" t="inlineStr">
        <is>
          <t>Packing and Shipment</t>
        </is>
      </c>
      <c r="E16" s="330">
        <f>Checksheet!E64</f>
        <v/>
      </c>
      <c r="F16" s="321" t="n"/>
      <c r="G16" s="320" t="n"/>
      <c r="H16" s="331">
        <f>Checksheet!G51</f>
        <v/>
      </c>
      <c r="I16" s="321" t="n"/>
      <c r="J16" s="320" t="n"/>
      <c r="K16" s="332">
        <f>H16/E16*100</f>
        <v/>
      </c>
      <c r="L16" s="333" t="n"/>
      <c r="M16" s="113" t="n"/>
      <c r="O16" s="107" t="n"/>
      <c r="P16" s="107" t="n"/>
      <c r="Q16" s="107" t="n"/>
      <c r="R16" s="107" t="n"/>
      <c r="S16" s="107" t="n"/>
      <c r="T16" s="107" t="n"/>
      <c r="U16" s="107" t="n"/>
    </row>
    <row r="17" ht="18.95" customHeight="1">
      <c r="C17" s="235" t="inlineStr">
        <is>
          <t>Evaluation Score/Grade</t>
        </is>
      </c>
      <c r="D17" s="320" t="n"/>
      <c r="E17" s="334">
        <f>SUM(H11:J16)</f>
        <v/>
      </c>
      <c r="F17" s="321" t="n"/>
      <c r="G17" s="320" t="n"/>
      <c r="H17" s="335">
        <f>IF(E17&gt;=90,"A",IF(E17&gt;=80,"B",IF(E17&gt;=70,"C",IF(E17&gt;=60,"D","E"))))</f>
        <v/>
      </c>
      <c r="I17" s="321" t="n"/>
      <c r="J17" s="320" t="n"/>
      <c r="K17" s="336">
        <f>IF(H17="A","Very Good",IF(H17="B"," Good",IF(H17="C","Need Improvement",IF(H17="D","Unsatisfactory","Unsatisfactory"))))</f>
        <v/>
      </c>
      <c r="L17" s="321" t="n"/>
      <c r="M17" s="320" t="n"/>
      <c r="N17" s="107" t="n"/>
      <c r="O17" s="107" t="n"/>
      <c r="P17" s="107" t="n"/>
      <c r="Q17" s="107" t="n"/>
      <c r="R17" s="107" t="n"/>
      <c r="S17" s="107" t="n"/>
      <c r="T17" s="107" t="n"/>
      <c r="U17" s="107" t="n"/>
    </row>
    <row r="18" ht="18.95" customHeight="1">
      <c r="C18" s="114" t="n"/>
      <c r="D18" s="115" t="n"/>
      <c r="E18" s="115" t="n"/>
      <c r="F18" s="115" t="n"/>
      <c r="G18" s="115" t="n"/>
      <c r="H18" s="115" t="n"/>
      <c r="I18" s="115" t="n"/>
      <c r="J18" s="114" t="inlineStr">
        <is>
          <t xml:space="preserve">    </t>
        </is>
      </c>
    </row>
    <row r="19" ht="18.95" customHeight="1">
      <c r="C19" s="104" t="inlineStr">
        <is>
          <t>□ Improvement object Status by type</t>
        </is>
      </c>
      <c r="E19" s="115" t="n"/>
      <c r="F19" s="115" t="n"/>
      <c r="G19" s="115" t="n"/>
      <c r="H19" s="115" t="n"/>
      <c r="I19" s="115" t="n"/>
      <c r="J19" s="114" t="n"/>
    </row>
    <row r="20" ht="21.75" customHeight="1">
      <c r="C20" s="245" t="inlineStr">
        <is>
          <t>Classification</t>
        </is>
      </c>
      <c r="D20" s="320" t="n"/>
      <c r="E20" s="337" t="inlineStr">
        <is>
          <t>Number of Cases</t>
        </is>
      </c>
      <c r="F20" s="321" t="n"/>
      <c r="G20" s="321" t="n"/>
      <c r="H20" s="320" t="n"/>
      <c r="I20" s="116" t="n"/>
      <c r="J20" s="114" t="n"/>
    </row>
    <row r="21" ht="21.75" customHeight="1">
      <c r="C21" s="112" t="inlineStr">
        <is>
          <t>Material Management</t>
        </is>
      </c>
      <c r="D21" s="320" t="n"/>
      <c r="E21" s="338" t="n"/>
      <c r="F21" s="321" t="n"/>
      <c r="G21" s="321" t="n"/>
      <c r="H21" s="320" t="n"/>
      <c r="I21" s="116" t="n"/>
      <c r="J21" s="114" t="n"/>
    </row>
    <row r="22" ht="21.75" customHeight="1">
      <c r="C22" s="112" t="inlineStr">
        <is>
          <t>Material Inspection  and  Preparation</t>
        </is>
      </c>
      <c r="D22" s="320" t="n"/>
      <c r="E22" s="338" t="n"/>
      <c r="F22" s="321" t="n"/>
      <c r="G22" s="321" t="n"/>
      <c r="H22" s="320" t="n"/>
      <c r="I22" s="116" t="n"/>
      <c r="J22" s="114" t="n"/>
    </row>
    <row r="23" ht="21.75" customHeight="1">
      <c r="C23" s="112" t="inlineStr">
        <is>
          <t>Production Process</t>
        </is>
      </c>
      <c r="D23" s="320" t="n"/>
      <c r="E23" s="338" t="n"/>
      <c r="F23" s="321" t="n"/>
      <c r="G23" s="321" t="n"/>
      <c r="H23" s="320" t="n"/>
      <c r="I23" s="116" t="n"/>
      <c r="J23" s="114" t="n"/>
    </row>
    <row r="24" ht="21.75" customHeight="1">
      <c r="C24" s="112" t="inlineStr">
        <is>
          <t>Product Evaluation</t>
        </is>
      </c>
      <c r="D24" s="320" t="n"/>
      <c r="E24" s="338" t="n"/>
      <c r="F24" s="321" t="n"/>
      <c r="G24" s="321" t="n"/>
      <c r="H24" s="320" t="n"/>
      <c r="I24" s="116" t="n"/>
      <c r="J24" s="114" t="n"/>
    </row>
    <row r="25" ht="21.75" customHeight="1">
      <c r="C25" s="112" t="inlineStr">
        <is>
          <t>Packing Management</t>
        </is>
      </c>
      <c r="D25" s="320" t="n"/>
      <c r="E25" s="338" t="n"/>
      <c r="F25" s="321" t="n"/>
      <c r="G25" s="321" t="n"/>
      <c r="H25" s="320" t="n"/>
      <c r="I25" s="116" t="n"/>
      <c r="J25" s="114" t="n"/>
    </row>
    <row r="26" ht="21.75" customHeight="1">
      <c r="C26" s="240" t="inlineStr">
        <is>
          <t>Total</t>
        </is>
      </c>
      <c r="D26" s="320" t="n"/>
      <c r="E26" s="339" t="n"/>
      <c r="F26" s="321" t="n"/>
      <c r="G26" s="321" t="n"/>
      <c r="H26" s="320" t="n"/>
      <c r="I26" s="116" t="n"/>
      <c r="J26" s="114" t="n"/>
    </row>
    <row r="27" ht="22.5" customHeight="1">
      <c r="C27" s="117" t="n"/>
      <c r="D27" s="117" t="n"/>
      <c r="E27" s="115" t="n"/>
      <c r="F27" s="115" t="n"/>
      <c r="G27" s="115" t="n"/>
      <c r="H27" s="115" t="n"/>
      <c r="I27" s="115" t="n"/>
      <c r="J27" s="107" t="n"/>
      <c r="K27" s="107" t="n"/>
      <c r="L27" s="107" t="n"/>
      <c r="M27" s="107" t="n"/>
    </row>
    <row r="28" ht="18.75" customHeight="1">
      <c r="C28" s="244" t="n"/>
    </row>
    <row r="29" ht="21" customHeight="1">
      <c r="D29" s="118" t="n"/>
      <c r="E29" s="107" t="n"/>
      <c r="F29" s="107" t="n"/>
      <c r="G29" s="107" t="n"/>
      <c r="H29" s="107" t="n"/>
      <c r="I29" s="107" t="n"/>
      <c r="N29" s="107" t="n"/>
      <c r="O29" s="107" t="n"/>
      <c r="P29" s="107" t="n"/>
      <c r="Q29" s="107" t="n"/>
      <c r="R29" s="107" t="n"/>
    </row>
    <row r="30" ht="30" customHeight="1">
      <c r="S30" s="119" t="n"/>
    </row>
    <row r="31" ht="15" customHeight="1">
      <c r="C31" s="120" t="n"/>
    </row>
    <row r="32" ht="18.75" customHeight="1"/>
    <row r="34" ht="18" customHeight="1"/>
    <row r="35" ht="18" customHeight="1"/>
    <row r="36" ht="18" customHeight="1"/>
    <row r="37" ht="18" customHeight="1"/>
    <row r="38" ht="18" customHeight="1"/>
    <row r="39" ht="18" customHeight="1"/>
    <row r="43" ht="18.75" customHeight="1"/>
    <row r="44" ht="18.75" customHeight="1"/>
    <row r="45" ht="18.75" customHeight="1"/>
  </sheetData>
  <mergeCells count="57">
    <mergeCell ref="K16:L16"/>
    <mergeCell ref="E10:G10"/>
    <mergeCell ref="E26:H26"/>
    <mergeCell ref="C24:D24"/>
    <mergeCell ref="E13:G13"/>
    <mergeCell ref="K15:L15"/>
    <mergeCell ref="E9:G9"/>
    <mergeCell ref="E25:H25"/>
    <mergeCell ref="J4:L4"/>
    <mergeCell ref="M5:N5"/>
    <mergeCell ref="H17:J17"/>
    <mergeCell ref="C26:D26"/>
    <mergeCell ref="E15:G15"/>
    <mergeCell ref="H11:J11"/>
    <mergeCell ref="E22:H22"/>
    <mergeCell ref="H9:L9"/>
    <mergeCell ref="C20:D20"/>
    <mergeCell ref="H16:J16"/>
    <mergeCell ref="C9:C10"/>
    <mergeCell ref="K11:L11"/>
    <mergeCell ref="C28:R28"/>
    <mergeCell ref="E11:G11"/>
    <mergeCell ref="O5:P5"/>
    <mergeCell ref="C25:D25"/>
    <mergeCell ref="H13:J13"/>
    <mergeCell ref="Q5:R5"/>
    <mergeCell ref="F4:I4"/>
    <mergeCell ref="E21:H21"/>
    <mergeCell ref="C22:D22"/>
    <mergeCell ref="H12:J12"/>
    <mergeCell ref="K17:M17"/>
    <mergeCell ref="O4:P4"/>
    <mergeCell ref="E24:H24"/>
    <mergeCell ref="Q4:R4"/>
    <mergeCell ref="E16:G16"/>
    <mergeCell ref="H15:J15"/>
    <mergeCell ref="E23:H23"/>
    <mergeCell ref="D9:D10"/>
    <mergeCell ref="C21:D21"/>
    <mergeCell ref="K12:L12"/>
    <mergeCell ref="H14:J14"/>
    <mergeCell ref="E20:H20"/>
    <mergeCell ref="E12:G12"/>
    <mergeCell ref="F5:I5"/>
    <mergeCell ref="C23:D23"/>
    <mergeCell ref="C17:D17"/>
    <mergeCell ref="K14:L14"/>
    <mergeCell ref="J5:L5"/>
    <mergeCell ref="H10:J10"/>
    <mergeCell ref="E14:G14"/>
    <mergeCell ref="C5:E5"/>
    <mergeCell ref="M9:M10"/>
    <mergeCell ref="K10:L10"/>
    <mergeCell ref="C4:E4"/>
    <mergeCell ref="E17:G17"/>
    <mergeCell ref="K13:L13"/>
    <mergeCell ref="M4:N4"/>
  </mergeCells>
  <pageMargins left="0.1574803149606299" right="0.1574803149606299" top="0.1574803149606299" bottom="0.1574803149606299" header="0.1574803149606299" footer="0.1574803149606299"/>
  <pageSetup orientation="landscape" paperSize="9" scale="9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38"/>
  <sheetViews>
    <sheetView showGridLines="0" topLeftCell="E4" zoomScaleNormal="100" workbookViewId="0">
      <selection activeCell="G14" sqref="G14:K14"/>
    </sheetView>
  </sheetViews>
  <sheetFormatPr baseColWidth="8" defaultColWidth="11.42578125" defaultRowHeight="12.75"/>
  <cols>
    <col width="3.42578125" customWidth="1" style="122" min="1" max="1"/>
    <col width="19.5703125" bestFit="1" customWidth="1" style="122" min="2" max="2"/>
    <col width="6.28515625" bestFit="1" customWidth="1" style="122" min="3" max="3"/>
    <col width="47.5703125" customWidth="1" style="123" min="4" max="4"/>
    <col width="35" customWidth="1" style="123" min="5" max="5"/>
    <col width="69.140625" customWidth="1" style="123" min="6" max="6"/>
    <col width="55" customWidth="1" style="123" min="7" max="7"/>
    <col width="11.28515625" customWidth="1" style="122" min="8" max="8"/>
    <col width="13.85546875" customWidth="1" style="122" min="9" max="9"/>
    <col width="20.140625" bestFit="1" customWidth="1" style="123" min="10" max="10"/>
    <col width="14.7109375" customWidth="1" style="122" min="11" max="11"/>
    <col width="14.140625" bestFit="1" customWidth="1" style="122" min="12" max="12"/>
    <col width="25.5703125" customWidth="1" style="122" min="13" max="13"/>
    <col width="13.140625" bestFit="1" customWidth="1" style="122" min="14" max="14"/>
    <col width="3.42578125" customWidth="1" style="122" min="15" max="15"/>
    <col width="10" customWidth="1" style="122" min="16" max="25"/>
    <col width="10.42578125" customWidth="1" style="122" min="26" max="26"/>
    <col width="11.42578125" customWidth="1" style="122" min="27" max="16384"/>
  </cols>
  <sheetData>
    <row r="1"/>
    <row r="2" ht="23.25" customHeight="1">
      <c r="B2" s="121" t="inlineStr">
        <is>
          <t>Quality Process Audit Non-Conforming Item</t>
        </is>
      </c>
      <c r="K2" s="124" t="n"/>
      <c r="L2" s="124" t="n"/>
      <c r="M2" s="124" t="n"/>
      <c r="N2" s="125" t="n"/>
    </row>
    <row r="3">
      <c r="K3" s="126" t="n"/>
      <c r="L3" s="126" t="n"/>
      <c r="M3" s="126" t="n"/>
      <c r="N3" s="127" t="n"/>
    </row>
    <row r="4" ht="13.5" customHeight="1" thickBot="1">
      <c r="K4" s="128" t="n"/>
      <c r="L4" s="128" t="n"/>
      <c r="M4" s="128" t="n"/>
      <c r="N4" s="129" t="n"/>
    </row>
    <row r="5" hidden="1" ht="13.5" customHeight="1" thickBot="1">
      <c r="K5" s="128" t="n"/>
      <c r="L5" s="128" t="n"/>
      <c r="M5" s="128" t="inlineStr">
        <is>
          <t>해결</t>
        </is>
      </c>
      <c r="N5" s="129" t="n"/>
    </row>
    <row r="6" hidden="1" ht="13.5" customHeight="1" thickBot="1">
      <c r="K6" s="128" t="n"/>
      <c r="L6" s="128" t="n"/>
      <c r="M6" s="128" t="inlineStr">
        <is>
          <t>미결</t>
        </is>
      </c>
      <c r="N6" s="129" t="n"/>
    </row>
    <row r="7" hidden="1" ht="13.5" customHeight="1" thickBot="1"/>
    <row r="8" ht="22.5" customHeight="1">
      <c r="B8" s="340" t="inlineStr">
        <is>
          <t>Classification</t>
        </is>
      </c>
      <c r="C8" s="341" t="inlineStr">
        <is>
          <t>NO</t>
        </is>
      </c>
      <c r="D8" s="130" t="inlineStr">
        <is>
          <t>Problem</t>
        </is>
      </c>
      <c r="E8" s="131" t="n"/>
      <c r="F8" s="256" t="inlineStr">
        <is>
          <t>Countermeasure for Improvement</t>
        </is>
      </c>
      <c r="G8" s="342" t="n"/>
      <c r="H8" s="132" t="n"/>
      <c r="I8" s="132" t="n"/>
      <c r="J8" s="343" t="inlineStr">
        <is>
          <t>Confirmation Result</t>
        </is>
      </c>
      <c r="K8" s="342" t="n"/>
      <c r="L8" s="344" t="n"/>
      <c r="M8" s="345" t="inlineStr">
        <is>
          <t>Completion Status</t>
        </is>
      </c>
      <c r="N8" s="346" t="inlineStr">
        <is>
          <t>Reproducibility status</t>
        </is>
      </c>
    </row>
    <row r="9" ht="13.5" customHeight="1" thickBot="1">
      <c r="B9" s="347" t="n"/>
      <c r="C9" s="348" t="n"/>
      <c r="D9" s="133" t="inlineStr">
        <is>
          <t>Pointed-out Item</t>
        </is>
      </c>
      <c r="E9" s="134" t="inlineStr">
        <is>
          <t>Phenomenon</t>
        </is>
      </c>
      <c r="F9" s="135" t="inlineStr">
        <is>
          <t>Improvement Plan</t>
        </is>
      </c>
      <c r="G9" s="136" t="inlineStr">
        <is>
          <t>Picture</t>
        </is>
      </c>
      <c r="H9" s="133" t="inlineStr">
        <is>
          <t>Person in charge</t>
        </is>
      </c>
      <c r="I9" s="135" t="inlineStr">
        <is>
          <t>Schedule</t>
        </is>
      </c>
      <c r="J9" s="137" t="inlineStr">
        <is>
          <t>Confirmed content</t>
        </is>
      </c>
      <c r="K9" s="133" t="inlineStr">
        <is>
          <t>Schedule</t>
        </is>
      </c>
      <c r="L9" s="135" t="inlineStr">
        <is>
          <t>person in charge</t>
        </is>
      </c>
      <c r="M9" s="348" t="n"/>
      <c r="N9" s="349" t="n"/>
    </row>
    <row r="10" hidden="1" ht="135" customHeight="1" thickTop="1">
      <c r="B10" s="138" t="n"/>
      <c r="C10" s="139" t="n"/>
      <c r="D10" s="140" t="n"/>
      <c r="E10" s="141" t="n"/>
      <c r="F10" s="140" t="n"/>
      <c r="G10" s="141" t="n"/>
      <c r="H10" s="142" t="n"/>
      <c r="I10" s="143" t="n"/>
      <c r="J10" s="144" t="n"/>
      <c r="K10" s="145" t="n"/>
      <c r="L10" s="144" t="n"/>
      <c r="M10" s="145" t="n"/>
      <c r="N10" s="146" t="n"/>
    </row>
    <row r="11" hidden="1" ht="117" customHeight="1">
      <c r="B11" s="147" t="n"/>
      <c r="C11" s="148" t="n"/>
      <c r="D11" s="149" t="n"/>
      <c r="E11" s="150" t="n"/>
      <c r="F11" s="149" t="n"/>
      <c r="G11" s="150" t="n"/>
      <c r="H11" s="151" t="n"/>
      <c r="I11" s="152" t="n"/>
      <c r="J11" s="153" t="n"/>
      <c r="K11" s="154" t="n"/>
      <c r="L11" s="153" t="n"/>
      <c r="M11" s="154" t="n"/>
      <c r="N11" s="155" t="n"/>
    </row>
    <row r="12" ht="114" customHeight="1" thickTop="1">
      <c r="B12" s="156" t="n"/>
      <c r="C12" s="156" t="n"/>
      <c r="D12" s="157" t="n"/>
      <c r="E12" s="158" t="n"/>
      <c r="F12" s="158" t="n"/>
      <c r="G12" s="158" t="n"/>
      <c r="H12" s="159" t="n"/>
      <c r="I12" s="160" t="n"/>
      <c r="J12" s="161" t="n"/>
      <c r="K12" s="160" t="n"/>
      <c r="L12" s="162" t="n"/>
      <c r="M12" s="160" t="n"/>
      <c r="N12" s="163" t="n"/>
    </row>
    <row r="13" ht="107.25" customHeight="1">
      <c r="B13" s="156" t="n"/>
      <c r="C13" s="156" t="n"/>
      <c r="D13" s="157" t="n"/>
      <c r="E13" s="158" t="n"/>
      <c r="F13" s="158" t="n"/>
      <c r="G13" s="158" t="n"/>
      <c r="H13" s="159" t="n"/>
      <c r="I13" s="160" t="n"/>
      <c r="J13" s="161" t="n"/>
      <c r="K13" s="160" t="n"/>
      <c r="L13" s="162" t="n"/>
      <c r="M13" s="160" t="n"/>
      <c r="N13" s="163" t="n"/>
    </row>
    <row r="14" ht="107.25" customHeight="1">
      <c r="B14" s="156" t="n"/>
      <c r="C14" s="156" t="n"/>
      <c r="D14" s="157" t="n"/>
      <c r="E14" s="158" t="n"/>
      <c r="F14" s="158" t="n"/>
      <c r="G14" s="158" t="n"/>
      <c r="H14" s="159" t="n"/>
      <c r="I14" s="160" t="n"/>
      <c r="J14" s="161" t="n"/>
      <c r="K14" s="160" t="n"/>
      <c r="L14" s="162" t="n"/>
      <c r="M14" s="160" t="n"/>
      <c r="N14" s="163" t="n"/>
    </row>
    <row r="15" ht="112.5" customHeight="1">
      <c r="B15" s="156" t="n"/>
      <c r="C15" s="156" t="n"/>
      <c r="D15" s="157" t="n"/>
      <c r="E15" s="158" t="n"/>
      <c r="F15" s="158" t="n"/>
      <c r="G15" s="158" t="n"/>
      <c r="H15" s="159" t="n"/>
      <c r="I15" s="160" t="n"/>
      <c r="J15" s="161" t="n"/>
      <c r="K15" s="160" t="n"/>
      <c r="L15" s="162" t="n"/>
      <c r="M15" s="160" t="n"/>
      <c r="N15" s="163" t="n"/>
    </row>
    <row r="16" ht="114.75" customHeight="1">
      <c r="B16" s="156" t="n"/>
      <c r="C16" s="156" t="n"/>
      <c r="D16" s="157" t="n"/>
      <c r="E16" s="158" t="n"/>
      <c r="F16" s="158" t="n"/>
      <c r="G16" s="158" t="n"/>
      <c r="H16" s="159" t="n"/>
      <c r="I16" s="160" t="n"/>
      <c r="J16" s="161" t="n"/>
      <c r="K16" s="160" t="n"/>
      <c r="L16" s="162" t="n"/>
      <c r="M16" s="160" t="n"/>
      <c r="N16" s="163" t="n"/>
    </row>
    <row r="17">
      <c r="B17" s="164" t="n"/>
      <c r="C17" s="139" t="n"/>
      <c r="D17" s="140" t="n"/>
      <c r="E17" s="141" t="n"/>
      <c r="F17" s="165" t="n"/>
      <c r="G17" s="165" t="n"/>
      <c r="H17" s="166" t="n"/>
      <c r="I17" s="143" t="n"/>
      <c r="J17" s="144" t="n"/>
      <c r="K17" s="145" t="n"/>
      <c r="L17" s="167" t="n"/>
      <c r="M17" s="145" t="n"/>
      <c r="N17" s="146" t="n"/>
    </row>
    <row r="18">
      <c r="B18" s="168" t="n"/>
      <c r="C18" s="169" t="n"/>
      <c r="D18" s="170" t="n"/>
      <c r="E18" s="171" t="n"/>
      <c r="F18" s="172" t="n"/>
      <c r="G18" s="172" t="n"/>
      <c r="H18" s="173" t="n"/>
      <c r="I18" s="174" t="n"/>
      <c r="J18" s="175" t="n"/>
      <c r="K18" s="176" t="n"/>
      <c r="L18" s="177" t="n"/>
      <c r="M18" s="176" t="n"/>
      <c r="N18" s="178" t="n"/>
    </row>
    <row r="19">
      <c r="B19" s="168" t="n"/>
      <c r="C19" s="169" t="n"/>
      <c r="D19" s="170" t="n"/>
      <c r="E19" s="171" t="n"/>
      <c r="F19" s="172" t="n"/>
      <c r="G19" s="172" t="n"/>
      <c r="H19" s="173" t="n"/>
      <c r="I19" s="174" t="n"/>
      <c r="J19" s="175" t="n"/>
      <c r="K19" s="176" t="n"/>
      <c r="L19" s="177" t="n"/>
      <c r="M19" s="176" t="n"/>
      <c r="N19" s="178" t="n"/>
    </row>
    <row r="20">
      <c r="B20" s="168" t="n"/>
      <c r="C20" s="169" t="n"/>
      <c r="D20" s="170" t="n"/>
      <c r="E20" s="171" t="n"/>
      <c r="F20" s="172" t="n"/>
      <c r="G20" s="172" t="n"/>
      <c r="H20" s="173" t="n"/>
      <c r="I20" s="174" t="n"/>
      <c r="J20" s="175" t="n"/>
      <c r="K20" s="176" t="n"/>
      <c r="L20" s="177" t="n"/>
      <c r="M20" s="176" t="n"/>
      <c r="N20" s="178" t="n"/>
    </row>
    <row r="21">
      <c r="B21" s="168" t="n"/>
      <c r="C21" s="169" t="n"/>
      <c r="D21" s="170" t="n"/>
      <c r="E21" s="171" t="n"/>
      <c r="F21" s="172" t="n"/>
      <c r="G21" s="172" t="n"/>
      <c r="H21" s="173" t="n"/>
      <c r="I21" s="174" t="n"/>
      <c r="J21" s="175" t="n"/>
      <c r="K21" s="176" t="n"/>
      <c r="L21" s="177" t="n"/>
      <c r="M21" s="176" t="n"/>
      <c r="N21" s="178" t="n"/>
    </row>
    <row r="22">
      <c r="B22" s="168" t="n"/>
      <c r="C22" s="169" t="n"/>
      <c r="D22" s="170" t="n"/>
      <c r="E22" s="171" t="n"/>
      <c r="F22" s="172" t="n"/>
      <c r="G22" s="172" t="n"/>
      <c r="H22" s="173" t="n"/>
      <c r="I22" s="174" t="n"/>
      <c r="J22" s="175" t="n"/>
      <c r="K22" s="176" t="n"/>
      <c r="L22" s="177" t="n"/>
      <c r="M22" s="176" t="n"/>
      <c r="N22" s="178" t="n"/>
    </row>
    <row r="23">
      <c r="B23" s="168" t="n"/>
      <c r="C23" s="169" t="n"/>
      <c r="D23" s="170" t="n"/>
      <c r="E23" s="171" t="n"/>
      <c r="F23" s="172" t="n"/>
      <c r="G23" s="172" t="n"/>
      <c r="H23" s="173" t="n"/>
      <c r="I23" s="174" t="n"/>
      <c r="J23" s="175" t="n"/>
      <c r="K23" s="176" t="n"/>
      <c r="L23" s="177" t="n"/>
      <c r="M23" s="176" t="n"/>
      <c r="N23" s="178" t="n"/>
    </row>
    <row r="24">
      <c r="B24" s="168" t="n"/>
      <c r="C24" s="169" t="n"/>
      <c r="D24" s="170" t="n"/>
      <c r="E24" s="171" t="n"/>
      <c r="F24" s="172" t="n"/>
      <c r="G24" s="172" t="n"/>
      <c r="H24" s="173" t="n"/>
      <c r="I24" s="174" t="n"/>
      <c r="J24" s="175" t="n"/>
      <c r="K24" s="176" t="n"/>
      <c r="L24" s="177" t="n"/>
      <c r="M24" s="176" t="n"/>
      <c r="N24" s="178" t="n"/>
    </row>
    <row r="25">
      <c r="B25" s="168" t="n"/>
      <c r="C25" s="169" t="n"/>
      <c r="D25" s="170" t="n"/>
      <c r="E25" s="171" t="n"/>
      <c r="F25" s="172" t="n"/>
      <c r="G25" s="172" t="n"/>
      <c r="H25" s="173" t="n"/>
      <c r="I25" s="174" t="n"/>
      <c r="J25" s="175" t="n"/>
      <c r="K25" s="176" t="n"/>
      <c r="L25" s="177" t="n"/>
      <c r="M25" s="176" t="n"/>
      <c r="N25" s="178" t="n"/>
    </row>
    <row r="26">
      <c r="B26" s="168" t="n"/>
      <c r="C26" s="169" t="n"/>
      <c r="D26" s="170" t="n"/>
      <c r="E26" s="171" t="n"/>
      <c r="F26" s="172" t="n"/>
      <c r="G26" s="172" t="n"/>
      <c r="H26" s="173" t="n"/>
      <c r="I26" s="174" t="n"/>
      <c r="J26" s="175" t="n"/>
      <c r="K26" s="176" t="n"/>
      <c r="L26" s="177" t="n"/>
      <c r="M26" s="176" t="n"/>
      <c r="N26" s="178" t="n"/>
    </row>
    <row r="27">
      <c r="B27" s="168" t="n"/>
      <c r="C27" s="169" t="n"/>
      <c r="D27" s="170" t="n"/>
      <c r="E27" s="171" t="n"/>
      <c r="F27" s="172" t="n"/>
      <c r="G27" s="172" t="n"/>
      <c r="H27" s="173" t="n"/>
      <c r="I27" s="174" t="n"/>
      <c r="J27" s="175" t="n"/>
      <c r="K27" s="176" t="n"/>
      <c r="L27" s="177" t="n"/>
      <c r="M27" s="176" t="n"/>
      <c r="N27" s="178" t="n"/>
    </row>
    <row r="28">
      <c r="B28" s="168" t="n"/>
      <c r="C28" s="169" t="n"/>
      <c r="D28" s="170" t="n"/>
      <c r="E28" s="171" t="n"/>
      <c r="F28" s="179" t="n"/>
      <c r="G28" s="179" t="n"/>
      <c r="H28" s="180" t="n"/>
      <c r="I28" s="181" t="n"/>
      <c r="J28" s="182" t="n"/>
      <c r="K28" s="176" t="n"/>
      <c r="L28" s="177" t="n"/>
      <c r="M28" s="176" t="n"/>
      <c r="N28" s="178" t="n"/>
    </row>
    <row r="29">
      <c r="B29" s="183" t="n"/>
      <c r="C29" s="169" t="n"/>
      <c r="D29" s="170" t="n"/>
      <c r="E29" s="171" t="n"/>
      <c r="F29" s="172" t="n"/>
      <c r="G29" s="172" t="n"/>
      <c r="H29" s="180" t="n"/>
      <c r="I29" s="181" t="n"/>
      <c r="J29" s="175" t="n"/>
      <c r="K29" s="176" t="n"/>
      <c r="L29" s="177" t="n"/>
      <c r="M29" s="176" t="n"/>
      <c r="N29" s="178" t="n"/>
    </row>
    <row r="30">
      <c r="B30" s="183" t="n"/>
      <c r="C30" s="169" t="n"/>
      <c r="D30" s="170" t="n"/>
      <c r="E30" s="171" t="n"/>
      <c r="F30" s="172" t="n"/>
      <c r="G30" s="172" t="n"/>
      <c r="H30" s="173" t="n"/>
      <c r="I30" s="174" t="n"/>
      <c r="J30" s="175" t="n"/>
      <c r="K30" s="176" t="n"/>
      <c r="L30" s="177" t="n"/>
      <c r="M30" s="176" t="n"/>
      <c r="N30" s="178" t="n"/>
    </row>
    <row r="31">
      <c r="B31" s="183" t="n"/>
      <c r="C31" s="169" t="n"/>
      <c r="D31" s="170" t="n"/>
      <c r="E31" s="171" t="n"/>
      <c r="F31" s="172" t="n"/>
      <c r="G31" s="172" t="n"/>
      <c r="H31" s="173" t="n"/>
      <c r="I31" s="174" t="n"/>
      <c r="J31" s="175" t="n"/>
      <c r="K31" s="176" t="n"/>
      <c r="L31" s="177" t="n"/>
      <c r="M31" s="176" t="n"/>
      <c r="N31" s="178" t="n"/>
    </row>
    <row r="32">
      <c r="B32" s="183" t="n"/>
      <c r="C32" s="169" t="n"/>
      <c r="D32" s="170" t="n"/>
      <c r="E32" s="171" t="n"/>
      <c r="F32" s="172" t="n"/>
      <c r="G32" s="172" t="n"/>
      <c r="H32" s="173" t="n"/>
      <c r="I32" s="174" t="n"/>
      <c r="J32" s="175" t="n"/>
      <c r="K32" s="176" t="n"/>
      <c r="L32" s="177" t="n"/>
      <c r="M32" s="176" t="n"/>
      <c r="N32" s="178" t="n"/>
    </row>
    <row r="33">
      <c r="B33" s="183" t="n"/>
      <c r="C33" s="169" t="n"/>
      <c r="D33" s="170" t="n"/>
      <c r="E33" s="171" t="n"/>
      <c r="F33" s="172" t="n"/>
      <c r="G33" s="172" t="n"/>
      <c r="H33" s="173" t="n"/>
      <c r="I33" s="174" t="n"/>
      <c r="J33" s="175" t="n"/>
      <c r="K33" s="176" t="n"/>
      <c r="L33" s="177" t="n"/>
      <c r="M33" s="176" t="n"/>
      <c r="N33" s="178" t="n"/>
    </row>
    <row r="34">
      <c r="B34" s="183" t="n"/>
      <c r="C34" s="169" t="n"/>
      <c r="D34" s="170" t="n"/>
      <c r="E34" s="171" t="n"/>
      <c r="F34" s="172" t="n"/>
      <c r="G34" s="172" t="n"/>
      <c r="H34" s="173" t="n"/>
      <c r="I34" s="174" t="n"/>
      <c r="J34" s="175" t="n"/>
      <c r="K34" s="176" t="n"/>
      <c r="L34" s="177" t="n"/>
      <c r="M34" s="176" t="n"/>
      <c r="N34" s="178" t="n"/>
    </row>
    <row r="35">
      <c r="B35" s="183" t="n"/>
      <c r="C35" s="169" t="n"/>
      <c r="D35" s="170" t="n"/>
      <c r="E35" s="171" t="n"/>
      <c r="F35" s="172" t="n"/>
      <c r="G35" s="172" t="n"/>
      <c r="H35" s="173" t="n"/>
      <c r="I35" s="174" t="n"/>
      <c r="J35" s="175" t="n"/>
      <c r="K35" s="176" t="n"/>
      <c r="L35" s="177" t="n"/>
      <c r="M35" s="176" t="n"/>
      <c r="N35" s="178" t="n"/>
    </row>
    <row r="36">
      <c r="B36" s="183" t="n"/>
      <c r="C36" s="169" t="n"/>
      <c r="D36" s="170" t="n"/>
      <c r="E36" s="171" t="n"/>
      <c r="F36" s="172" t="n"/>
      <c r="G36" s="172" t="n"/>
      <c r="H36" s="173" t="n"/>
      <c r="I36" s="174" t="n"/>
      <c r="J36" s="175" t="n"/>
      <c r="K36" s="176" t="n"/>
      <c r="L36" s="177" t="n"/>
      <c r="M36" s="176" t="n"/>
      <c r="N36" s="178" t="n"/>
    </row>
    <row r="37">
      <c r="B37" s="183" t="n"/>
      <c r="C37" s="169" t="n"/>
      <c r="D37" s="170" t="n"/>
      <c r="E37" s="171" t="n"/>
      <c r="F37" s="172" t="n"/>
      <c r="G37" s="172" t="n"/>
      <c r="H37" s="180" t="n"/>
      <c r="I37" s="181" t="n"/>
      <c r="J37" s="175" t="n"/>
      <c r="K37" s="176" t="n"/>
      <c r="L37" s="177" t="n"/>
      <c r="M37" s="176" t="n"/>
      <c r="N37" s="178" t="n"/>
    </row>
    <row r="38" ht="13.5" customHeight="1" thickBot="1">
      <c r="B38" s="184" t="n"/>
      <c r="C38" s="185" t="n"/>
      <c r="D38" s="186" t="n"/>
      <c r="E38" s="187" t="n"/>
      <c r="F38" s="188" t="n"/>
      <c r="G38" s="188" t="n"/>
      <c r="H38" s="189" t="n"/>
      <c r="I38" s="190" t="n"/>
      <c r="J38" s="191" t="n"/>
      <c r="K38" s="192" t="n"/>
      <c r="L38" s="193" t="n"/>
      <c r="M38" s="192" t="n"/>
      <c r="N38" s="194"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2:M38"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58"/>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79"/>
  <sheetViews>
    <sheetView tabSelected="1" view="pageBreakPreview" zoomScale="40" zoomScaleNormal="70" zoomScaleSheetLayoutView="40" workbookViewId="0">
      <selection activeCell="P13" sqref="P13"/>
    </sheetView>
  </sheetViews>
  <sheetFormatPr baseColWidth="8" defaultColWidth="9.28515625" defaultRowHeight="15.75"/>
  <cols>
    <col width="15" customWidth="1" style="16" min="1" max="1"/>
    <col width="28.5703125" customWidth="1" style="17" min="2" max="2"/>
    <col width="81.140625" bestFit="1" customWidth="1" style="75" min="3" max="3"/>
    <col width="65.5703125" customWidth="1" style="15" min="4" max="4"/>
    <col width="73" customWidth="1" style="25" min="5" max="5"/>
    <col width="16.42578125" customWidth="1" style="13" min="6" max="7"/>
    <col width="33.140625" customWidth="1" style="25" min="8" max="8"/>
    <col width="9.28515625" customWidth="1" style="25" min="9" max="16384"/>
  </cols>
  <sheetData>
    <row r="1" ht="45.75" customHeight="1">
      <c r="A1" s="261" t="n"/>
      <c r="B1" s="350" t="n"/>
      <c r="C1" s="262" t="inlineStr">
        <is>
          <t>VENDOR QUALIFICATION CHECKSHEET</t>
        </is>
      </c>
      <c r="D1" s="351" t="n"/>
      <c r="E1" s="350" t="n"/>
      <c r="F1" s="30" t="inlineStr">
        <is>
          <t>양식 코드/양식 번호</t>
        </is>
      </c>
      <c r="G1" s="320" t="n"/>
      <c r="H1" s="30" t="inlineStr">
        <is>
          <t>PUR.04.00.05</t>
        </is>
      </c>
    </row>
    <row r="2" ht="45.75" customHeight="1">
      <c r="A2" s="352" t="n"/>
      <c r="B2" s="353" t="n"/>
      <c r="C2" s="354" t="n"/>
      <c r="D2" s="355" t="n"/>
      <c r="E2" s="333" t="n"/>
      <c r="F2" s="30" t="inlineStr">
        <is>
          <t>Effective Date/ 시행일</t>
        </is>
      </c>
      <c r="G2" s="320" t="n"/>
      <c r="H2" s="71" t="n">
        <v>43503</v>
      </c>
    </row>
    <row r="3" ht="45.75" customHeight="1">
      <c r="A3" s="354" t="n"/>
      <c r="B3" s="333" t="n"/>
      <c r="C3" s="356" t="inlineStr">
        <is>
          <t>첫 평가/처음으로 평가</t>
        </is>
      </c>
      <c r="D3" s="320" t="n"/>
      <c r="E3" s="24" t="inlineStr">
        <is>
          <t>재평가/다시 평가</t>
        </is>
      </c>
      <c r="F3" s="30" t="inlineStr">
        <is>
          <t>Page/ 합계 trang</t>
        </is>
      </c>
      <c r="G3" s="320" t="n"/>
      <c r="H3" s="31" t="inlineStr">
        <is>
          <t>8</t>
        </is>
      </c>
    </row>
    <row r="4" ht="33.75" customHeight="1">
      <c r="A4" s="270" t="inlineStr">
        <is>
          <t>공급업체 코드/ 공급업체 코드(ERP)</t>
        </is>
      </c>
      <c r="B4" s="320" t="n"/>
      <c r="C4" s="272" t="inlineStr">
        <is>
          <t>공급업체 이름/공급업체 이름</t>
        </is>
      </c>
      <c r="D4" s="320" t="n"/>
      <c r="E4" s="42" t="inlineStr">
        <is>
          <t>Address/ 주소</t>
        </is>
      </c>
      <c r="F4" s="261" t="inlineStr">
        <is>
          <t>제공되는 제품 유형/제공되는 제품 유형:</t>
        </is>
      </c>
      <c r="G4" s="321" t="n"/>
      <c r="H4" s="320" t="n"/>
    </row>
    <row r="5" ht="66" customHeight="1">
      <c r="A5" s="272" t="n"/>
      <c r="B5" s="320" t="n"/>
      <c r="C5" s="272" t="n"/>
      <c r="D5" s="320" t="n"/>
      <c r="E5" s="53" t="n"/>
      <c r="F5" s="273" t="inlineStr">
        <is>
          <t>원자재/ 원자재 메인
o 부재료/ 보조재료</t>
        </is>
      </c>
      <c r="G5" s="321" t="n"/>
      <c r="H5" s="53" t="inlineStr">
        <is>
          <t>아웃소싱 자재/ 아웃소싱 소스로부터 원자재</t>
        </is>
      </c>
    </row>
    <row r="6" ht="33.75" customHeight="1">
      <c r="A6" s="272" t="inlineStr">
        <is>
          <t>P.I.C/담당자</t>
        </is>
      </c>
      <c r="B6" s="320" t="n"/>
      <c r="C6" s="73" t="inlineStr">
        <is>
          <t>Job title/ 직위</t>
        </is>
      </c>
      <c r="D6" s="272" t="inlineStr">
        <is>
          <t>Department/ 팀 ban</t>
        </is>
      </c>
      <c r="E6" s="272" t="inlineStr">
        <is>
          <t>Email</t>
        </is>
      </c>
      <c r="F6" s="272" t="inlineStr">
        <is>
          <t>Phone No.</t>
        </is>
      </c>
      <c r="G6" s="321" t="n"/>
      <c r="H6" s="320" t="n"/>
    </row>
    <row r="7" ht="66" customHeight="1">
      <c r="A7" s="261" t="n"/>
      <c r="B7" s="320" t="n"/>
      <c r="C7" s="74" t="n"/>
      <c r="D7" s="261" t="n"/>
      <c r="E7" s="72" t="n"/>
      <c r="F7" s="276" t="n"/>
      <c r="G7" s="321" t="n"/>
      <c r="H7" s="320" t="n"/>
    </row>
    <row r="8" ht="13.5" customHeight="1">
      <c r="A8" s="25" t="n"/>
      <c r="B8" s="25" t="n"/>
      <c r="C8" s="75" t="n"/>
      <c r="D8" s="25" t="n"/>
      <c r="E8" s="25" t="n"/>
      <c r="F8" s="25" t="n"/>
      <c r="G8" s="25" t="n"/>
    </row>
    <row r="9" ht="44.25" customFormat="1" customHeight="1" s="2">
      <c r="A9" s="298" t="inlineStr">
        <is>
          <t>CONTENT OF EVALUATION</t>
        </is>
      </c>
      <c r="B9" s="321" t="n"/>
      <c r="C9" s="321" t="n"/>
      <c r="D9" s="321" t="n"/>
      <c r="E9" s="321" t="n"/>
      <c r="F9" s="321" t="n"/>
      <c r="G9" s="321" t="n"/>
      <c r="H9" s="320" t="n"/>
    </row>
    <row r="10" ht="36.75" customFormat="1" customHeight="1" s="2">
      <c r="A10" s="267" t="inlineStr">
        <is>
          <t>Section 1 - Warehouse for Materials</t>
        </is>
      </c>
      <c r="B10" s="351" t="n"/>
      <c r="C10" s="351" t="n"/>
      <c r="D10" s="350" t="n"/>
      <c r="E10" s="267" t="inlineStr">
        <is>
          <t>Sub total (Score)</t>
        </is>
      </c>
      <c r="F10" s="7">
        <f>SUM(F13:F15)</f>
        <v/>
      </c>
      <c r="G10" s="7">
        <f>SUM(G13:G15)</f>
        <v/>
      </c>
      <c r="H10" s="268" t="inlineStr">
        <is>
          <t>COMMENT</t>
        </is>
      </c>
    </row>
    <row r="11" ht="28.5" customFormat="1" customHeight="1" s="2">
      <c r="A11" s="354" t="n"/>
      <c r="B11" s="355" t="n"/>
      <c r="C11" s="355" t="n"/>
      <c r="D11" s="333" t="n"/>
      <c r="E11" s="267" t="inlineStr">
        <is>
          <t xml:space="preserve">Achievement rate </t>
        </is>
      </c>
      <c r="F11" s="8">
        <f>F10/100</f>
        <v/>
      </c>
      <c r="G11" s="8">
        <f>G10/100</f>
        <v/>
      </c>
      <c r="H11" s="357" t="n"/>
    </row>
    <row r="12" ht="52.5" customFormat="1" customHeight="1" s="2">
      <c r="A12" s="32" t="inlineStr">
        <is>
          <t>Question
Number</t>
        </is>
      </c>
      <c r="B12" s="32" t="inlineStr">
        <is>
          <t>Element</t>
        </is>
      </c>
      <c r="C12" s="37" t="inlineStr">
        <is>
          <t xml:space="preserve"> Requirement</t>
        </is>
      </c>
      <c r="D12" s="34" t="inlineStr">
        <is>
          <t>VNM</t>
        </is>
      </c>
      <c r="E12" s="33" t="inlineStr">
        <is>
          <t>Rating Criteria</t>
        </is>
      </c>
      <c r="F12" s="35" t="inlineStr">
        <is>
          <t xml:space="preserve"> Score</t>
        </is>
      </c>
      <c r="G12" s="35" t="inlineStr">
        <is>
          <t xml:space="preserve">Result </t>
        </is>
      </c>
      <c r="H12" s="329" t="n"/>
    </row>
    <row r="13" ht="186.75" customFormat="1" customHeight="1" s="2">
      <c r="A13" s="5" t="n">
        <v>1</v>
      </c>
      <c r="B13" s="50" t="inlineStr">
        <is>
          <t>Standard</t>
        </is>
      </c>
      <c r="C13" s="79" t="inlineStr">
        <is>
          <t xml:space="preserve">Is the material storage standard established, and are the warehoused materials structuralized for first-in/first-out, and is there management tools? 
</t>
        </is>
      </c>
      <c r="D13" s="19" t="inlineStr">
        <is>
          <t>자재보관기준이 확립되어 있는지, 선입선출 기준이 있는지, 관리 이력이 있는지?</t>
        </is>
      </c>
      <c r="E13" s="18" t="inlineStr">
        <is>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is>
      </c>
      <c r="F13" s="302" t="n">
        <v>4</v>
      </c>
      <c r="G13" s="302" t="n"/>
      <c r="H13" s="81" t="n"/>
    </row>
    <row r="14" ht="273.75" customFormat="1" customHeight="1" s="2">
      <c r="A14" s="5" t="n">
        <v>2</v>
      </c>
      <c r="B14" s="50" t="inlineStr">
        <is>
          <t>Environment</t>
        </is>
      </c>
      <c r="C14" s="79" t="inlineStr">
        <is>
          <t xml:space="preserve">Is the environmental condition of the warehouse under measurement control regularly? (temperature/humidity)
 </t>
        </is>
      </c>
      <c r="D14" s="19" t="inlineStr">
        <is>
          <t>완제품 보관환경이 관리되나요?
(온도, 습도)</t>
        </is>
      </c>
      <c r="E14" s="18" t="inlineStr">
        <is>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14" s="302" t="n">
        <v>4</v>
      </c>
      <c r="G14" s="302" t="n"/>
      <c r="H14" s="81" t="n"/>
    </row>
    <row r="15" ht="267" customFormat="1" customHeight="1" s="2">
      <c r="A15" s="5" t="n">
        <v>3</v>
      </c>
      <c r="B15" s="50" t="inlineStr">
        <is>
          <t>Layout</t>
        </is>
      </c>
      <c r="C15" s="79" t="inlineStr">
        <is>
          <t xml:space="preserve">Are the products classified by item in time of materials storage, and is there an identification mark for materials? 
 </t>
        </is>
      </c>
      <c r="D15" s="19" t="inlineStr">
        <is>
          <t>자재는 보관시 품목별로 분류되어 있으며, 자재에 대한 식별 표시가 있나요?</t>
        </is>
      </c>
      <c r="E15" s="18" t="inlineStr">
        <is>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is>
      </c>
      <c r="F15" s="302" t="n">
        <v>4</v>
      </c>
      <c r="G15" s="302" t="n"/>
      <c r="H15" s="81" t="n"/>
    </row>
    <row r="16" ht="25.5" customFormat="1" customHeight="1" s="2">
      <c r="A16" s="267" t="inlineStr">
        <is>
          <t>Section 2- Material Inspection  and  Preparation</t>
        </is>
      </c>
      <c r="B16" s="351" t="n"/>
      <c r="C16" s="351" t="n"/>
      <c r="D16" s="350" t="n"/>
      <c r="E16" s="267" t="inlineStr">
        <is>
          <t>Sub total (Score)</t>
        </is>
      </c>
      <c r="F16" s="7">
        <f>SUM(F19:F22)</f>
        <v/>
      </c>
      <c r="G16" s="7">
        <f>SUM(G19:G22)</f>
        <v/>
      </c>
      <c r="H16" s="268" t="inlineStr">
        <is>
          <t>COMMENT</t>
        </is>
      </c>
    </row>
    <row r="17" ht="25.5" customFormat="1" customHeight="1" s="2">
      <c r="A17" s="354" t="n"/>
      <c r="B17" s="355" t="n"/>
      <c r="C17" s="355" t="n"/>
      <c r="D17" s="333" t="n"/>
      <c r="E17" s="267" t="inlineStr">
        <is>
          <t xml:space="preserve">Achievement rate </t>
        </is>
      </c>
      <c r="F17" s="8">
        <f>15/100</f>
        <v/>
      </c>
      <c r="G17" s="8">
        <f>G16/100</f>
        <v/>
      </c>
      <c r="H17" s="357" t="n"/>
    </row>
    <row r="18" ht="32.25" customFormat="1" customHeight="1" s="25">
      <c r="A18" s="36" t="inlineStr">
        <is>
          <t>Question
Number</t>
        </is>
      </c>
      <c r="B18" s="36" t="inlineStr">
        <is>
          <t>Element</t>
        </is>
      </c>
      <c r="C18" s="37" t="inlineStr">
        <is>
          <t>Question / Requirement</t>
        </is>
      </c>
      <c r="D18" s="38" t="inlineStr">
        <is>
          <t>VNM</t>
        </is>
      </c>
      <c r="E18" s="37" t="inlineStr">
        <is>
          <t>Rating Criteria</t>
        </is>
      </c>
      <c r="F18" s="35" t="inlineStr">
        <is>
          <t xml:space="preserve"> Score</t>
        </is>
      </c>
      <c r="G18" s="35" t="inlineStr">
        <is>
          <t xml:space="preserve">Result </t>
        </is>
      </c>
      <c r="H18" s="329" t="n"/>
    </row>
    <row r="19" ht="153.75" customFormat="1" customHeight="1" s="25">
      <c r="A19" s="5" t="n">
        <v>1</v>
      </c>
      <c r="B19" s="50" t="inlineStr">
        <is>
          <t xml:space="preserve"> Material Inspection (WH)</t>
        </is>
      </c>
      <c r="C19" s="79" t="inlineStr">
        <is>
          <t xml:space="preserve">Are below critical quality control points of the material inspected in incoming? 
- Part Number and Lot Number
- Maker/ Provider
- Status of product
- Packing condition
- Quantity / Weight
- Expiry Date
</t>
        </is>
      </c>
      <c r="D19" s="19" t="inlineStr">
        <is>
          <t>입고 시 원자재의 다음과 같은 중요한 품질 관리 사항이 평가됩니까?
- 제품코드 및 로트번호
- 제조자/공급자
-제품의 상태
- 포장 사양
- 수량 / 중량
- 날짜가 만료되었습니다</t>
        </is>
      </c>
      <c r="E19" s="21" t="inlineStr">
        <is>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19" s="302" t="n">
        <v>4</v>
      </c>
      <c r="G19" s="302" t="n"/>
      <c r="H19" s="27" t="n"/>
    </row>
    <row r="20" ht="147" customFormat="1" customHeight="1" s="22">
      <c r="A20" s="5" t="n">
        <v>3</v>
      </c>
      <c r="B20" s="50" t="inlineStr">
        <is>
          <t xml:space="preserve"> Material Inspection (IQC)</t>
        </is>
      </c>
      <c r="C20" s="79" t="inlineStr">
        <is>
          <t>Are below critical quality control points of material inspected ? 
- Spec
- Appearance no damage, crack, broken, deform, ….</t>
        </is>
      </c>
      <c r="D20" s="19" t="inlineStr">
        <is>
          <t>재료의 중요한 품질 관리 지점이 검사됩니까?
- 기술 사양 및 제품 품질
-외관: 펑크, 균열, 파손, 변형, 곡선</t>
        </is>
      </c>
      <c r="E20" s="21" t="inlineStr">
        <is>
          <t xml:space="preserve">Score 1 - More than 3 critical control point missed to be inspected 
Score 2 - Some critical control points are inspected, but 2~3 critical control points missed.
Score 3 - Some critical control points are inspected, but one critical control points missed.
Score 4 - All critical control points are inspected 
</t>
        </is>
      </c>
      <c r="F20" s="302" t="n">
        <v>4</v>
      </c>
      <c r="G20" s="302" t="n"/>
      <c r="H20" s="28" t="n"/>
    </row>
    <row r="21" ht="144" customFormat="1" customHeight="1" s="22">
      <c r="A21" s="5" t="n">
        <v>4</v>
      </c>
      <c r="B21" s="50" t="inlineStr">
        <is>
          <t xml:space="preserve"> Material Inspection (IQC)</t>
        </is>
      </c>
      <c r="C21" s="77" t="inlineStr">
        <is>
          <t xml:space="preserve">- Does the supplier have a precision testing process and devices that measure the accuracy of the product?
</t>
        </is>
      </c>
      <c r="D21" s="19" t="inlineStr">
        <is>
          <t>- 협력업체/공급업체는 제품 정확도 측정을 위한 정확도 테스트 프로세스와 장비를 보유하고 있는가?</t>
        </is>
      </c>
      <c r="E21" s="1" t="inlineStr">
        <is>
          <t>Score 1. Do not meet requirement 1.1.
Score 2. Meet requirement 1.1. Only use of c.
Score 3. Meet requirement 1.1. Use of a or b.
Score 4. Meet all requirements.</t>
        </is>
      </c>
      <c r="F21" s="302" t="n">
        <v>4</v>
      </c>
      <c r="G21" s="302" t="n"/>
      <c r="H21" s="28" t="n"/>
    </row>
    <row r="22" ht="132.75" customFormat="1" customHeight="1" s="22">
      <c r="A22" s="5" t="n">
        <v>5</v>
      </c>
      <c r="B22" s="50" t="inlineStr">
        <is>
          <t>Pot Life Control for Partially Used Material</t>
        </is>
      </c>
      <c r="C22" s="77" t="inlineStr">
        <is>
          <t>- Is there a pot life control process for partially used material, one times material ?
- Is there expiration date/time of the partially used material marked?
- Are all these partially used materials used before the expiration date/time?</t>
        </is>
      </c>
      <c r="D22" s="52"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18" t="inlineStr">
        <is>
          <t xml:space="preserve">Score 1 - Do not meet requirement 4.1
Score 2 - Meet requirement 4.1, but found multiple cases do not meet requirement 4.2 and/or 4.3 and/or 4.4.
Score 3- Meet requirement 4.1, but found isolated case do not meet requirement 4.2 and/or 4.3 and/or 4.4.
Score 4- Meet all requirements
</t>
        </is>
      </c>
      <c r="F22" s="302" t="n">
        <v>4</v>
      </c>
      <c r="G22" s="302" t="n"/>
      <c r="H22" s="28" t="n"/>
    </row>
    <row r="23" ht="25.5" customFormat="1" customHeight="1" s="22">
      <c r="A23" s="267" t="inlineStr">
        <is>
          <t>Section 3- Control Tooling</t>
        </is>
      </c>
      <c r="B23" s="351" t="n"/>
      <c r="C23" s="351" t="n"/>
      <c r="D23" s="350" t="n"/>
      <c r="E23" s="267" t="inlineStr">
        <is>
          <t>Sub total (Score)</t>
        </is>
      </c>
      <c r="F23" s="7">
        <f>SUM(F26:F32)</f>
        <v/>
      </c>
      <c r="G23" s="7">
        <f>SUM(G26:G29)</f>
        <v/>
      </c>
      <c r="H23" s="280" t="inlineStr">
        <is>
          <t>COMMENT</t>
        </is>
      </c>
    </row>
    <row r="24" ht="25.5" customFormat="1" customHeight="1" s="22">
      <c r="A24" s="354" t="n"/>
      <c r="B24" s="355" t="n"/>
      <c r="C24" s="355" t="n"/>
      <c r="D24" s="333" t="n"/>
      <c r="E24" s="267" t="inlineStr">
        <is>
          <t xml:space="preserve">Achievement rate </t>
        </is>
      </c>
      <c r="F24" s="8">
        <f>F23/100</f>
        <v/>
      </c>
      <c r="G24" s="8">
        <f>G23/100</f>
        <v/>
      </c>
      <c r="H24" s="281" t="n"/>
    </row>
    <row r="25" ht="31.5" customFormat="1" customHeight="1" s="22">
      <c r="A25" s="36" t="inlineStr">
        <is>
          <t>Question
Number</t>
        </is>
      </c>
      <c r="B25" s="36" t="inlineStr">
        <is>
          <t>Element</t>
        </is>
      </c>
      <c r="C25" s="37" t="inlineStr">
        <is>
          <t>Question / Requirement</t>
        </is>
      </c>
      <c r="D25" s="38" t="inlineStr">
        <is>
          <t>VNM</t>
        </is>
      </c>
      <c r="E25" s="37" t="inlineStr">
        <is>
          <t>Rating Criteria</t>
        </is>
      </c>
      <c r="F25" s="35" t="inlineStr">
        <is>
          <t xml:space="preserve"> Score</t>
        </is>
      </c>
      <c r="G25" s="35" t="inlineStr">
        <is>
          <t xml:space="preserve">Result </t>
        </is>
      </c>
      <c r="H25" s="281" t="n"/>
    </row>
    <row r="26" ht="273.75" customFormat="1" customHeight="1" s="22">
      <c r="A26" s="5" t="n">
        <v>1</v>
      </c>
      <c r="B26" s="50" t="inlineStr">
        <is>
          <t>Tooling Release to Production</t>
        </is>
      </c>
      <c r="C26" s="77" t="inlineStr">
        <is>
          <t>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is>
      </c>
      <c r="D26" s="52" t="inlineStr">
        <is>
          <t>1.1 도구 출시 프로세스가 마련되어 있나요?
1.2 도구를 생산에 출시하기 전에 모든 도구 릴리스 요구 사항이 충족되었습니까?
1.3 생산에 출시되기 전에 승인된 사람이 도구 출시 문서에 서명합니까?
1.4 필요한 공구 개발 기록은 공구 유지 관리 부서에 전달되어 유지됩니다.
비고:
가). 툴링 릴리스 요청에는 고객이 승인한 DFM, 승인된 툴링 도면, 모든 요구 사항을 충족하는 툴 검증 결과 등이 포함될 수 있지만 이에 국한되지는 않습니다.
비). 도구 개발 기록에는 도구 도면, 도구 검증 보고서, 개발 단계의 도구 EC 기록, 샘플 등이 포함되지만 이에 국한되지는 않습니다.</t>
        </is>
      </c>
      <c r="E26" s="18" t="inlineStr">
        <is>
          <t>Score 0 - Do not meet requirement 1.1.
Score 1 - Meet requirement 1.1. But do not meet requirement 1.2 and/or 1.3.
Score 2 - Meet requirements 1.1, 1.2 and 1.3. But do not meet requirement 1.4.
Score 3 - Meet all requirements.</t>
        </is>
      </c>
      <c r="F26" s="302" t="n">
        <v>3</v>
      </c>
      <c r="G26" s="302" t="n"/>
      <c r="H26" s="302" t="n"/>
    </row>
    <row r="27" ht="63" customFormat="1" customHeight="1" s="22">
      <c r="A27" s="5" t="n">
        <v>2</v>
      </c>
      <c r="B27" s="50" t="inlineStr">
        <is>
          <t>Tooling Storage</t>
        </is>
      </c>
      <c r="C27" s="77" t="inlineStr">
        <is>
          <t xml:space="preserve">2.1 Is there specified space to store the tooling?
2.2 Is there storage method proper to protect the tooling from damage and rusting?
2.3 Is the space sufficient to store all the tooling?
</t>
        </is>
      </c>
      <c r="D27" s="52" t="inlineStr">
        <is>
          <t>2.1 도구를 보관할 수 있는 특정 공간이 있나요?
2.2 공구가 손상되거나 녹슬지 않도록 보호하기 위한 적절한 보관 방법이 있습니까?
2.3 모든 도구를 보관할 공간이 충분합니까?</t>
        </is>
      </c>
      <c r="E27" s="18" t="inlineStr">
        <is>
          <t>Score 0 - Do not meet requirement 2.1
Score 1 - Meet requirement 2.1. But do not meet requirement 2.2.
Score 2 - Meet requirement 2.1 and 2.2. But do not meet requirement 2.3.
Score 3 - Meet all requirements.</t>
        </is>
      </c>
      <c r="F27" s="302" t="n">
        <v>3</v>
      </c>
      <c r="G27" s="302" t="n"/>
      <c r="H27" s="302" t="n"/>
    </row>
    <row r="28" ht="94.5" customFormat="1" customHeight="1" s="22">
      <c r="A28" s="5" t="n">
        <v>3</v>
      </c>
      <c r="B28" s="50" t="inlineStr">
        <is>
          <t>Tooling Identification</t>
        </is>
      </c>
      <c r="C28" s="77" t="inlineStr">
        <is>
          <t>3.1 Is there a tooling identification process in place?
3.2 Is the tooling identification information sufficient to avoid tooling mixture?
3.3 Is the tooling identification information easy to read?
Notes: Tooling identification information may include but not limited to: tooling number, part number, revision, customer, etc.</t>
        </is>
      </c>
      <c r="D28" s="52" t="inlineStr">
        <is>
          <t>3.1 도구 식별 프로세스가 마련되어 있습니까?
3.2 기기 식별 정보가 기기 혼동을 방지하기에 충분합니까?
3.3 기기 식별 정보는 읽기 쉬운가요?
주의 사항: 도구 식별 정보에는 도구 번호, 부품 번호, 수정, 고객 등이 포함될 수 있지만 이에 국한되지는 않습니다.</t>
        </is>
      </c>
      <c r="E28" s="18" t="inlineStr">
        <is>
          <t>Score 0 - Do not meet requirement 3.1.
Score 1 - Meet requirement 3.1. But do not meet requirement 3.2.
Score 2 - Meet requirement 3.1 and 3.2. But do not meet requirement 3.3.
Score 3 - Meet all requirements.</t>
        </is>
      </c>
      <c r="F28" s="302" t="n">
        <v>3</v>
      </c>
      <c r="G28" s="302" t="n"/>
      <c r="H28" s="302" t="n"/>
    </row>
    <row r="29" ht="94.5" customFormat="1" customHeight="1" s="22">
      <c r="A29" s="5" t="n">
        <v>4</v>
      </c>
      <c r="B29" s="50" t="inlineStr">
        <is>
          <t>Tooling Preventive Maintenance</t>
        </is>
      </c>
      <c r="C29" s="77" t="inlineStr">
        <is>
          <t>4.1 Are there tooling preventive maintenance schedule and tooling maintenance checklist in place?
4.2 Are all maintenance items defined in tooling maintenance checklist actually executed?
4.3 Are all tooling maintenance activities executed on time?</t>
        </is>
      </c>
      <c r="D29" s="52" t="inlineStr">
        <is>
          <t>4.1 공구 예방 유지보수 일정과 공구 유지보수 체크리스트가 마련되어 있습니까?
4.2 공구 유지보수 체크리스트에 명시된 모든 유지보수 항목이 실제로 수행됩니까?
4.3 모든 도구 유지 관리 활동이 제 시간에 수행됩니까?</t>
        </is>
      </c>
      <c r="E29" s="18" t="inlineStr">
        <is>
          <t>Score 0 - Do not meet requirement 4.1.
Score 1 - Meet requirement 4.1. But do not meet requirement 4.2.
Score 2 - Meet requirement 4.1 and 4.2. But do not meet requirement 4.3.
Score 3 - Meet all requirements.</t>
        </is>
      </c>
      <c r="F29" s="302" t="n">
        <v>3</v>
      </c>
      <c r="G29" s="302" t="n"/>
      <c r="H29" s="302" t="n"/>
    </row>
    <row r="30" ht="220.5" customFormat="1" customHeight="1" s="22">
      <c r="A30" s="5" t="n">
        <v>5</v>
      </c>
      <c r="B30" s="50" t="inlineStr">
        <is>
          <t>Tooling Life Control</t>
        </is>
      </c>
      <c r="C30" s="77" t="inlineStr">
        <is>
          <t>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Remark: 
Design tooling life = total utilizing times/cycles tooling can execute before tooling scrape.
Utilized life = how many utilizing times/cycles tooling has actually executed.</t>
        </is>
      </c>
      <c r="D30" s="52" t="inlineStr">
        <is>
          <t>5.1 공구 수명 관리 절차가 마련되어 있습니까?
5.2 모든 공구 유형에 대해 설계 공구 수명이 결정됩니까?
5.3 모든 공구의 공구 수명이 모니터링됩니까?
5.4 공구의 사용 수명이 설계 공구 수명에 가까워지면 적절한 조치가 취해지나요(예: 교체 공구 제작 및 재검증 또는 공구 수명 연장을 위한 고객 승인)?
비고:
설계 도구 수명 = 도구를 긁어내기 전에 도구가 소요할 수 있는 총 사용 시간/주기입니다. 사용 수명 = 공구/사이클이 실제로 사용된 횟수입니다.</t>
        </is>
      </c>
      <c r="E30" s="18" t="inlineStr">
        <is>
          <t>Score 0 - Do not meet requirement 5.1.
Score 1 - Meet requirement 5.1. But do not meet requirement 5.2 and/or 5.3.
Score 2 - Meet requirements 5.1, 5.2 and 5.3. But do not meet requirement 5.4.
Score 3 - Meet all requirements.</t>
        </is>
      </c>
      <c r="F30" s="302" t="n">
        <v>3</v>
      </c>
      <c r="G30" s="302" t="n"/>
      <c r="H30" s="302" t="n"/>
    </row>
    <row r="31" ht="141.75" customFormat="1" customHeight="1" s="22">
      <c r="A31" s="5" t="n">
        <v>6</v>
      </c>
      <c r="B31" s="50" t="inlineStr">
        <is>
          <t>Tooling Spare Parts Control</t>
        </is>
      </c>
      <c r="C31" s="77" t="inlineStr">
        <is>
          <t>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Notes: necessary tooling spare parts may include but not limited to: punches, die inserts, ejectors, pins, springs, screws, etc.</t>
        </is>
      </c>
      <c r="D31" s="52" t="inlineStr">
        <is>
          <t>6.1 예비 부품 관리 절차가 마련되어 있습니까?
6.2 필요한 모든 도구 부품에 대한 최소 재고가 설정되어 있습니까?
6.3 공구 예비 부품 재고가 추적됩니까?
6.4 예비 부품 재고를 최소화할 때 적절한 조치를 취합니다.
주의 사항: 펀치, 다이 인서트, 노즐, 핀, 스프링, 나사 등을 포함하되 이에 국한되지 않는 필수 툴링 예비 부품.</t>
        </is>
      </c>
      <c r="E31" s="18" t="inlineStr">
        <is>
          <t>Score 0 - Do not meet requirement 6.1.
Score 1 - Meet requirement 6.1. But do not meet requirement 6.2 and/or 6.3.
Score 2 - Meet requirement 6.1, 6.2 and 6.3. But do not meet requirement 6.4.
Score 3 - Meet all requirements.</t>
        </is>
      </c>
      <c r="F31" s="302" t="n">
        <v>3</v>
      </c>
      <c r="G31" s="302" t="n"/>
      <c r="H31" s="302" t="n"/>
    </row>
    <row r="32" ht="126" customFormat="1" customHeight="1" s="22">
      <c r="A32" s="5" t="n">
        <v>7</v>
      </c>
      <c r="B32" s="50" t="inlineStr">
        <is>
          <t>Tooling Change Management</t>
        </is>
      </c>
      <c r="C32" s="77" t="inlineStr">
        <is>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is>
      </c>
      <c r="D32" s="52" t="inlineStr">
        <is>
          <t>7.1 정의된 도구 변경 관리 프로세스가 있습니까?
7.2 프로세스가 실제 공구 교환 작업을 따르나요?
7.3 공구 교체 후 공구 재검증이 수행됩니까?
7.4 공구 변경 정보가 모든 관련 부서(예: 공구 유지 관리, 생산, 엔지니어링, 품질 등)에 전달됩니까?</t>
        </is>
      </c>
      <c r="E32" s="18" t="inlineStr">
        <is>
          <t>Score 0 - Do not meet requirement 7.1.
Score 1 - Meet requirement 7.1. But do not meet requirement 7.2 and/or 7.3.
Score 2 - Meet requirement 7.1, 7.2 and 7.3. But do not meet requirement 7.4.
Score 3 - Meet all requirements.</t>
        </is>
      </c>
      <c r="F32" s="302" t="n">
        <v>3</v>
      </c>
      <c r="G32" s="302" t="n"/>
      <c r="H32" s="302" t="n"/>
    </row>
    <row r="33" ht="25.5" customFormat="1" customHeight="1" s="22">
      <c r="A33" s="267" t="inlineStr">
        <is>
          <t>Section 4- Production Process</t>
        </is>
      </c>
      <c r="B33" s="351" t="n"/>
      <c r="C33" s="351" t="n"/>
      <c r="D33" s="350" t="n"/>
      <c r="E33" s="267" t="inlineStr">
        <is>
          <t>Sub total (Score)</t>
        </is>
      </c>
      <c r="F33" s="7">
        <f>SUM(F36:F41)</f>
        <v/>
      </c>
      <c r="G33" s="7">
        <f>SUM(G36:G41)</f>
        <v/>
      </c>
      <c r="H33" s="268" t="inlineStr">
        <is>
          <t>COMMENT</t>
        </is>
      </c>
    </row>
    <row r="34" ht="25.5" customFormat="1" customHeight="1" s="2">
      <c r="A34" s="354" t="n"/>
      <c r="B34" s="355" t="n"/>
      <c r="C34" s="355" t="n"/>
      <c r="D34" s="333" t="n"/>
      <c r="E34" s="267" t="inlineStr">
        <is>
          <t xml:space="preserve">Achievement rate </t>
        </is>
      </c>
      <c r="F34" s="8">
        <f>F33/100</f>
        <v/>
      </c>
      <c r="G34" s="8">
        <f>G23/100</f>
        <v/>
      </c>
      <c r="H34" s="357" t="n"/>
    </row>
    <row r="35" ht="36.75" customFormat="1" customHeight="1" s="2">
      <c r="A35" s="39" t="inlineStr">
        <is>
          <t>Question
Number</t>
        </is>
      </c>
      <c r="B35" s="39" t="inlineStr">
        <is>
          <t>Element</t>
        </is>
      </c>
      <c r="C35" s="78" t="inlineStr">
        <is>
          <t>Question / Requirement</t>
        </is>
      </c>
      <c r="D35" s="34" t="inlineStr">
        <is>
          <t>VNM</t>
        </is>
      </c>
      <c r="E35" s="40" t="inlineStr">
        <is>
          <t>Rating Criteria</t>
        </is>
      </c>
      <c r="F35" s="35" t="inlineStr">
        <is>
          <t xml:space="preserve"> Score</t>
        </is>
      </c>
      <c r="G35" s="35" t="inlineStr">
        <is>
          <t xml:space="preserve">Result </t>
        </is>
      </c>
      <c r="H35" s="329" t="n"/>
    </row>
    <row r="36" ht="166.5" customFormat="1" customHeight="1" s="2">
      <c r="A36" s="63" t="n">
        <v>1</v>
      </c>
      <c r="B36" s="50" t="inlineStr">
        <is>
          <t>WI</t>
        </is>
      </c>
      <c r="C36" s="79" t="inlineStr">
        <is>
          <t>Manipulate and check yes according to the approval sheet standard and when the change has historical management and reflect changes to the approval sheet?
  Is the operation manual provided in the appropriate position for each machine and has standard operation?
  Is there a check sheet layout for each machine and daily recorded in the check sheet?</t>
        </is>
      </c>
      <c r="D36" s="52" t="inlineStr">
        <is>
          <t>승인서 기준에 따라 운영 및 점검이 이루어지고 있으며, 변경시 이력이 관리되고 변경사항이 승인서에 반영됩니까? 
 작동 지침은 각 기계의 적절한 위치에 배치되어 있으며 표준에 따라 작동됩니까?
 기계별로 체크시트가 마련되어 있고 매일 체크시트에 기록되나요?</t>
        </is>
      </c>
      <c r="E36" s="18" t="inlineStr">
        <is>
          <t>Score 0 - Do not meet requirement 1.1.
Score 1 - Meet requirement 1.1. But do not meet requirement 1.2 and/or 1.3.
Score 2 - Meet requirements 1.1, 1.2 and 1.3. But do not meet requirement 1.4.
Score 3 - Meet all requirements.</t>
        </is>
      </c>
      <c r="F36" s="64" t="n">
        <v>3</v>
      </c>
      <c r="G36" s="64" t="n"/>
      <c r="H36" s="65" t="n"/>
    </row>
    <row r="37" ht="166.5" customFormat="1" customHeight="1" s="2">
      <c r="A37" s="63" t="n">
        <v>2</v>
      </c>
      <c r="B37" s="50" t="inlineStr">
        <is>
          <t>CAM program</t>
        </is>
      </c>
      <c r="C37" s="77" t="inlineStr">
        <is>
          <t>Is there a standard of operating conditions (Cam)?
- Feed, machining speed, number of turns, compliance with machining time, byte specification</t>
        </is>
      </c>
      <c r="D37" s="52" t="inlineStr">
        <is>
          <t>작동조건 표준(Cam)을 준수하는가?
- 이송, 가공속도, 라운드수, 가공시간 준수, 바이트 사양</t>
        </is>
      </c>
      <c r="E37" s="18" t="inlineStr">
        <is>
          <t>Score 0 - Do not meet requirement 2.1
Score 1 - Meet requirement 2.1. But do not meet requirement 2.2.
Score 2 - Meet requirement 2.1 and 2.2. But do not meet requirement 2.3.
Score 3 - Meet all requirements.</t>
        </is>
      </c>
      <c r="F37" s="64" t="n">
        <v>3</v>
      </c>
      <c r="G37" s="64" t="n"/>
      <c r="H37" s="65" t="n"/>
    </row>
    <row r="38" ht="166.5" customFormat="1" customHeight="1" s="2">
      <c r="A38" s="63" t="n">
        <v>3</v>
      </c>
      <c r="B38" s="50" t="inlineStr">
        <is>
          <t xml:space="preserve">Washing </t>
        </is>
      </c>
      <c r="C38" s="77" t="inlineStr">
        <is>
          <t>After the processing, do you perform the washing?</t>
        </is>
      </c>
      <c r="D38" s="52" t="inlineStr">
        <is>
          <t>가공 후 세척 단계가 있나요?</t>
        </is>
      </c>
      <c r="E38" s="18" t="inlineStr">
        <is>
          <t>Score 0 - Do not meet requirement 3.1.
Score 1 - Meet requirement 3.1. But do not meet requirement 3.2.
Score 2 - Meet requirement 3.1 and 3.2. But do not meet requirement 3.3.
Score 3 - Meet all requirements.</t>
        </is>
      </c>
      <c r="F38" s="64" t="n">
        <v>3</v>
      </c>
      <c r="G38" s="64" t="n"/>
      <c r="H38" s="65" t="n"/>
    </row>
    <row r="39" ht="166.5" customFormat="1" customHeight="1" s="2">
      <c r="A39" s="63" t="n">
        <v>4</v>
      </c>
      <c r="B39" s="50" t="inlineStr">
        <is>
          <t>Oil</t>
        </is>
      </c>
      <c r="C39" s="77" t="inlineStr">
        <is>
          <t>Using cutting oil suitable for machining purposes? Is there any standard for oil concentration management?</t>
        </is>
      </c>
      <c r="D39" s="52" t="inlineStr">
        <is>
          <t>가공 목적에 적합한 절삭유를 사용하시나요? 유분 농도 관리 기준이 있나요?</t>
        </is>
      </c>
      <c r="E39" s="18" t="inlineStr">
        <is>
          <t>Score 0 - Do not meet requirement 4.1.
Score 1 - Meet requirement 4.1. But do not meet requirement 4.2.
Score 2 - Meet requirement 4.1 and 4.2. But do not meet requirement 4.3.
Score 3 - Meet all requirements.</t>
        </is>
      </c>
      <c r="F39" s="64" t="n">
        <v>3</v>
      </c>
      <c r="G39" s="64" t="n"/>
      <c r="H39" s="65" t="n"/>
    </row>
    <row r="40" ht="166.5" customFormat="1" customHeight="1" s="2">
      <c r="A40" s="63" t="n">
        <v>5</v>
      </c>
      <c r="B40" s="50" t="inlineStr">
        <is>
          <t>Sample</t>
        </is>
      </c>
      <c r="C40" s="79" t="inlineStr">
        <is>
          <t xml:space="preserve">  Is the standard form approved and arranged in line?
  Is there any specific area for the row before input and after the input</t>
        </is>
      </c>
      <c r="D40" s="52" t="inlineStr">
        <is>
          <t>샘플/견본 표준이 승인되어 라인에 있나요?
 입력 전, 입력 후 별도의 주차공간이 있나요?</t>
        </is>
      </c>
      <c r="E40" s="18" t="inlineStr">
        <is>
          <t>Score 0 - Do not meet requirement 5.1.
Score 1 - Meet requirement 5.1. But do not meet requirement 5.2 and/or 5.3.
Score 2 - Meet requirements 5.1, 5.2 and 5.3. But do not meet requirement 5.4.
Score 3 - Meet all requirements.</t>
        </is>
      </c>
      <c r="F40" s="64" t="n">
        <v>3</v>
      </c>
      <c r="G40" s="64" t="n"/>
      <c r="H40" s="65" t="n"/>
    </row>
    <row r="41" ht="166.5" customFormat="1" customHeight="1" s="2">
      <c r="A41" s="63" t="n">
        <v>6</v>
      </c>
      <c r="B41" s="50" t="inlineStr">
        <is>
          <t>Quality process</t>
        </is>
      </c>
      <c r="C41" s="79" t="inlineStr">
        <is>
          <t>Will FML management follow the established criteria?
   - Confirm the test date and sample state
   - confirm whether the original sample product is preserved within 3 months (date, time, mold number, record the number of samples to sample)
   - After Tapping and hole do you manage the inside diameter of the hole?
   - Make sure there are separate locations for measuring and preserving samples</t>
        </is>
      </c>
      <c r="D41" s="52" t="inlineStr">
        <is>
          <t>FML 관리는 정해진 기준에 따라 이루어지나요?
  - 시험일자 및 시료상태 확인 
  - 원본 샘플 제품의 3개월간 보관 여부를 확인합니다. (샘플에 날짜, 시간, 금형번호, 기록 기계번호) 
  - 태핑 가공 후 홀 내경 사이즈 조절이 가능한가요? 
  - 시료를 측정하고 보관할 수 있는 별도의 장소를 확보하세요.</t>
        </is>
      </c>
      <c r="E41" s="18" t="inlineStr">
        <is>
          <t>Score 0 - Do not meet requirement 6.1.
Score 1 - Meet requirement 6.1. But do not meet requirement 6.2 and/or 6.3.
Score 2 - Meet requirement 6.1, 6.2 and 6.3. But do not meet requirement 6.4.
Score 3 - Meet all requirements.</t>
        </is>
      </c>
      <c r="F41" s="64" t="n">
        <v>3</v>
      </c>
      <c r="G41" s="64" t="n"/>
      <c r="H41" s="65" t="n"/>
    </row>
    <row r="42" ht="38.25" customFormat="1" customHeight="1" s="22">
      <c r="A42" s="267" t="inlineStr">
        <is>
          <t>Section 5- Product Evaluation (OQC)</t>
        </is>
      </c>
      <c r="B42" s="351" t="n"/>
      <c r="C42" s="351" t="n"/>
      <c r="D42" s="350" t="n"/>
      <c r="E42" s="267" t="inlineStr">
        <is>
          <t>Sub total (Score)</t>
        </is>
      </c>
      <c r="F42" s="7">
        <f>SUM(F35:F41)</f>
        <v/>
      </c>
      <c r="G42" s="7">
        <f>SUM(G35:G41)</f>
        <v/>
      </c>
      <c r="H42" s="268" t="inlineStr">
        <is>
          <t>COMMENT</t>
        </is>
      </c>
    </row>
    <row r="43" ht="38.25" customFormat="1" customHeight="1" s="2">
      <c r="A43" s="354" t="n"/>
      <c r="B43" s="355" t="n"/>
      <c r="C43" s="355" t="n"/>
      <c r="D43" s="333" t="n"/>
      <c r="E43" s="267" t="inlineStr">
        <is>
          <t xml:space="preserve">Achievement rate </t>
        </is>
      </c>
      <c r="F43" s="8">
        <f>F42/100</f>
        <v/>
      </c>
      <c r="G43" s="8">
        <f>G42/100</f>
        <v/>
      </c>
      <c r="H43" s="329" t="n"/>
    </row>
    <row r="44" ht="194.25" customHeight="1">
      <c r="A44" s="5" t="n">
        <v>1</v>
      </c>
      <c r="B44" s="18" t="inlineStr">
        <is>
          <t>Training</t>
        </is>
      </c>
      <c r="C44" s="79" t="inlineStr">
        <is>
          <t xml:space="preserve">Did an auditor receive an education about the measuring method, auditing method, and equipment use method , and get certified?
  </t>
        </is>
      </c>
      <c r="D44" s="19" t="inlineStr">
        <is>
          <t>검사자는 측정 방법, 시험 방법, 장비 사용 방법에 대한 교육을 받고 인증을 받았습니까?</t>
        </is>
      </c>
      <c r="E44" s="18" t="inlineStr">
        <is>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is>
      </c>
      <c r="F44" s="302" t="n">
        <v>3</v>
      </c>
      <c r="G44" s="302" t="n"/>
      <c r="H44" s="29" t="n"/>
    </row>
    <row r="45" ht="201.75" customHeight="1">
      <c r="A45" s="5" t="n">
        <v>2</v>
      </c>
      <c r="B45" s="18" t="inlineStr">
        <is>
          <t>Standard</t>
        </is>
      </c>
      <c r="C45" s="79" t="inlineStr">
        <is>
          <t xml:space="preserve">Are the audit standard and drawings are kept, and does the standard coincide with the products which are under auditing? 
  </t>
        </is>
      </c>
      <c r="D45" s="19" t="inlineStr">
        <is>
          <t>검사 기준이 적절하고 제품 검사 구역에 게시되어 있습니까?</t>
        </is>
      </c>
      <c r="E45" s="18" t="inlineStr">
        <is>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is>
      </c>
      <c r="F45" s="302" t="n">
        <v>3</v>
      </c>
      <c r="G45" s="302" t="n"/>
      <c r="H45" s="27" t="n"/>
    </row>
    <row r="46" ht="211.5" customHeight="1">
      <c r="A46" s="5" t="n">
        <v>3</v>
      </c>
      <c r="B46" s="18" t="inlineStr">
        <is>
          <t>Layout</t>
        </is>
      </c>
      <c r="C46" s="79" t="inlineStr">
        <is>
          <t xml:space="preserve">Are the products/pre/post shipment inspection, and the storage place for rejected products under separately classified management, and marked? 
of pre/post audit for products is clearly handled. </t>
        </is>
      </c>
      <c r="D46" s="19" t="inlineStr">
        <is>
          <t>검사구역은 검사대기품, NG품, OK품으로 구분되나요?</t>
        </is>
      </c>
      <c r="E46" s="18" t="inlineStr">
        <is>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is>
      </c>
      <c r="F46" s="302" t="n">
        <v>3</v>
      </c>
      <c r="G46" s="302" t="n"/>
      <c r="H46" s="27" t="n"/>
    </row>
    <row r="47" ht="268.5" customHeight="1">
      <c r="A47" s="5" t="n">
        <v>4</v>
      </c>
      <c r="B47" s="18" t="inlineStr">
        <is>
          <t>Measuring equipmen</t>
        </is>
      </c>
      <c r="C47" s="79" t="inlineStr">
        <is>
          <t>Is the measuring equipment controlled and  calibrated?</t>
        </is>
      </c>
      <c r="D47" s="19" t="inlineStr">
        <is>
          <t>측정 장비가 관리되고 교정됩니까?</t>
        </is>
      </c>
      <c r="E47" s="18" t="inlineStr">
        <is>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is>
      </c>
      <c r="F47" s="302" t="n">
        <v>3</v>
      </c>
      <c r="G47" s="302" t="n"/>
      <c r="H47" s="27" t="n"/>
    </row>
    <row r="48" ht="218.25" customHeight="1">
      <c r="A48" s="5" t="n">
        <v>5</v>
      </c>
      <c r="B48" s="18" t="inlineStr">
        <is>
          <t xml:space="preserve">Follow  customer </t>
        </is>
      </c>
      <c r="C48" s="79" t="inlineStr">
        <is>
          <t xml:space="preserve">Is the unacceptable item arising from a customer reflected in the management point of the audit process? 
 </t>
        </is>
      </c>
      <c r="D48" s="19" t="inlineStr">
        <is>
          <t>고객불만 처리 프로세스가 있나요?</t>
        </is>
      </c>
      <c r="E48" s="18" t="inlineStr">
        <is>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is>
      </c>
      <c r="F48" s="302" t="n">
        <v>3</v>
      </c>
      <c r="G48" s="302" t="n"/>
      <c r="H48" s="27" t="n"/>
    </row>
    <row r="49" ht="202.5" customHeight="1">
      <c r="A49" s="5" t="n">
        <v>6</v>
      </c>
      <c r="B49" s="18" t="inlineStr">
        <is>
          <t>Internal audit</t>
        </is>
      </c>
      <c r="C49" s="79" t="inlineStr">
        <is>
          <t xml:space="preserve">Is the receiving audit history managment register under record management?(receiving audit report, audit history, rejection status, corrective measures, and post-management, etc. )
</t>
        </is>
      </c>
      <c r="D49" s="19" t="inlineStr">
        <is>
          <t>내부감사가 실시되나요? 적시에 해결해야 할 문제가 개선되고 있습니까?</t>
        </is>
      </c>
      <c r="E49" s="18" t="inlineStr">
        <is>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is>
      </c>
      <c r="F49" s="302" t="n">
        <v>3</v>
      </c>
      <c r="G49" s="302" t="n"/>
      <c r="H49" s="27" t="n"/>
    </row>
    <row r="50" ht="202.5" customHeight="1">
      <c r="A50" s="5" t="n">
        <v>7</v>
      </c>
      <c r="B50" s="18" t="inlineStr">
        <is>
          <t>Product Evaluation</t>
        </is>
      </c>
      <c r="C50" s="79"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50" s="19" t="inlineStr">
        <is>
          <t>검사 완제품이 기준을 충족할 확률은 얼마나 됩니까?</t>
        </is>
      </c>
      <c r="E50" s="18" t="inlineStr">
        <is>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is>
      </c>
      <c r="F50" s="302" t="n">
        <v>3</v>
      </c>
      <c r="G50" s="302" t="n"/>
      <c r="H50" s="27" t="n"/>
    </row>
    <row r="51" ht="30.75" customFormat="1" customHeight="1" s="22">
      <c r="A51" s="267" t="inlineStr">
        <is>
          <t>Section 6- Packing and Shipment</t>
        </is>
      </c>
      <c r="B51" s="351" t="n"/>
      <c r="C51" s="351" t="n"/>
      <c r="D51" s="350" t="n"/>
      <c r="E51" s="267" t="inlineStr">
        <is>
          <t>Sub total (Score)</t>
        </is>
      </c>
      <c r="F51" s="7">
        <f>SUM(F53:F55)</f>
        <v/>
      </c>
      <c r="G51" s="7">
        <f>SUM(G53:G55)</f>
        <v/>
      </c>
      <c r="H51" s="268" t="inlineStr">
        <is>
          <t>COMMENT</t>
        </is>
      </c>
    </row>
    <row r="52" ht="30.75" customFormat="1" customHeight="1" s="2">
      <c r="A52" s="354" t="n"/>
      <c r="B52" s="355" t="n"/>
      <c r="C52" s="355" t="n"/>
      <c r="D52" s="333" t="n"/>
      <c r="E52" s="267" t="inlineStr">
        <is>
          <t xml:space="preserve">Achievement rate </t>
        </is>
      </c>
      <c r="F52" s="8">
        <f>F51/100</f>
        <v/>
      </c>
      <c r="G52" s="8">
        <f>G51/1/100</f>
        <v/>
      </c>
      <c r="H52" s="329" t="n"/>
    </row>
    <row r="53" ht="205.5" customHeight="1">
      <c r="A53" s="5" t="n">
        <v>1</v>
      </c>
      <c r="B53" s="18" t="inlineStr">
        <is>
          <t>Standard</t>
        </is>
      </c>
      <c r="C53" s="79" t="inlineStr">
        <is>
          <t xml:space="preserve">Are there packing work standard management criteria by part/item? If so, are they distributed to the relevant process, and under revised management?
</t>
        </is>
      </c>
      <c r="D53" s="19" t="inlineStr">
        <is>
          <t>제품 포장 관리 기준을 갖추고 있습니다. 실제로 준수가 이루어지나요?</t>
        </is>
      </c>
      <c r="E53" s="18" t="inlineStr">
        <is>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is>
      </c>
      <c r="F53" s="302" t="n">
        <v>5</v>
      </c>
      <c r="G53" s="302" t="n"/>
      <c r="H53" s="27" t="n"/>
    </row>
    <row r="54" ht="203.25" customHeight="1">
      <c r="A54" s="5" t="n">
        <v>2</v>
      </c>
      <c r="B54" s="18" t="inlineStr">
        <is>
          <t>FIFO (선입선출)</t>
        </is>
      </c>
      <c r="C54" s="79" t="inlineStr">
        <is>
          <t xml:space="preserve">Is there first-in, first-out for products in need of life-cycle management and history management of products, and are the products managed by the system? (color difference, before/after design change)
  </t>
        </is>
      </c>
      <c r="D54" s="19" t="inlineStr">
        <is>
          <t>물품을 수출할 때 FIFO(선입선출) 규정을 준수하나요?</t>
        </is>
      </c>
      <c r="E54" s="18" t="inlineStr">
        <is>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is>
      </c>
      <c r="F54" s="302" t="n">
        <v>5</v>
      </c>
      <c r="G54" s="302" t="n"/>
      <c r="H54" s="27" t="n"/>
    </row>
    <row r="55" ht="246" customHeight="1">
      <c r="A55" s="5" t="n">
        <v>3</v>
      </c>
      <c r="B55" s="50" t="inlineStr">
        <is>
          <t>Environment</t>
        </is>
      </c>
      <c r="C55" s="79" t="inlineStr">
        <is>
          <t xml:space="preserve">Is the environmental condition of the warehouse under measurement control regularly? (temperature/humidity)
 </t>
        </is>
      </c>
      <c r="D55" s="19" t="inlineStr">
        <is>
          <t>완제품 보관환경(온도,습도)이 관리되고 있나요?</t>
        </is>
      </c>
      <c r="E55" s="12" t="inlineStr">
        <is>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is>
      </c>
      <c r="F55" s="302" t="n">
        <v>5</v>
      </c>
      <c r="G55" s="302" t="n"/>
      <c r="H55" s="27" t="n"/>
    </row>
    <row r="56" ht="35.25" customFormat="1" customHeight="1" s="2">
      <c r="A56" s="283" t="inlineStr">
        <is>
          <t>SCORE OF EVALUATION</t>
        </is>
      </c>
      <c r="B56" s="351" t="n"/>
      <c r="C56" s="351" t="n"/>
      <c r="D56" s="351" t="n"/>
      <c r="E56" s="351" t="n"/>
      <c r="F56" s="351" t="n"/>
      <c r="G56" s="351" t="n"/>
      <c r="H56" s="351" t="n"/>
    </row>
    <row r="57" ht="22.5" customHeight="1">
      <c r="A57" s="284" t="inlineStr">
        <is>
          <t>No</t>
        </is>
      </c>
      <c r="B57" s="284" t="inlineStr">
        <is>
          <t>Process</t>
        </is>
      </c>
      <c r="C57" s="350" t="n"/>
      <c r="D57" s="289" t="inlineStr">
        <is>
          <t xml:space="preserve">Number of evaluation items </t>
        </is>
      </c>
      <c r="E57" s="284" t="inlineStr">
        <is>
          <t>Evaluation result</t>
        </is>
      </c>
      <c r="F57" s="321" t="n"/>
      <c r="G57" s="321" t="n"/>
      <c r="H57" s="320" t="n"/>
    </row>
    <row r="58" ht="36.75" customHeight="1">
      <c r="A58" s="329" t="n"/>
      <c r="B58" s="354" t="n"/>
      <c r="C58" s="333" t="n"/>
      <c r="D58" s="354" t="n"/>
      <c r="E58" s="284" t="inlineStr">
        <is>
          <t>Standard Score</t>
        </is>
      </c>
      <c r="F58" s="284" t="inlineStr">
        <is>
          <t>Actual Score</t>
        </is>
      </c>
      <c r="G58" s="320" t="n"/>
      <c r="H58" s="284" t="inlineStr">
        <is>
          <t xml:space="preserve">Achievement rate </t>
        </is>
      </c>
    </row>
    <row r="59" ht="36.75" customHeight="1">
      <c r="A59" s="54" t="n">
        <v>1</v>
      </c>
      <c r="B59" s="358" t="inlineStr">
        <is>
          <t xml:space="preserve"> Warehouse for Materials</t>
        </is>
      </c>
      <c r="C59" s="359" t="n"/>
      <c r="D59" s="55" t="n">
        <v>3</v>
      </c>
      <c r="E59" s="41">
        <f>F10</f>
        <v/>
      </c>
      <c r="F59" s="41">
        <f>G10</f>
        <v/>
      </c>
      <c r="G59" s="320" t="n"/>
      <c r="H59" s="61">
        <f>F59/100</f>
        <v/>
      </c>
    </row>
    <row r="60" ht="36.75" customHeight="1">
      <c r="A60" s="54" t="n">
        <v>2</v>
      </c>
      <c r="B60" s="360" t="inlineStr">
        <is>
          <t>Material Inspection  and  Preparation</t>
        </is>
      </c>
      <c r="C60" s="361" t="n"/>
      <c r="D60" s="55" t="n">
        <v>4</v>
      </c>
      <c r="E60" s="41">
        <f>F16</f>
        <v/>
      </c>
      <c r="F60" s="41">
        <f>G16</f>
        <v/>
      </c>
      <c r="G60" s="320" t="n"/>
      <c r="H60" s="61">
        <f>F60/100</f>
        <v/>
      </c>
    </row>
    <row r="61" ht="36.75" customHeight="1">
      <c r="A61" s="54" t="n">
        <v>3</v>
      </c>
      <c r="B61" s="360" t="inlineStr">
        <is>
          <t>Control Tooling</t>
        </is>
      </c>
      <c r="C61" s="361" t="n"/>
      <c r="D61" s="55" t="n">
        <v>7</v>
      </c>
      <c r="E61" s="41">
        <f>F23</f>
        <v/>
      </c>
      <c r="F61" s="41">
        <f>G23</f>
        <v/>
      </c>
      <c r="G61" s="320" t="n"/>
      <c r="H61" s="61">
        <f>F61/100</f>
        <v/>
      </c>
    </row>
    <row r="62" ht="36.75" customHeight="1">
      <c r="A62" s="54" t="n">
        <v>4</v>
      </c>
      <c r="B62" s="360" t="inlineStr">
        <is>
          <t xml:space="preserve"> Production Process</t>
        </is>
      </c>
      <c r="C62" s="361" t="n"/>
      <c r="D62" s="55" t="n">
        <v>6</v>
      </c>
      <c r="E62" s="41">
        <f>F33</f>
        <v/>
      </c>
      <c r="F62" s="41">
        <f>G33</f>
        <v/>
      </c>
      <c r="G62" s="320" t="n"/>
      <c r="H62" s="61">
        <f>F62/100</f>
        <v/>
      </c>
    </row>
    <row r="63" ht="36.75" customHeight="1">
      <c r="A63" s="54" t="n">
        <v>5</v>
      </c>
      <c r="B63" s="360" t="inlineStr">
        <is>
          <t>Product Evaluation (OQC)</t>
        </is>
      </c>
      <c r="C63" s="361" t="n"/>
      <c r="D63" s="55" t="n">
        <v>7</v>
      </c>
      <c r="E63" s="41">
        <f>F42</f>
        <v/>
      </c>
      <c r="F63" s="41">
        <f>G42</f>
        <v/>
      </c>
      <c r="G63" s="320" t="n"/>
      <c r="H63" s="61">
        <f>F63/100</f>
        <v/>
      </c>
    </row>
    <row r="64" ht="36.75" customHeight="1">
      <c r="A64" s="54" t="n">
        <v>6</v>
      </c>
      <c r="B64" s="360" t="inlineStr">
        <is>
          <t>Packing and Shipment</t>
        </is>
      </c>
      <c r="C64" s="361" t="n"/>
      <c r="D64" s="55" t="n">
        <v>3</v>
      </c>
      <c r="E64" s="41">
        <f>F51</f>
        <v/>
      </c>
      <c r="F64" s="41">
        <f>G51</f>
        <v/>
      </c>
      <c r="G64" s="320" t="n"/>
      <c r="H64" s="61">
        <f>F64/100</f>
        <v/>
      </c>
    </row>
    <row r="65" ht="39" customHeight="1">
      <c r="A65" s="284" t="inlineStr">
        <is>
          <t>TOTAL</t>
        </is>
      </c>
      <c r="B65" s="321" t="n"/>
      <c r="C65" s="320" t="n"/>
      <c r="D65" s="289">
        <f>SUM(D59:D64)</f>
        <v/>
      </c>
      <c r="E65" s="284">
        <f>SUM(E59:E64)</f>
        <v/>
      </c>
      <c r="F65" s="284" t="n"/>
      <c r="G65" s="320" t="n"/>
      <c r="H65" s="85">
        <f>SUM(H43:H47)</f>
        <v/>
      </c>
    </row>
    <row r="66" ht="35.25" customHeight="1">
      <c r="A66" s="298" t="inlineStr">
        <is>
          <t>RANK</t>
        </is>
      </c>
      <c r="B66" s="321" t="n"/>
      <c r="C66" s="320" t="n"/>
      <c r="D66" s="299" t="inlineStr">
        <is>
          <t>RESULT</t>
        </is>
      </c>
      <c r="E66" s="320" t="n"/>
      <c r="F66" s="300" t="inlineStr">
        <is>
          <t>공급업체 확인/ 공급업체 확인</t>
        </is>
      </c>
      <c r="G66" s="321" t="n"/>
      <c r="H66" s="320" t="n"/>
    </row>
    <row r="67" ht="36" customHeight="1">
      <c r="A67" s="50" t="inlineStr">
        <is>
          <t>A</t>
        </is>
      </c>
      <c r="B67" s="51" t="inlineStr">
        <is>
          <t>≥ 95%</t>
        </is>
      </c>
      <c r="C67" s="80" t="inlineStr">
        <is>
          <t>훌륭하다/아주 좋다</t>
        </is>
      </c>
      <c r="D67" s="301" t="n"/>
      <c r="E67" s="320" t="n"/>
      <c r="F67" s="302" t="n"/>
      <c r="G67" s="351" t="n"/>
      <c r="H67" s="350" t="n"/>
    </row>
    <row r="68" ht="36" customHeight="1">
      <c r="A68" s="50" t="inlineStr">
        <is>
          <t>B</t>
        </is>
      </c>
      <c r="B68" s="51" t="inlineStr">
        <is>
          <t>85-94%</t>
        </is>
      </c>
      <c r="C68" s="80" t="inlineStr">
        <is>
          <t>좋다, 계속 개선이 필요하다/ 좋다, 계속 자기 개선이 필요하다</t>
        </is>
      </c>
      <c r="D68" s="301" t="n"/>
      <c r="E68" s="320" t="n"/>
      <c r="F68" s="352" t="n"/>
      <c r="H68" s="353" t="n"/>
    </row>
    <row r="69" ht="36" customHeight="1">
      <c r="A69" s="50" t="inlineStr">
        <is>
          <t>C</t>
        </is>
      </c>
      <c r="B69" s="51" t="inlineStr">
        <is>
          <t>75-84%</t>
        </is>
      </c>
      <c r="C69" s="80" t="inlineStr">
        <is>
          <t>수락하다, 개선이 필요하다/ 합격하다, 개선이 필요하다</t>
        </is>
      </c>
      <c r="D69" s="362" t="n"/>
      <c r="E69" s="350" t="n"/>
      <c r="F69" s="352" t="n"/>
      <c r="H69" s="353" t="n"/>
    </row>
    <row r="70" ht="36" customHeight="1">
      <c r="A70" s="50" t="inlineStr">
        <is>
          <t>D</t>
        </is>
      </c>
      <c r="B70" s="51" t="inlineStr">
        <is>
          <t>65-74%</t>
        </is>
      </c>
      <c r="C70" s="80" t="inlineStr">
        <is>
          <t>나쁨, 필요할 때 재평가/ 나쁨, 필요할 때 재평가</t>
        </is>
      </c>
      <c r="D70" s="363" t="n"/>
      <c r="E70" s="333" t="n"/>
      <c r="F70" s="352" t="n"/>
      <c r="H70" s="353" t="n"/>
    </row>
    <row r="71" ht="36" customHeight="1">
      <c r="A71" s="50" t="inlineStr">
        <is>
          <t>E</t>
        </is>
      </c>
      <c r="B71" s="51" t="inlineStr">
        <is>
          <t>≤   64%</t>
        </is>
      </c>
      <c r="C71" s="80" t="inlineStr">
        <is>
          <t>받아들이지 않는다/받아들이지 않는다</t>
        </is>
      </c>
      <c r="D71" s="301" t="n"/>
      <c r="E71" s="320" t="n"/>
      <c r="F71" s="354" t="n"/>
      <c r="G71" s="355" t="n"/>
      <c r="H71" s="333" t="n"/>
    </row>
    <row r="72" ht="33.75" customHeight="1">
      <c r="A72" s="298" t="inlineStr">
        <is>
          <t>Confirmation</t>
        </is>
      </c>
      <c r="B72" s="320" t="n"/>
      <c r="C72" s="81" t="inlineStr">
        <is>
          <t>감사/평가위원</t>
        </is>
      </c>
      <c r="D72" s="298" t="inlineStr">
        <is>
          <t>감사/평가위원</t>
        </is>
      </c>
      <c r="E72" s="298" t="inlineStr">
        <is>
          <t>감사/평가위원</t>
        </is>
      </c>
      <c r="F72" s="298" t="inlineStr">
        <is>
          <t>평가팀장/평가팀장</t>
        </is>
      </c>
      <c r="G72" s="321" t="n"/>
      <c r="H72" s="320" t="n"/>
    </row>
    <row r="73" ht="39.75" customHeight="1">
      <c r="A73" s="316" t="inlineStr">
        <is>
          <t>서명/서명</t>
        </is>
      </c>
      <c r="B73" s="364" t="n"/>
      <c r="C73" s="82" t="n"/>
      <c r="D73" s="44" t="n"/>
      <c r="E73" s="43" t="n"/>
      <c r="F73" s="365" t="n"/>
      <c r="G73" s="366" t="n"/>
      <c r="H73" s="367" t="n"/>
    </row>
    <row r="74" ht="24" customHeight="1">
      <c r="A74" s="312" t="inlineStr">
        <is>
          <t>Name/ 성명</t>
        </is>
      </c>
      <c r="B74" s="368" t="n"/>
      <c r="C74" s="83" t="n"/>
      <c r="D74" s="46" t="n"/>
      <c r="E74" s="45" t="n"/>
      <c r="F74" s="369" t="n"/>
      <c r="G74" s="370" t="n"/>
      <c r="H74" s="368" t="n"/>
    </row>
    <row r="75" ht="24" customHeight="1">
      <c r="A75" s="312" t="inlineStr">
        <is>
          <t>ID/카드번호</t>
        </is>
      </c>
      <c r="B75" s="368" t="n"/>
      <c r="C75" s="83" t="n"/>
      <c r="D75" s="46" t="n"/>
      <c r="E75" s="45" t="n"/>
      <c r="F75" s="369" t="n"/>
      <c r="G75" s="370" t="n"/>
      <c r="H75" s="368" t="n"/>
    </row>
    <row r="76" ht="24" customHeight="1">
      <c r="A76" s="312" t="inlineStr">
        <is>
          <t>Dept/ 부서</t>
        </is>
      </c>
      <c r="B76" s="368" t="n"/>
      <c r="C76" s="83" t="n"/>
      <c r="D76" s="46" t="n"/>
      <c r="E76" s="45" t="n"/>
      <c r="F76" s="369" t="n"/>
      <c r="G76" s="370" t="n"/>
      <c r="H76" s="368" t="n"/>
    </row>
    <row r="77" ht="24" customHeight="1">
      <c r="A77" s="312" t="inlineStr">
        <is>
          <t>Job Title/ 직위</t>
        </is>
      </c>
      <c r="B77" s="368" t="n"/>
      <c r="C77" s="83" t="n"/>
      <c r="D77" s="46" t="n"/>
      <c r="E77" s="45" t="n"/>
      <c r="F77" s="369" t="n"/>
      <c r="G77" s="370" t="n"/>
      <c r="H77" s="368" t="n"/>
    </row>
    <row r="78" ht="24" customHeight="1">
      <c r="A78" s="307" t="inlineStr">
        <is>
          <t>Date/ 날짜</t>
        </is>
      </c>
      <c r="B78" s="371" t="n"/>
      <c r="C78" s="84" t="n"/>
      <c r="D78" s="48" t="n"/>
      <c r="E78" s="47" t="n"/>
      <c r="F78" s="372" t="n"/>
      <c r="G78" s="373" t="n"/>
      <c r="H78" s="371" t="n"/>
    </row>
    <row r="79" ht="34.5" customHeight="1">
      <c r="A79" s="311" t="inlineStr">
        <is>
          <t>PUR.04.00.05. 발행일 01/01/2019</t>
        </is>
      </c>
      <c r="B79" s="351" t="n"/>
      <c r="C79" s="75" t="inlineStr">
        <is>
          <t>보관 장소: 부서 thu mua</t>
        </is>
      </c>
      <c r="D79" s="75" t="inlineStr">
        <is>
          <t>보관 형태: 하드 카피</t>
        </is>
      </c>
      <c r="E79" s="75" t="inlineStr">
        <is>
          <t>보관 기간: 03년</t>
        </is>
      </c>
      <c r="F79" s="75" t="inlineStr">
        <is>
          <t>파기방법 : 절단/소각</t>
        </is>
      </c>
      <c r="H79" s="75" t="inlineStr">
        <is>
          <t>마지막 수정: 00</t>
        </is>
      </c>
    </row>
  </sheetData>
  <mergeCells count="72">
    <mergeCell ref="D69:E69"/>
    <mergeCell ref="A9:H9"/>
    <mergeCell ref="B62:C62"/>
    <mergeCell ref="A66:C66"/>
    <mergeCell ref="F76:H76"/>
    <mergeCell ref="A73:B73"/>
    <mergeCell ref="B59:C59"/>
    <mergeCell ref="A51:D52"/>
    <mergeCell ref="F63:G63"/>
    <mergeCell ref="F65:G65"/>
    <mergeCell ref="E57:H57"/>
    <mergeCell ref="H16:H18"/>
    <mergeCell ref="C5:D5"/>
    <mergeCell ref="F75:H75"/>
    <mergeCell ref="A16:D17"/>
    <mergeCell ref="F66:H66"/>
    <mergeCell ref="A79:B79"/>
    <mergeCell ref="A1:B3"/>
    <mergeCell ref="A6:B6"/>
    <mergeCell ref="C4:D4"/>
    <mergeCell ref="F3:G3"/>
    <mergeCell ref="F59:G59"/>
    <mergeCell ref="A78:B78"/>
    <mergeCell ref="F72:H72"/>
    <mergeCell ref="D57:D58"/>
    <mergeCell ref="A7:B7"/>
    <mergeCell ref="H51:H52"/>
    <mergeCell ref="H33:H35"/>
    <mergeCell ref="F5:G5"/>
    <mergeCell ref="A75:B75"/>
    <mergeCell ref="B61:C61"/>
    <mergeCell ref="B60:C60"/>
    <mergeCell ref="A74:B74"/>
    <mergeCell ref="D70:E70"/>
    <mergeCell ref="D66:E66"/>
    <mergeCell ref="F77:H77"/>
    <mergeCell ref="C1:E2"/>
    <mergeCell ref="A56:H56"/>
    <mergeCell ref="F2:G2"/>
    <mergeCell ref="A57:A58"/>
    <mergeCell ref="F62:G62"/>
    <mergeCell ref="A77:B77"/>
    <mergeCell ref="A76:B76"/>
    <mergeCell ref="A33:D34"/>
    <mergeCell ref="A42:D43"/>
    <mergeCell ref="A5:B5"/>
    <mergeCell ref="H10:H12"/>
    <mergeCell ref="A65:C65"/>
    <mergeCell ref="F73:H73"/>
    <mergeCell ref="F67:H71"/>
    <mergeCell ref="F4:H4"/>
    <mergeCell ref="A23:D24"/>
    <mergeCell ref="D71:E71"/>
    <mergeCell ref="F78:H78"/>
    <mergeCell ref="F58:G58"/>
    <mergeCell ref="A10:D11"/>
    <mergeCell ref="F61:G61"/>
    <mergeCell ref="A4:B4"/>
    <mergeCell ref="A72:B72"/>
    <mergeCell ref="D68:E68"/>
    <mergeCell ref="B64:C64"/>
    <mergeCell ref="F6:H6"/>
    <mergeCell ref="D67:E67"/>
    <mergeCell ref="F60:G60"/>
    <mergeCell ref="H42:H43"/>
    <mergeCell ref="F74:H74"/>
    <mergeCell ref="B63:C63"/>
    <mergeCell ref="F7:H7"/>
    <mergeCell ref="C3:D3"/>
    <mergeCell ref="F1:G1"/>
    <mergeCell ref="B57:C58"/>
    <mergeCell ref="F64:G64"/>
  </mergeCells>
  <printOptions horizontalCentered="1"/>
  <pageMargins left="0.5" right="0.5" top="0.5" bottom="0" header="0.5" footer="0"/>
  <pageSetup orientation="landscape" paperSize="9" scale="37"/>
  <rowBreaks count="3" manualBreakCount="3">
    <brk id="15" min="0" max="7" man="1"/>
    <brk id="32" min="0" max="7" man="1"/>
    <brk id="52" min="0" max="7"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msi</dc:creator>
  <dcterms:created xmlns:dcterms="http://purl.org/dc/terms/" xmlns:xsi="http://www.w3.org/2001/XMLSchema-instance" xsi:type="dcterms:W3CDTF">2019-06-28T07:07:49Z</dcterms:created>
  <dcterms:modified xmlns:dcterms="http://purl.org/dc/terms/" xmlns:xsi="http://www.w3.org/2001/XMLSchema-instance" xsi:type="dcterms:W3CDTF">2026-04-10T11:05:39Z</dcterms:modified>
  <cp:lastModifiedBy>VPSX-QC</cp:lastModifiedBy>
  <cp:lastPrinted>2019-08-16T02:49:45Z</cp:lastPrinted>
</cp:coreProperties>
</file>