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0730" windowHeight="8760" tabRatio="826" firstSheet="0" activeTab="4" autoFilterDateGrouping="1"/>
  </bookViews>
  <sheets>
    <sheet xmlns:r="http://schemas.openxmlformats.org/officeDocument/2006/relationships" name="Convert" sheetId="1" state="visible" r:id="rId1"/>
    <sheet xmlns:r="http://schemas.openxmlformats.org/officeDocument/2006/relationships" name="1" sheetId="2" state="visible" r:id="rId2"/>
    <sheet xmlns:r="http://schemas.openxmlformats.org/officeDocument/2006/relationships" name="2" sheetId="3" state="visible" r:id="rId3"/>
    <sheet xmlns:r="http://schemas.openxmlformats.org/officeDocument/2006/relationships" name="3" sheetId="4" state="visible" r:id="rId4"/>
    <sheet xmlns:r="http://schemas.openxmlformats.org/officeDocument/2006/relationships" name="4" sheetId="5" state="visible" r:id="rId5"/>
    <sheet xmlns:r="http://schemas.openxmlformats.org/officeDocument/2006/relationships" name="Schedule" sheetId="6" state="visible" r:id="rId6"/>
    <sheet xmlns:r="http://schemas.openxmlformats.org/officeDocument/2006/relationships" name="RD-PR-006-003 " sheetId="7" state="visible" r:id="rId7"/>
  </sheets>
  <externalReferences>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s>
  <definedNames>
    <definedName name="\a">#REF!</definedName>
    <definedName name="\p">#REF!</definedName>
    <definedName name="\w">#REF!</definedName>
    <definedName name="_">#REF!</definedName>
    <definedName name="_?쨲?f">#REF!</definedName>
    <definedName name="__?쨲?f">#REF!</definedName>
    <definedName name="___?쨲?f">#REF!</definedName>
    <definedName name="__1_?쨲?f">#REF!</definedName>
    <definedName name="_1">#REF!</definedName>
    <definedName name="_1_?쨲?f">#REF!</definedName>
    <definedName name="_1_0Print_Area">#REF!</definedName>
    <definedName name="_111">#REF!</definedName>
    <definedName name="_1Print_Area">#REF!</definedName>
    <definedName name="_2">#REF!</definedName>
    <definedName name="_2_?쨲?f">#REF!</definedName>
    <definedName name="_20">#REF!</definedName>
    <definedName name="_2Print_Area">#REF!</definedName>
    <definedName name="_3_0_0입">#REF!</definedName>
    <definedName name="_30">#REF!</definedName>
    <definedName name="_3입">#REF!</definedName>
    <definedName name="_4_0_0차">#REF!</definedName>
    <definedName name="_40">#REF!</definedName>
    <definedName name="_4차">#REF!</definedName>
    <definedName name="_5입">#REF!</definedName>
    <definedName name="_6차">#REF!</definedName>
    <definedName name="_93">'[1]W-현원가'!#REF!</definedName>
    <definedName name="_93A">'[1]W-현원가'!#REF!</definedName>
    <definedName name="_93B">'[1]W-현원가'!#REF!</definedName>
    <definedName name="_94">'[1]W-현원가'!#REF!</definedName>
    <definedName name="_ASD1">[2]HP1AMLIST!#REF!</definedName>
    <definedName name="_Dist_Bin" hidden="1">#REF!</definedName>
    <definedName name="_Fill" hidden="1">#REF!</definedName>
    <definedName name="_Key1" hidden="1">#REF!</definedName>
    <definedName name="_Order1" hidden="1">255</definedName>
    <definedName name="_Order2" hidden="1">255</definedName>
    <definedName name="_TTT1">#REF!</definedName>
    <definedName name="￥">[3]작성양식!#REF!</definedName>
    <definedName name="√">"SQRT"</definedName>
    <definedName name="A">#REF!</definedName>
    <definedName name="AAA">#REF!</definedName>
    <definedName name="AB">#REF!</definedName>
    <definedName name="AS.BB">#REF!</definedName>
    <definedName name="ASD">[2]HP1AMLIST!#REF!</definedName>
    <definedName name="B">[2]HP1AMLIST!#REF!</definedName>
    <definedName name="BBB">#REF!</definedName>
    <definedName name="BLOCK">#REF!</definedName>
    <definedName name="CC">#REF!</definedName>
    <definedName name="CFprprprrkrkrkrkpdpddkdkdkdkdkd">[4]분석mast!#REF!</definedName>
    <definedName name="CODE">#REF!</definedName>
    <definedName name="_xlnm.Criteria">#REF!</definedName>
    <definedName name="d">#REF!</definedName>
    <definedName name="_xlnm.Database">#REF!</definedName>
    <definedName name="DOL">#REF!</definedName>
    <definedName name="EXP">#REF!</definedName>
    <definedName name="FFF">#REF!</definedName>
    <definedName name="fgPRRKRKRKTBTB1RT">[5]인원계획!#REF!</definedName>
    <definedName name="FGR12C15TBTB1RTDKDK">#REF!</definedName>
    <definedName name="Full">#REF!</definedName>
    <definedName name="FullPb">#REF!</definedName>
    <definedName name="H11A01K">#REF!</definedName>
    <definedName name="HEAT">#REF!</definedName>
    <definedName name="IMPORT">#REF!</definedName>
    <definedName name="jjj">#REF!</definedName>
    <definedName name="kkk">#REF!</definedName>
    <definedName name="LANOS">#REF!</definedName>
    <definedName name="LIM">#REF!</definedName>
    <definedName name="MA">[6]구동!#REF!</definedName>
    <definedName name="Macro11">[7]!Macro11</definedName>
    <definedName name="Macro12">[7]!Macro12</definedName>
    <definedName name="Macro13">[7]!Macro13</definedName>
    <definedName name="Macro14">[7]!Macro14</definedName>
    <definedName name="mtg">#REF!</definedName>
    <definedName name="MX">[8]구동!#REF!</definedName>
    <definedName name="MZ">[6]구동!#REF!</definedName>
    <definedName name="M행">#REF!</definedName>
    <definedName name="n">#REF!</definedName>
    <definedName name="N행">#REF!</definedName>
    <definedName name="O">#REF!</definedName>
    <definedName name="O행">#REF!</definedName>
    <definedName name="PRINT_AREA_MI">#REF!</definedName>
    <definedName name="Print_Titles_MI">#REF!</definedName>
    <definedName name="P행">#REF!</definedName>
    <definedName name="Q행">#REF!</definedName>
    <definedName name="record">[9]직원신상!#REF!</definedName>
    <definedName name="REDATA2">#REF!</definedName>
    <definedName name="REDATA4">#REF!</definedName>
    <definedName name="REDATA5">#REF!</definedName>
    <definedName name="REDATA6">#REF!</definedName>
    <definedName name="rgrgrgr">#REF!</definedName>
    <definedName name="RTCLCRCRCRCRCRCRDLRTDKDK">[9]직원신상!#REF!</definedName>
    <definedName name="RTCLDLRTDK">[9]직원신상!#REF!</definedName>
    <definedName name="RT울산시RTDKDK">#REF!</definedName>
    <definedName name="R행">#REF!</definedName>
    <definedName name="sdad">#REF!</definedName>
    <definedName name="S행">#REF!</definedName>
    <definedName name="t">#REF!</definedName>
    <definedName name="test">[10]Sheet1!#REF!</definedName>
    <definedName name="TEST1">[10]Sheet1!#REF!</definedName>
    <definedName name="test2">#REF!</definedName>
    <definedName name="TOPMENU6">#REF!</definedName>
    <definedName name="TTT">#REF!</definedName>
    <definedName name="T행">#REF!</definedName>
    <definedName name="U행">#REF!</definedName>
    <definedName name="VM">[8]구동!#REF!</definedName>
    <definedName name="V행">#REF!</definedName>
    <definedName name="W행">#REF!</definedName>
    <definedName name="X행">#REF!</definedName>
    <definedName name="YEN">#REF!</definedName>
    <definedName name="YY">#REF!</definedName>
    <definedName name="π">PI()</definedName>
    <definedName name="기안갑">#REF!</definedName>
    <definedName name="기안을">#REF!</definedName>
    <definedName name="ㄴㄹ" hidden="1">'[11]4.3 첨부1'!$A$99:$B$208</definedName>
    <definedName name="대림PL">[12]ML!#REF!</definedName>
    <definedName name="대회">#REF!</definedName>
    <definedName name="승인원양식1_2">#REF!</definedName>
    <definedName name="입범석">#REF!</definedName>
    <definedName name="전장su">#REF!</definedName>
    <definedName name="제목">#REF!</definedName>
    <definedName name="차체2">#REF!</definedName>
    <definedName name="\a" localSheetId="1">#REF!</definedName>
    <definedName name="\p" localSheetId="1">#REF!</definedName>
    <definedName name="\w" localSheetId="1">#REF!</definedName>
    <definedName name="_" localSheetId="1">#REF!</definedName>
    <definedName name="_?쨲?f" localSheetId="1">#REF!</definedName>
    <definedName name="__?쨲?f" localSheetId="1">#REF!</definedName>
    <definedName name="__1_?쨲?f" localSheetId="1">#REF!</definedName>
    <definedName name="_1" localSheetId="1">#REF!</definedName>
    <definedName name="_1_?쨲?f" localSheetId="1">#REF!</definedName>
    <definedName name="_1_0Print_Area" localSheetId="1">#REF!</definedName>
    <definedName name="_111" localSheetId="1">#REF!</definedName>
    <definedName name="_1Print_Area" localSheetId="1">#REF!</definedName>
    <definedName name="_2" localSheetId="1">#REF!</definedName>
    <definedName name="_2_?쨲?f" localSheetId="1">#REF!</definedName>
    <definedName name="_20" localSheetId="1">#REF!</definedName>
    <definedName name="_2Print_Area" localSheetId="1">#REF!</definedName>
    <definedName name="_3_0_0입" localSheetId="1">#REF!</definedName>
    <definedName name="_30" localSheetId="1">#REF!</definedName>
    <definedName name="_3입" localSheetId="1">#REF!</definedName>
    <definedName name="_4_0_0차" localSheetId="1">#REF!</definedName>
    <definedName name="_40" localSheetId="1">#REF!</definedName>
    <definedName name="_4차" localSheetId="1">#REF!</definedName>
    <definedName name="_5입" localSheetId="1">#REF!</definedName>
    <definedName name="_6차" localSheetId="1">#REF!</definedName>
    <definedName name="_93" localSheetId="1">'[1]W-현원가'!#REF!</definedName>
    <definedName name="_93A" localSheetId="1">'[1]W-현원가'!#REF!</definedName>
    <definedName name="_93B" localSheetId="1">'[1]W-현원가'!#REF!</definedName>
    <definedName name="_94" localSheetId="1">'[1]W-현원가'!#REF!</definedName>
    <definedName name="_Dist_Bin" localSheetId="1" hidden="1">#REF!</definedName>
    <definedName name="_Fill" localSheetId="1" hidden="1">#REF!</definedName>
    <definedName name="_Key1" localSheetId="1" hidden="1">#REF!</definedName>
    <definedName name="_TTT1" localSheetId="1">#REF!</definedName>
    <definedName name="￥" localSheetId="1">[3]작성양식!#REF!</definedName>
    <definedName name="A" localSheetId="1">#REF!</definedName>
    <definedName name="AAA" localSheetId="1">#REF!</definedName>
    <definedName name="AB" localSheetId="1">#REF!</definedName>
    <definedName name="AS.BB" localSheetId="1">#REF!</definedName>
    <definedName name="ASD" localSheetId="1">[2]HP1AMLIST!#REF!</definedName>
    <definedName name="B" localSheetId="1">[2]HP1AMLIST!#REF!</definedName>
    <definedName name="BBB" localSheetId="1">#REF!</definedName>
    <definedName name="BLOCK" localSheetId="1">#REF!</definedName>
    <definedName name="CC" localSheetId="1">#REF!</definedName>
    <definedName name="CFprprprrkrkrkrkpdpddkdkdkdkdkd" localSheetId="1">[4]분석mast!#REF!</definedName>
    <definedName name="CODE" localSheetId="1">#REF!</definedName>
    <definedName name="d" localSheetId="1">#REF!</definedName>
    <definedName name="_xlnm.Database" localSheetId="1">#REF!</definedName>
    <definedName name="DOL" localSheetId="1">#REF!</definedName>
    <definedName name="EXP" localSheetId="1">#REF!</definedName>
    <definedName name="FFF" localSheetId="1">#REF!</definedName>
    <definedName name="fgPRRKRKRKTBTB1RT" localSheetId="1">[5]인원계획!#REF!</definedName>
    <definedName name="FGR12C15TBTB1RTDKDK" localSheetId="1">#REF!</definedName>
    <definedName name="Full" localSheetId="1">#REF!</definedName>
    <definedName name="FullPb" localSheetId="1">#REF!</definedName>
    <definedName name="H11A01K" localSheetId="1">#REF!</definedName>
    <definedName name="HEAT" localSheetId="1">#REF!</definedName>
    <definedName name="IMPORT" localSheetId="1">#REF!</definedName>
    <definedName name="jjj" localSheetId="1">#REF!</definedName>
    <definedName name="kkk" localSheetId="1">#REF!</definedName>
    <definedName name="LANOS" localSheetId="1">#REF!</definedName>
    <definedName name="LIM" localSheetId="1">#REF!</definedName>
    <definedName name="MA" localSheetId="1">[6]구동!#REF!</definedName>
    <definedName name="mtg" localSheetId="1">#REF!</definedName>
    <definedName name="MX" localSheetId="1">[8]구동!#REF!</definedName>
    <definedName name="MZ" localSheetId="1">[6]구동!#REF!</definedName>
    <definedName name="M행" localSheetId="1">#REF!</definedName>
    <definedName name="n" localSheetId="1">#REF!</definedName>
    <definedName name="N행" localSheetId="1">#REF!</definedName>
    <definedName name="O" localSheetId="1">#REF!</definedName>
    <definedName name="O행" localSheetId="1">#REF!</definedName>
    <definedName name="PRINT_AREA_MI" localSheetId="1">#REF!</definedName>
    <definedName name="Print_Titles_MI" localSheetId="1">#REF!</definedName>
    <definedName name="P행" localSheetId="1">#REF!</definedName>
    <definedName name="Q행" localSheetId="1">#REF!</definedName>
    <definedName name="record" localSheetId="1">[9]직원신상!#REF!</definedName>
    <definedName name="REDATA2" localSheetId="1">#REF!</definedName>
    <definedName name="REDATA4" localSheetId="1">#REF!</definedName>
    <definedName name="REDATA5" localSheetId="1">#REF!</definedName>
    <definedName name="REDATA6" localSheetId="1">#REF!</definedName>
    <definedName name="RTCLCRCRCRCRCRCRDLRTDKDK" localSheetId="1">[9]직원신상!#REF!</definedName>
    <definedName name="RTCLDLRTDK" localSheetId="1">[9]직원신상!#REF!</definedName>
    <definedName name="RT울산시RTDKDK" localSheetId="1">#REF!</definedName>
    <definedName name="R행" localSheetId="1">#REF!</definedName>
    <definedName name="S행" localSheetId="1">#REF!</definedName>
    <definedName name="t" localSheetId="1">#REF!</definedName>
    <definedName name="test" localSheetId="1">[10]Sheet1!#REF!</definedName>
    <definedName name="TEST1" localSheetId="1">[10]Sheet1!#REF!</definedName>
    <definedName name="test2" localSheetId="1">#REF!</definedName>
    <definedName name="TOPMENU6" localSheetId="1">#REF!</definedName>
    <definedName name="TTT" localSheetId="1">#REF!</definedName>
    <definedName name="T행" localSheetId="1">#REF!</definedName>
    <definedName name="U행" localSheetId="1">#REF!</definedName>
    <definedName name="VM" localSheetId="1">[8]구동!#REF!</definedName>
    <definedName name="V행" localSheetId="1">#REF!</definedName>
    <definedName name="W행" localSheetId="1">#REF!</definedName>
    <definedName name="X행" localSheetId="1">#REF!</definedName>
    <definedName name="YEN" localSheetId="1">#REF!</definedName>
    <definedName name="YY" localSheetId="1">#REF!</definedName>
    <definedName name="기안갑" localSheetId="1">#REF!</definedName>
    <definedName name="기안을" localSheetId="1">#REF!</definedName>
    <definedName name="대림PL" localSheetId="1">[12]ML!#REF!</definedName>
    <definedName name="대회" localSheetId="1">#REF!</definedName>
    <definedName name="승인원양식1_2" localSheetId="1">#REF!</definedName>
    <definedName name="입범석" localSheetId="1">#REF!</definedName>
    <definedName name="전장su" localSheetId="1">#REF!</definedName>
    <definedName name="제목" localSheetId="1">#REF!</definedName>
    <definedName name="차체2" localSheetId="1">#REF!</definedName>
    <definedName name="_xlnm.Print_Area" localSheetId="1">'1'!$B$1:$S$28</definedName>
    <definedName name="\a" localSheetId="2">#REF!</definedName>
    <definedName name="\p" localSheetId="2">#REF!</definedName>
    <definedName name="\w" localSheetId="2">#REF!</definedName>
    <definedName name="_" localSheetId="2">#REF!</definedName>
    <definedName name="_?쨲?f" localSheetId="2">#REF!</definedName>
    <definedName name="__?쨲?f" localSheetId="2">#REF!</definedName>
    <definedName name="__1_?쨲?f" localSheetId="2">#REF!</definedName>
    <definedName name="_1" localSheetId="2">#REF!</definedName>
    <definedName name="_1_?쨲?f" localSheetId="2">#REF!</definedName>
    <definedName name="_1_0Print_Area" localSheetId="2">#REF!</definedName>
    <definedName name="_111" localSheetId="2">#REF!</definedName>
    <definedName name="_1Print_Area" localSheetId="2">#REF!</definedName>
    <definedName name="_2" localSheetId="2">#REF!</definedName>
    <definedName name="_2_?쨲?f" localSheetId="2">#REF!</definedName>
    <definedName name="_20" localSheetId="2">#REF!</definedName>
    <definedName name="_2Print_Area" localSheetId="2">#REF!</definedName>
    <definedName name="_3_0_0입" localSheetId="2">#REF!</definedName>
    <definedName name="_30" localSheetId="2">#REF!</definedName>
    <definedName name="_3입" localSheetId="2">#REF!</definedName>
    <definedName name="_4_0_0차" localSheetId="2">#REF!</definedName>
    <definedName name="_40" localSheetId="2">#REF!</definedName>
    <definedName name="_4차" localSheetId="2">#REF!</definedName>
    <definedName name="_5입" localSheetId="2">#REF!</definedName>
    <definedName name="_6차" localSheetId="2">#REF!</definedName>
    <definedName name="_93" localSheetId="2">'[1]W-현원가'!#REF!</definedName>
    <definedName name="_93A" localSheetId="2">'[1]W-현원가'!#REF!</definedName>
    <definedName name="_93B" localSheetId="2">'[1]W-현원가'!#REF!</definedName>
    <definedName name="_94" localSheetId="2">'[1]W-현원가'!#REF!</definedName>
    <definedName name="_Dist_Bin" localSheetId="2" hidden="1">#REF!</definedName>
    <definedName name="_Fill" localSheetId="2" hidden="1">#REF!</definedName>
    <definedName name="_Key1" localSheetId="2" hidden="1">#REF!</definedName>
    <definedName name="_TTT1" localSheetId="2">#REF!</definedName>
    <definedName name="￥" localSheetId="2">[3]작성양식!#REF!</definedName>
    <definedName name="A" localSheetId="2">#REF!</definedName>
    <definedName name="AAA" localSheetId="2">#REF!</definedName>
    <definedName name="AB" localSheetId="2">#REF!</definedName>
    <definedName name="AS.BB" localSheetId="2">#REF!</definedName>
    <definedName name="ASD" localSheetId="2">[2]HP1AMLIST!#REF!</definedName>
    <definedName name="B" localSheetId="2">[2]HP1AMLIST!#REF!</definedName>
    <definedName name="BBB" localSheetId="2">#REF!</definedName>
    <definedName name="BLOCK" localSheetId="2">#REF!</definedName>
    <definedName name="CC" localSheetId="2">#REF!</definedName>
    <definedName name="CFprprprrkrkrkrkpdpddkdkdkdkdkd" localSheetId="2">[4]분석mast!#REF!</definedName>
    <definedName name="CODE" localSheetId="2">#REF!</definedName>
    <definedName name="d" localSheetId="2">#REF!</definedName>
    <definedName name="_xlnm.Database" localSheetId="2">#REF!</definedName>
    <definedName name="DOL" localSheetId="2">#REF!</definedName>
    <definedName name="EXP" localSheetId="2">#REF!</definedName>
    <definedName name="FFF" localSheetId="2">#REF!</definedName>
    <definedName name="fgPRRKRKRKTBTB1RT" localSheetId="2">[5]인원계획!#REF!</definedName>
    <definedName name="FGR12C15TBTB1RTDKDK" localSheetId="2">#REF!</definedName>
    <definedName name="Full" localSheetId="2">#REF!</definedName>
    <definedName name="FullPb" localSheetId="2">#REF!</definedName>
    <definedName name="H11A01K" localSheetId="2">#REF!</definedName>
    <definedName name="HEAT" localSheetId="2">#REF!</definedName>
    <definedName name="IMPORT" localSheetId="2">#REF!</definedName>
    <definedName name="jjj" localSheetId="2">#REF!</definedName>
    <definedName name="kkk" localSheetId="2">#REF!</definedName>
    <definedName name="LANOS" localSheetId="2">#REF!</definedName>
    <definedName name="LIM" localSheetId="2">#REF!</definedName>
    <definedName name="MA" localSheetId="2">[6]구동!#REF!</definedName>
    <definedName name="mtg" localSheetId="2">#REF!</definedName>
    <definedName name="MX" localSheetId="2">[8]구동!#REF!</definedName>
    <definedName name="MZ" localSheetId="2">[6]구동!#REF!</definedName>
    <definedName name="M행" localSheetId="2">#REF!</definedName>
    <definedName name="n" localSheetId="2">#REF!</definedName>
    <definedName name="N행" localSheetId="2">#REF!</definedName>
    <definedName name="O" localSheetId="2">#REF!</definedName>
    <definedName name="O행" localSheetId="2">#REF!</definedName>
    <definedName name="PRINT_AREA_MI" localSheetId="2">#REF!</definedName>
    <definedName name="Print_Titles_MI" localSheetId="2">#REF!</definedName>
    <definedName name="P행" localSheetId="2">#REF!</definedName>
    <definedName name="Q행" localSheetId="2">#REF!</definedName>
    <definedName name="record" localSheetId="2">[9]직원신상!#REF!</definedName>
    <definedName name="REDATA2" localSheetId="2">#REF!</definedName>
    <definedName name="REDATA4" localSheetId="2">#REF!</definedName>
    <definedName name="REDATA5" localSheetId="2">#REF!</definedName>
    <definedName name="REDATA6" localSheetId="2">#REF!</definedName>
    <definedName name="RTCLCRCRCRCRCRCRDLRTDKDK" localSheetId="2">[9]직원신상!#REF!</definedName>
    <definedName name="RTCLDLRTDK" localSheetId="2">[9]직원신상!#REF!</definedName>
    <definedName name="RT울산시RTDKDK" localSheetId="2">#REF!</definedName>
    <definedName name="R행" localSheetId="2">#REF!</definedName>
    <definedName name="S행" localSheetId="2">#REF!</definedName>
    <definedName name="t" localSheetId="2">#REF!</definedName>
    <definedName name="test" localSheetId="2">[10]Sheet1!#REF!</definedName>
    <definedName name="TEST1" localSheetId="2">[10]Sheet1!#REF!</definedName>
    <definedName name="test2" localSheetId="2">#REF!</definedName>
    <definedName name="TOPMENU6" localSheetId="2">#REF!</definedName>
    <definedName name="TTT" localSheetId="2">#REF!</definedName>
    <definedName name="T행" localSheetId="2">#REF!</definedName>
    <definedName name="U행" localSheetId="2">#REF!</definedName>
    <definedName name="VM" localSheetId="2">[8]구동!#REF!</definedName>
    <definedName name="V행" localSheetId="2">#REF!</definedName>
    <definedName name="W행" localSheetId="2">#REF!</definedName>
    <definedName name="X행" localSheetId="2">#REF!</definedName>
    <definedName name="YEN" localSheetId="2">#REF!</definedName>
    <definedName name="YY" localSheetId="2">#REF!</definedName>
    <definedName name="기안갑" localSheetId="2">#REF!</definedName>
    <definedName name="기안을" localSheetId="2">#REF!</definedName>
    <definedName name="대림PL" localSheetId="2">[12]ML!#REF!</definedName>
    <definedName name="대회" localSheetId="2">#REF!</definedName>
    <definedName name="승인원양식1_2" localSheetId="2">#REF!</definedName>
    <definedName name="입범석" localSheetId="2">#REF!</definedName>
    <definedName name="전장su" localSheetId="2">#REF!</definedName>
    <definedName name="제목" localSheetId="2">#REF!</definedName>
    <definedName name="차체2" localSheetId="2">#REF!</definedName>
    <definedName name="\a" localSheetId="3">#REF!</definedName>
    <definedName name="\p" localSheetId="3">#REF!</definedName>
    <definedName name="\w" localSheetId="3">#REF!</definedName>
    <definedName name="_" localSheetId="3">#REF!</definedName>
    <definedName name="_?쨲?f" localSheetId="3">#REF!</definedName>
    <definedName name="__?쨲?f" localSheetId="3">#REF!</definedName>
    <definedName name="__1_?쨲?f" localSheetId="3">#REF!</definedName>
    <definedName name="_1" localSheetId="3">#REF!</definedName>
    <definedName name="_1_?쨲?f" localSheetId="3">#REF!</definedName>
    <definedName name="_1_0Print_Area" localSheetId="3">#REF!</definedName>
    <definedName name="_111" localSheetId="3">#REF!</definedName>
    <definedName name="_1Print_Area" localSheetId="3">#REF!</definedName>
    <definedName name="_2" localSheetId="3">#REF!</definedName>
    <definedName name="_2_?쨲?f" localSheetId="3">#REF!</definedName>
    <definedName name="_20" localSheetId="3">#REF!</definedName>
    <definedName name="_2Print_Area" localSheetId="3">#REF!</definedName>
    <definedName name="_3_0_0입" localSheetId="3">#REF!</definedName>
    <definedName name="_30" localSheetId="3">#REF!</definedName>
    <definedName name="_3입" localSheetId="3">#REF!</definedName>
    <definedName name="_4_0_0차" localSheetId="3">#REF!</definedName>
    <definedName name="_40" localSheetId="3">#REF!</definedName>
    <definedName name="_4차" localSheetId="3">#REF!</definedName>
    <definedName name="_5입" localSheetId="3">#REF!</definedName>
    <definedName name="_6차" localSheetId="3">#REF!</definedName>
    <definedName name="_93" localSheetId="3">'[1]W-현원가'!#REF!</definedName>
    <definedName name="_93A" localSheetId="3">'[1]W-현원가'!#REF!</definedName>
    <definedName name="_93B" localSheetId="3">'[1]W-현원가'!#REF!</definedName>
    <definedName name="_94" localSheetId="3">'[1]W-현원가'!#REF!</definedName>
    <definedName name="_Dist_Bin" localSheetId="3" hidden="1">#REF!</definedName>
    <definedName name="_Fill" localSheetId="3" hidden="1">#REF!</definedName>
    <definedName name="_Key1" localSheetId="3" hidden="1">#REF!</definedName>
    <definedName name="_TTT1" localSheetId="3">#REF!</definedName>
    <definedName name="￥" localSheetId="3">[3]작성양식!#REF!</definedName>
    <definedName name="A" localSheetId="3">#REF!</definedName>
    <definedName name="AAA" localSheetId="3">#REF!</definedName>
    <definedName name="AB" localSheetId="3">#REF!</definedName>
    <definedName name="AS.BB" localSheetId="3">#REF!</definedName>
    <definedName name="ASD" localSheetId="3">[2]HP1AMLIST!#REF!</definedName>
    <definedName name="B" localSheetId="3">[2]HP1AMLIST!#REF!</definedName>
    <definedName name="BBB" localSheetId="3">#REF!</definedName>
    <definedName name="BLOCK" localSheetId="3">#REF!</definedName>
    <definedName name="CC" localSheetId="3">#REF!</definedName>
    <definedName name="CFprprprrkrkrkrkpdpddkdkdkdkdkd" localSheetId="3">[4]분석mast!#REF!</definedName>
    <definedName name="CODE" localSheetId="3">#REF!</definedName>
    <definedName name="d" localSheetId="3">#REF!</definedName>
    <definedName name="_xlnm.Database" localSheetId="3">#REF!</definedName>
    <definedName name="DOL" localSheetId="3">#REF!</definedName>
    <definedName name="EXP" localSheetId="3">#REF!</definedName>
    <definedName name="FFF" localSheetId="3">#REF!</definedName>
    <definedName name="fgPRRKRKRKTBTB1RT" localSheetId="3">[5]인원계획!#REF!</definedName>
    <definedName name="FGR12C15TBTB1RTDKDK" localSheetId="3">#REF!</definedName>
    <definedName name="Full" localSheetId="3">#REF!</definedName>
    <definedName name="FullPb" localSheetId="3">#REF!</definedName>
    <definedName name="H11A01K" localSheetId="3">#REF!</definedName>
    <definedName name="HEAT" localSheetId="3">#REF!</definedName>
    <definedName name="IMPORT" localSheetId="3">#REF!</definedName>
    <definedName name="jjj" localSheetId="3">#REF!</definedName>
    <definedName name="kkk" localSheetId="3">#REF!</definedName>
    <definedName name="LANOS" localSheetId="3">#REF!</definedName>
    <definedName name="LIM" localSheetId="3">#REF!</definedName>
    <definedName name="MA" localSheetId="3">[6]구동!#REF!</definedName>
    <definedName name="mtg" localSheetId="3">#REF!</definedName>
    <definedName name="MX" localSheetId="3">[8]구동!#REF!</definedName>
    <definedName name="MZ" localSheetId="3">[6]구동!#REF!</definedName>
    <definedName name="M행" localSheetId="3">#REF!</definedName>
    <definedName name="n" localSheetId="3">#REF!</definedName>
    <definedName name="N행" localSheetId="3">#REF!</definedName>
    <definedName name="O" localSheetId="3">#REF!</definedName>
    <definedName name="O행" localSheetId="3">#REF!</definedName>
    <definedName name="PRINT_AREA_MI" localSheetId="3">#REF!</definedName>
    <definedName name="Print_Titles_MI" localSheetId="3">#REF!</definedName>
    <definedName name="P행" localSheetId="3">#REF!</definedName>
    <definedName name="Q행" localSheetId="3">#REF!</definedName>
    <definedName name="record" localSheetId="3">[9]직원신상!#REF!</definedName>
    <definedName name="REDATA2" localSheetId="3">#REF!</definedName>
    <definedName name="REDATA4" localSheetId="3">#REF!</definedName>
    <definedName name="REDATA5" localSheetId="3">#REF!</definedName>
    <definedName name="REDATA6" localSheetId="3">#REF!</definedName>
    <definedName name="RTCLCRCRCRCRCRCRDLRTDKDK" localSheetId="3">[9]직원신상!#REF!</definedName>
    <definedName name="RTCLDLRTDK" localSheetId="3">[9]직원신상!#REF!</definedName>
    <definedName name="RT울산시RTDKDK" localSheetId="3">#REF!</definedName>
    <definedName name="R행" localSheetId="3">#REF!</definedName>
    <definedName name="S행" localSheetId="3">#REF!</definedName>
    <definedName name="t" localSheetId="3">#REF!</definedName>
    <definedName name="test" localSheetId="3">[10]Sheet1!#REF!</definedName>
    <definedName name="TEST1" localSheetId="3">[10]Sheet1!#REF!</definedName>
    <definedName name="test2" localSheetId="3">#REF!</definedName>
    <definedName name="TOPMENU6" localSheetId="3">#REF!</definedName>
    <definedName name="TTT" localSheetId="3">#REF!</definedName>
    <definedName name="T행" localSheetId="3">#REF!</definedName>
    <definedName name="U행" localSheetId="3">#REF!</definedName>
    <definedName name="VM" localSheetId="3">[8]구동!#REF!</definedName>
    <definedName name="V행" localSheetId="3">#REF!</definedName>
    <definedName name="W행" localSheetId="3">#REF!</definedName>
    <definedName name="X행" localSheetId="3">#REF!</definedName>
    <definedName name="YEN" localSheetId="3">#REF!</definedName>
    <definedName name="YY" localSheetId="3">#REF!</definedName>
    <definedName name="기안갑" localSheetId="3">#REF!</definedName>
    <definedName name="기안을" localSheetId="3">#REF!</definedName>
    <definedName name="대림PL" localSheetId="3">[12]ML!#REF!</definedName>
    <definedName name="대회" localSheetId="3">#REF!</definedName>
    <definedName name="승인원양식1_2" localSheetId="3">#REF!</definedName>
    <definedName name="입범석" localSheetId="3">#REF!</definedName>
    <definedName name="전장su" localSheetId="3">#REF!</definedName>
    <definedName name="제목" localSheetId="3">#REF!</definedName>
    <definedName name="차체2" localSheetId="3">#REF!</definedName>
    <definedName name="_xlnm.Print_Area" localSheetId="5">'Schedule'!$A$1:$AL$19</definedName>
    <definedName name="\a" localSheetId="6">#REF!</definedName>
    <definedName name="\p" localSheetId="6">#REF!</definedName>
    <definedName name="\w" localSheetId="6">#REF!</definedName>
    <definedName name="_" localSheetId="6">#REF!</definedName>
    <definedName name="_?쨲?f" localSheetId="6">#REF!</definedName>
    <definedName name="__?쨲?f" localSheetId="6">#REF!</definedName>
    <definedName name="_1" localSheetId="6">#REF!</definedName>
    <definedName name="_1_?쨲?f" localSheetId="6">#REF!</definedName>
    <definedName name="_1_0Print_Area" localSheetId="6">#REF!</definedName>
    <definedName name="_111" localSheetId="6">#REF!</definedName>
    <definedName name="_1Print_Area" localSheetId="6">#REF!</definedName>
    <definedName name="_2" localSheetId="6">#REF!</definedName>
    <definedName name="_2_?쨲?f" localSheetId="6">#REF!</definedName>
    <definedName name="_20" localSheetId="6">#REF!</definedName>
    <definedName name="_2Print_Area" localSheetId="6">#REF!</definedName>
    <definedName name="_3_0_0입" localSheetId="6">#REF!</definedName>
    <definedName name="_30" localSheetId="6">#REF!</definedName>
    <definedName name="_3입" localSheetId="6">#REF!</definedName>
    <definedName name="_4_0_0차" localSheetId="6">#REF!</definedName>
    <definedName name="_40" localSheetId="6">#REF!</definedName>
    <definedName name="_4차" localSheetId="6">#REF!</definedName>
    <definedName name="_5입" localSheetId="6">#REF!</definedName>
    <definedName name="_6차" localSheetId="6">#REF!</definedName>
    <definedName name="_93" localSheetId="6">'[1]W-현원가'!#REF!</definedName>
    <definedName name="_93A" localSheetId="6">'[1]W-현원가'!#REF!</definedName>
    <definedName name="_93B" localSheetId="6">'[1]W-현원가'!#REF!</definedName>
    <definedName name="_94" localSheetId="6">'[1]W-현원가'!#REF!</definedName>
    <definedName name="_Dist_Bin" localSheetId="6" hidden="1">#REF!</definedName>
    <definedName name="_TTT1" localSheetId="6">#REF!</definedName>
    <definedName name="￥" localSheetId="6">[3]작성양식!#REF!</definedName>
    <definedName name="A" localSheetId="6">#REF!</definedName>
    <definedName name="AAA" localSheetId="6">#REF!</definedName>
    <definedName name="AB" localSheetId="6">#REF!</definedName>
    <definedName name="AS.BB" localSheetId="6">#REF!</definedName>
    <definedName name="ASD" localSheetId="6">[2]HP1AMLIST!#REF!</definedName>
    <definedName name="B" localSheetId="6">[2]HP1AMLIST!#REF!</definedName>
    <definedName name="BBB" localSheetId="6">#REF!</definedName>
    <definedName name="BLOCK" localSheetId="6">#REF!</definedName>
    <definedName name="CC" localSheetId="6">#REF!</definedName>
    <definedName name="CFprprprrkrkrkrkpdpddkdkdkdkdkd" localSheetId="6">[4]분석mast!#REF!</definedName>
    <definedName name="CODE" localSheetId="6">#REF!</definedName>
    <definedName name="d" localSheetId="6">#REF!</definedName>
    <definedName name="_xlnm.Database" localSheetId="6">#REF!</definedName>
    <definedName name="DOL" localSheetId="6">#REF!</definedName>
    <definedName name="EXP" localSheetId="6">#REF!</definedName>
    <definedName name="FFF" localSheetId="6">#REF!</definedName>
    <definedName name="fgPRRKRKRKTBTB1RT" localSheetId="6">[5]인원계획!#REF!</definedName>
    <definedName name="FGR12C15TBTB1RTDKDK" localSheetId="6">#REF!</definedName>
    <definedName name="Full" localSheetId="6">#REF!</definedName>
    <definedName name="FullPb" localSheetId="6">#REF!</definedName>
    <definedName name="H11A01K" localSheetId="6">#REF!</definedName>
    <definedName name="HEAT" localSheetId="6">#REF!</definedName>
    <definedName name="IMPORT" localSheetId="6">#REF!</definedName>
    <definedName name="jjj" localSheetId="6">#REF!</definedName>
    <definedName name="kkk" localSheetId="6">#REF!</definedName>
    <definedName name="LANOS" localSheetId="6">#REF!</definedName>
    <definedName name="LIM" localSheetId="6">#REF!</definedName>
    <definedName name="MA" localSheetId="6">[6]구동!#REF!</definedName>
    <definedName name="mtg" localSheetId="6">#REF!</definedName>
    <definedName name="MX" localSheetId="6">[8]구동!#REF!</definedName>
    <definedName name="MZ" localSheetId="6">[6]구동!#REF!</definedName>
    <definedName name="M행" localSheetId="6">#REF!</definedName>
    <definedName name="n" localSheetId="6">#REF!</definedName>
    <definedName name="N행" localSheetId="6">#REF!</definedName>
    <definedName name="O" localSheetId="6">#REF!</definedName>
    <definedName name="O행" localSheetId="6">#REF!</definedName>
    <definedName name="PRINT_AREA_MI" localSheetId="6">#REF!</definedName>
    <definedName name="Print_Titles_MI" localSheetId="6">#REF!</definedName>
    <definedName name="P행" localSheetId="6">#REF!</definedName>
    <definedName name="Q행" localSheetId="6">#REF!</definedName>
    <definedName name="REDATA2" localSheetId="6">#REF!</definedName>
    <definedName name="REDATA4" localSheetId="6">#REF!</definedName>
    <definedName name="REDATA5" localSheetId="6">#REF!</definedName>
    <definedName name="REDATA6" localSheetId="6">#REF!</definedName>
    <definedName name="RT울산시RTDKDK" localSheetId="6">#REF!</definedName>
    <definedName name="R행" localSheetId="6">#REF!</definedName>
    <definedName name="S행" localSheetId="6">#REF!</definedName>
    <definedName name="t" localSheetId="6">#REF!</definedName>
    <definedName name="test2" localSheetId="6">#REF!</definedName>
    <definedName name="TOPMENU6" localSheetId="6">#REF!</definedName>
    <definedName name="TTT" localSheetId="6">#REF!</definedName>
    <definedName name="T행" localSheetId="6">#REF!</definedName>
    <definedName name="U행" localSheetId="6">#REF!</definedName>
    <definedName name="V행" localSheetId="6">#REF!</definedName>
    <definedName name="W행" localSheetId="6">#REF!</definedName>
    <definedName name="X행" localSheetId="6">#REF!</definedName>
    <definedName name="YEN" localSheetId="6">#REF!</definedName>
    <definedName name="YY" localSheetId="6">#REF!</definedName>
    <definedName name="기안갑" localSheetId="6">#REF!</definedName>
    <definedName name="기안을" localSheetId="6">#REF!</definedName>
    <definedName name="대림PL" localSheetId="6">[12]ML!#REF!</definedName>
    <definedName name="대회" localSheetId="6">#REF!</definedName>
    <definedName name="승인원양식1_2" localSheetId="6">#REF!</definedName>
    <definedName name="입범석" localSheetId="6">#REF!</definedName>
    <definedName name="전장su" localSheetId="6">#REF!</definedName>
    <definedName name="제목" localSheetId="6">#REF!</definedName>
    <definedName name="차체2" localSheetId="6">#REF!</definedName>
    <definedName name="_xlnm.Print_Area" localSheetId="6">'RD-PR-006-003 '!$A$1:$AC$66</definedName>
  </definedNames>
  <calcPr calcId="145621" fullCalcOnLoad="1"/>
</workbook>
</file>

<file path=xl/styles.xml><?xml version="1.0" encoding="utf-8"?>
<styleSheet xmlns="http://schemas.openxmlformats.org/spreadsheetml/2006/main">
  <numFmts count="16">
    <numFmt numFmtId="164" formatCode="mm&quot;월&quot;\ dd&quot;일&quot;"/>
    <numFmt numFmtId="165" formatCode="0.000_);[Red]\(0.000\)"/>
    <numFmt numFmtId="166" formatCode="0.0000_ ;[Red]\-0.0000\ "/>
    <numFmt numFmtId="167" formatCode="0.000"/>
    <numFmt numFmtId="168" formatCode="0.00_ "/>
    <numFmt numFmtId="169" formatCode="0.00_);[Red]\(0.00\)"/>
    <numFmt numFmtId="170" formatCode="0.0000_);[Red]\(0.0000\)"/>
    <numFmt numFmtId="171" formatCode="0.00_ ;[Red]\-0.00\ "/>
    <numFmt numFmtId="172" formatCode="0.0000_ "/>
    <numFmt numFmtId="173" formatCode="0.0"/>
    <numFmt numFmtId="174" formatCode="#,##0.000"/>
    <numFmt numFmtId="175" formatCode="_ * #,##0_ ;_ * \-#,##0_ ;_ * &quot;-&quot;_ ;_ @_ "/>
    <numFmt numFmtId="176" formatCode="_ * #,##0.00_ ;_ * \-#,##0.00_ ;_ * &quot;-&quot;??_ ;_ @_ "/>
    <numFmt numFmtId="177" formatCode="&quot;₩&quot;#,##0.00\ ;\(&quot;₩&quot;#,##0.00\)"/>
    <numFmt numFmtId="178" formatCode="&quot;₩&quot;#,##0;&quot;₩&quot;\-#,##0"/>
    <numFmt numFmtId="179" formatCode="_-* #,##0_-;\-* #,##0_-;_-* &quot;-&quot;_-;_-@_-"/>
  </numFmts>
  <fonts count="80">
    <font>
      <name val="돋움"/>
      <charset val="129"/>
      <family val="3"/>
      <sz val="11"/>
    </font>
    <font>
      <name val="돋움"/>
      <charset val="129"/>
      <family val="3"/>
      <sz val="8"/>
    </font>
    <font>
      <name val="돋움"/>
      <charset val="129"/>
      <family val="3"/>
      <sz val="11"/>
    </font>
    <font>
      <name val="Arial"/>
      <family val="2"/>
      <sz val="10"/>
    </font>
    <font>
      <name val="Arial"/>
      <family val="2"/>
      <sz val="9"/>
    </font>
    <font>
      <name val="Arial"/>
      <family val="2"/>
      <sz val="8"/>
    </font>
    <font>
      <name val="Arial"/>
      <family val="2"/>
      <sz val="11"/>
    </font>
    <font>
      <name val="新細明體"/>
      <charset val="136"/>
      <family val="1"/>
      <sz val="12"/>
    </font>
    <font>
      <name val="Arial"/>
      <family val="2"/>
      <b val="1"/>
      <sz val="12"/>
    </font>
    <font>
      <name val="MS Sans Serif"/>
      <family val="2"/>
      <sz val="10"/>
    </font>
    <font>
      <name val="돋움체"/>
      <charset val="129"/>
      <family val="3"/>
      <b val="1"/>
      <sz val="12"/>
    </font>
    <font>
      <name val="바탕체"/>
      <charset val="129"/>
      <family val="1"/>
      <sz val="7"/>
    </font>
    <font>
      <name val="μ¸¿o"/>
      <charset val="129"/>
      <family val="3"/>
      <sz val="11"/>
    </font>
    <font>
      <name val="μ¸¿oA¼"/>
      <charset val="129"/>
      <family val="3"/>
      <sz val="10"/>
    </font>
    <font>
      <name val="Helv"/>
      <family val="2"/>
      <b val="1"/>
      <sz val="10"/>
    </font>
    <font>
      <name val="굴림체"/>
      <charset val="129"/>
      <family val="3"/>
      <sz val="11"/>
    </font>
    <font>
      <name val="±¼¸²A¼"/>
      <charset val="129"/>
      <family val="3"/>
      <sz val="11"/>
    </font>
    <font>
      <name val="Helv"/>
      <family val="2"/>
      <b val="1"/>
      <sz val="12"/>
    </font>
    <font>
      <name val="Helv"/>
      <family val="2"/>
      <b val="1"/>
      <sz val="11"/>
    </font>
    <font>
      <name val="바탕체"/>
      <charset val="129"/>
      <family val="1"/>
      <color indexed="24"/>
      <sz val="12"/>
    </font>
    <font>
      <name val="바탕체"/>
      <charset val="129"/>
      <family val="1"/>
      <b val="1"/>
      <color indexed="24"/>
      <sz val="18"/>
    </font>
    <font>
      <name val="바탕체"/>
      <charset val="129"/>
      <family val="1"/>
      <b val="1"/>
      <color indexed="24"/>
      <sz val="15"/>
    </font>
    <font>
      <name val="돋움"/>
      <charset val="129"/>
      <family val="3"/>
      <color indexed="36"/>
      <sz val="8.25"/>
      <u val="single"/>
    </font>
    <font>
      <name val="돋움체"/>
      <charset val="129"/>
      <family val="3"/>
      <sz val="12"/>
    </font>
    <font>
      <name val="돋움체"/>
      <charset val="129"/>
      <family val="3"/>
      <sz val="10"/>
    </font>
    <font>
      <name val="Times New Roman"/>
      <family val="1"/>
      <b val="1"/>
      <sz val="8"/>
    </font>
    <font>
      <name val="Times New Roman"/>
      <family val="1"/>
      <b val="1"/>
      <sz val="22"/>
    </font>
    <font>
      <name val="Times New Roman"/>
      <family val="1"/>
      <sz val="11"/>
    </font>
    <font>
      <name val="Times New Roman"/>
      <family val="1"/>
      <b val="1"/>
      <sz val="10"/>
    </font>
    <font>
      <name val="Times New Roman"/>
      <family val="1"/>
      <sz val="10"/>
    </font>
    <font>
      <name val="Times New Roman"/>
      <family val="1"/>
      <sz val="9"/>
    </font>
    <font>
      <name val="Times New Roman"/>
      <family val="1"/>
      <sz val="8"/>
    </font>
    <font>
      <name val="Times New Roman"/>
      <family val="1"/>
      <color indexed="12"/>
      <sz val="10"/>
    </font>
    <font>
      <name val="Times New Roman"/>
      <family val="1"/>
      <b val="1"/>
      <sz val="11"/>
    </font>
    <font>
      <name val="Times New Roman"/>
      <family val="1"/>
      <b val="1"/>
      <sz val="9"/>
    </font>
    <font>
      <name val="Times New Roman"/>
      <family val="1"/>
      <b val="1"/>
      <sz val="18"/>
    </font>
    <font>
      <name val="Times New Roman"/>
      <family val="1"/>
      <b val="1"/>
      <color indexed="12"/>
      <sz val="9"/>
    </font>
    <font>
      <name val="Times New Roman"/>
      <family val="1"/>
      <b val="1"/>
      <color theme="1"/>
      <sz val="8"/>
    </font>
    <font>
      <name val="Times New Roman"/>
      <charset val="163"/>
      <family val="1"/>
      <b val="1"/>
      <sz val="8"/>
    </font>
    <font>
      <name val="Cambria"/>
      <family val="1"/>
      <b val="1"/>
      <sz val="8"/>
      <scheme val="major"/>
    </font>
    <font>
      <name val="Times New Roman"/>
      <charset val="163"/>
      <family val="1"/>
      <b val="1"/>
      <color theme="1"/>
      <sz val="8"/>
    </font>
    <font>
      <name val="Cambria"/>
      <charset val="163"/>
      <family val="1"/>
      <color theme="1"/>
      <sz val="11"/>
      <scheme val="major"/>
    </font>
    <font>
      <name val="Cambria"/>
      <charset val="163"/>
      <family val="1"/>
      <b val="1"/>
      <color theme="1"/>
      <sz val="18"/>
      <scheme val="major"/>
    </font>
    <font>
      <name val="Cambria"/>
      <charset val="163"/>
      <family val="1"/>
      <b val="1"/>
      <color theme="1"/>
      <sz val="20"/>
      <scheme val="major"/>
    </font>
    <font>
      <name val="Cambria"/>
      <charset val="163"/>
      <family val="1"/>
      <i val="1"/>
      <color theme="1"/>
      <sz val="10"/>
      <scheme val="major"/>
    </font>
    <font>
      <name val="Cambria"/>
      <charset val="163"/>
      <family val="1"/>
      <b val="1"/>
      <color theme="1"/>
      <sz val="28"/>
      <scheme val="major"/>
    </font>
    <font>
      <name val="Cambria"/>
      <charset val="163"/>
      <family val="1"/>
      <b val="1"/>
      <color theme="1"/>
      <sz val="24"/>
      <scheme val="major"/>
    </font>
    <font>
      <name val="Cambria"/>
      <charset val="163"/>
      <family val="1"/>
      <i val="1"/>
      <color theme="1"/>
      <sz val="11"/>
      <scheme val="major"/>
    </font>
    <font>
      <name val="Cambria"/>
      <charset val="163"/>
      <family val="1"/>
      <b val="1"/>
      <color theme="1"/>
      <sz val="16"/>
      <scheme val="major"/>
    </font>
    <font>
      <name val="Cambria"/>
      <charset val="163"/>
      <family val="1"/>
      <b val="1"/>
      <color theme="1"/>
      <sz val="11"/>
      <scheme val="major"/>
    </font>
    <font>
      <name val="Cambria"/>
      <charset val="163"/>
      <family val="1"/>
      <sz val="11"/>
      <scheme val="major"/>
    </font>
    <font>
      <name val="Cambria"/>
      <charset val="163"/>
      <family val="1"/>
      <b val="1"/>
      <sz val="14"/>
      <scheme val="major"/>
    </font>
    <font>
      <name val="Cambria"/>
      <family val="1"/>
      <b val="1"/>
      <sz val="9"/>
      <scheme val="major"/>
    </font>
    <font>
      <name val="Times New Roman"/>
      <charset val="163"/>
      <family val="1"/>
      <b val="1"/>
      <sz val="16"/>
    </font>
    <font>
      <name val="Times New Roman"/>
      <charset val="163"/>
      <family val="1"/>
      <sz val="8"/>
    </font>
    <font>
      <name val="Times New Roman"/>
      <charset val="163"/>
      <family val="1"/>
      <sz val="11"/>
    </font>
    <font>
      <name val="Cambria"/>
      <charset val="163"/>
      <family val="1"/>
      <sz val="14"/>
      <scheme val="major"/>
    </font>
    <font>
      <name val="Cambria"/>
      <charset val="163"/>
      <family val="1"/>
      <sz val="12"/>
      <scheme val="major"/>
    </font>
    <font>
      <name val="Times New Roman"/>
      <family val="1"/>
      <b val="1"/>
      <color indexed="12"/>
      <sz val="11"/>
    </font>
    <font>
      <name val="Times New Roman"/>
      <family val="1"/>
      <b val="1"/>
      <sz val="12"/>
    </font>
    <font>
      <name val="Cambria"/>
      <charset val="163"/>
      <family val="1"/>
      <sz val="8"/>
      <scheme val="major"/>
    </font>
    <font>
      <name val="Cambria"/>
      <charset val="163"/>
      <family val="1"/>
      <sz val="28"/>
      <scheme val="major"/>
    </font>
    <font>
      <name val="Cambria"/>
      <charset val="163"/>
      <family val="1"/>
      <b val="1"/>
      <sz val="12"/>
      <scheme val="major"/>
    </font>
    <font>
      <name val="Cambria"/>
      <charset val="163"/>
      <family val="1"/>
      <b val="1"/>
      <sz val="11"/>
      <scheme val="major"/>
    </font>
    <font>
      <name val="Cambria"/>
      <charset val="163"/>
      <family val="1"/>
      <b val="1"/>
      <sz val="10"/>
      <scheme val="major"/>
    </font>
    <font>
      <name val="Cambria"/>
      <charset val="163"/>
      <family val="1"/>
      <color indexed="12"/>
      <sz val="8"/>
      <scheme val="major"/>
    </font>
    <font>
      <name val="Cambria"/>
      <charset val="163"/>
      <family val="1"/>
      <color indexed="58"/>
      <sz val="11"/>
      <scheme val="major"/>
    </font>
    <font>
      <name val="Cambria"/>
      <charset val="163"/>
      <family val="1"/>
      <color indexed="58"/>
      <sz val="8"/>
      <scheme val="major"/>
    </font>
    <font>
      <name val="Cambria"/>
      <charset val="163"/>
      <family val="1"/>
      <color indexed="10"/>
      <sz val="8"/>
      <scheme val="major"/>
    </font>
    <font>
      <name val="Cambria"/>
      <charset val="163"/>
      <family val="1"/>
      <color indexed="9"/>
      <sz val="8"/>
      <scheme val="major"/>
    </font>
    <font>
      <name val="Cambria"/>
      <charset val="163"/>
      <family val="1"/>
      <sz val="10"/>
      <scheme val="major"/>
    </font>
    <font>
      <name val="Cambria"/>
      <charset val="163"/>
      <family val="1"/>
      <b val="1"/>
      <sz val="8"/>
      <scheme val="major"/>
    </font>
    <font>
      <name val="Cambria"/>
      <charset val="163"/>
      <family val="1"/>
      <b val="1"/>
      <color indexed="9"/>
      <sz val="8"/>
      <scheme val="major"/>
    </font>
    <font>
      <name val="CG Times (WN)"/>
      <family val="1"/>
      <sz val="10"/>
    </font>
    <font>
      <name val="Calibri"/>
      <charset val="129"/>
      <family val="3"/>
      <color theme="1"/>
      <sz val="11"/>
      <scheme val="minor"/>
    </font>
    <font>
      <name val="Arial"/>
      <family val="2"/>
      <color theme="1"/>
      <sz val="11"/>
    </font>
    <font>
      <name val="Arial"/>
      <family val="2"/>
      <color theme="1"/>
      <sz val="20"/>
    </font>
    <font>
      <name val="Arial"/>
      <family val="2"/>
      <i val="1"/>
      <color theme="1"/>
      <sz val="11"/>
    </font>
    <font>
      <name val="Arial"/>
      <family val="2"/>
      <color rgb="FFFF0000"/>
      <sz val="11"/>
    </font>
    <font>
      <name val="Cambria"/>
      <family val="1"/>
      <color theme="1"/>
      <sz val="11"/>
      <scheme val="major"/>
    </font>
  </fonts>
  <fills count="14">
    <fill>
      <patternFill/>
    </fill>
    <fill>
      <patternFill patternType="gray125"/>
    </fill>
    <fill>
      <patternFill patternType="solid">
        <fgColor indexed="9"/>
        <bgColor indexed="64"/>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24"/>
        <bgColor indexed="64"/>
      </patternFill>
    </fill>
    <fill>
      <patternFill patternType="solid">
        <fgColor indexed="42"/>
        <bgColor indexed="64"/>
      </patternFill>
    </fill>
    <fill>
      <patternFill patternType="solid">
        <fgColor theme="0" tint="-0.0499893185216834"/>
        <bgColor indexed="64"/>
      </patternFill>
    </fill>
    <fill>
      <patternFill patternType="solid">
        <fgColor theme="0"/>
        <bgColor indexed="64"/>
      </patternFill>
    </fill>
    <fill>
      <patternFill patternType="solid">
        <fgColor indexed="58"/>
        <bgColor indexed="64"/>
      </patternFill>
    </fill>
    <fill>
      <patternFill patternType="solid">
        <fgColor indexed="52"/>
        <bgColor indexed="64"/>
      </patternFill>
    </fill>
    <fill>
      <patternFill patternType="solid">
        <fgColor theme="8" tint="0.7999816888943144"/>
        <bgColor indexed="64"/>
      </patternFill>
    </fill>
    <fill>
      <patternFill patternType="solid">
        <fgColor theme="0" tint="-0.1499984740745262"/>
        <bgColor indexed="64"/>
      </patternFill>
    </fill>
  </fills>
  <borders count="15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style="thin">
        <color indexed="64"/>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style="thin">
        <color indexed="64"/>
      </left>
      <right style="thin">
        <color indexed="64"/>
      </right>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style="thin">
        <color indexed="64"/>
      </left>
      <right style="thin">
        <color indexed="64"/>
      </right>
      <top style="thick">
        <color indexed="64"/>
      </top>
      <bottom style="thin">
        <color indexed="64"/>
      </bottom>
      <diagonal/>
    </border>
    <border>
      <left style="thick">
        <color indexed="64"/>
      </left>
      <right/>
      <top/>
      <bottom style="medium">
        <color indexed="64"/>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medium">
        <color indexed="64"/>
      </left>
      <right/>
      <top/>
      <bottom style="thick">
        <color indexed="64"/>
      </bottom>
      <diagonal/>
    </border>
    <border>
      <left/>
      <right/>
      <top style="double">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right style="medium">
        <color indexed="64"/>
      </right>
      <top style="medium">
        <color indexed="64"/>
      </top>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diagonal/>
    </border>
    <border>
      <left/>
      <right style="thin">
        <color indexed="64"/>
      </right>
      <top/>
      <bottom style="hair">
        <color indexed="64"/>
      </bottom>
      <diagonal/>
    </border>
    <border>
      <left style="medium">
        <color indexed="64"/>
      </left>
      <right style="thin">
        <color indexed="64"/>
      </right>
      <top style="thin">
        <color indexed="64"/>
      </top>
      <bottom style="hair">
        <color indexed="64"/>
      </bottom>
      <diagonal/>
    </border>
    <border>
      <left/>
      <right/>
      <top/>
      <bottom style="hair">
        <color indexed="64"/>
      </bottom>
      <diagonal/>
    </border>
    <border>
      <left style="medium">
        <color indexed="64"/>
      </left>
      <right/>
      <top style="thick">
        <color indexed="64"/>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double">
        <color indexed="64"/>
      </top>
      <bottom/>
      <diagonal/>
    </border>
    <border>
      <left/>
      <right/>
      <top style="double">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right style="hair">
        <color indexed="64"/>
      </right>
      <top style="thin">
        <color indexed="64"/>
      </top>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medium">
        <color indexed="64"/>
      </bottom>
      <diagonal/>
    </border>
    <border>
      <left/>
      <right/>
      <top style="hair">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ck">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hair">
        <color indexed="64"/>
      </bottom>
      <diagonal/>
    </border>
    <border>
      <left style="thick">
        <color indexed="64"/>
      </left>
      <right style="medium">
        <color indexed="64"/>
      </right>
      <top/>
      <bottom/>
      <diagonal/>
    </border>
    <border>
      <left style="thin">
        <color indexed="64"/>
      </left>
      <right style="thin">
        <color indexed="64"/>
      </right>
      <top style="thick">
        <color indexed="64"/>
      </top>
      <bottom style="medium">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top/>
      <bottom style="thin">
        <color indexed="64"/>
      </bottom>
      <diagonal/>
    </border>
    <border>
      <left style="medium">
        <color indexed="64"/>
      </left>
      <right/>
      <top/>
      <bottom style="double">
        <color indexed="64"/>
      </bottom>
      <diagonal/>
    </border>
    <border>
      <left/>
      <right/>
      <top/>
      <bottom style="double">
        <color indexed="64"/>
      </bottom>
      <diagonal/>
    </border>
    <border>
      <left style="medium">
        <color indexed="64"/>
      </left>
      <right/>
      <top style="double">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63">
    <xf numFmtId="0" fontId="2" fillId="0" borderId="0"/>
    <xf numFmtId="0" fontId="8" fillId="0" borderId="1" applyAlignment="1">
      <alignment horizontal="left" vertical="center"/>
    </xf>
    <xf numFmtId="0" fontId="8" fillId="0" borderId="2" applyAlignment="1">
      <alignment horizontal="left" vertical="center"/>
    </xf>
    <xf numFmtId="0" fontId="2" fillId="0" borderId="0"/>
    <xf numFmtId="0" fontId="2" fillId="0" borderId="0"/>
    <xf numFmtId="0" fontId="4" fillId="0" borderId="0"/>
    <xf numFmtId="0" fontId="2" fillId="0" borderId="0" applyAlignment="1">
      <alignment vertical="center"/>
    </xf>
    <xf numFmtId="0" fontId="2" fillId="0" borderId="0" applyAlignment="1">
      <alignment vertical="center"/>
    </xf>
    <xf numFmtId="0" fontId="3" fillId="0" borderId="0"/>
    <xf numFmtId="0" fontId="3" fillId="0" borderId="0"/>
    <xf numFmtId="0" fontId="3" fillId="0" borderId="0"/>
    <xf numFmtId="40" fontId="9" fillId="0" borderId="0"/>
    <xf numFmtId="49" fontId="10" fillId="0" borderId="12" applyAlignment="1">
      <alignment vertical="center"/>
    </xf>
    <xf numFmtId="4" fontId="11" fillId="0" borderId="54" applyAlignment="1">
      <alignment vertical="center"/>
    </xf>
    <xf numFmtId="0" fontId="12" fillId="0" borderId="0"/>
    <xf numFmtId="0" fontId="12" fillId="0" borderId="0"/>
    <xf numFmtId="0" fontId="12" fillId="0" borderId="0"/>
    <xf numFmtId="0" fontId="12" fillId="0" borderId="0"/>
    <xf numFmtId="0" fontId="13" fillId="0" borderId="0"/>
    <xf numFmtId="0" fontId="14" fillId="0" borderId="0"/>
    <xf numFmtId="0" fontId="15" fillId="0" borderId="0"/>
    <xf numFmtId="0" fontId="6" fillId="0" borderId="0"/>
    <xf numFmtId="0" fontId="16" fillId="0" borderId="0"/>
    <xf numFmtId="38" fontId="5" fillId="2" borderId="0"/>
    <xf numFmtId="0" fontId="17" fillId="0" borderId="0" applyAlignment="1">
      <alignment horizontal="left"/>
    </xf>
    <xf numFmtId="10" fontId="5" fillId="2" borderId="4"/>
    <xf numFmtId="0" fontId="9" fillId="0" borderId="0"/>
    <xf numFmtId="0" fontId="6" fillId="0" borderId="0" applyAlignment="1">
      <alignment vertical="center"/>
    </xf>
    <xf numFmtId="0" fontId="18" fillId="0" borderId="18"/>
    <xf numFmtId="174" fontId="2" fillId="0" borderId="0"/>
    <xf numFmtId="10" fontId="3" fillId="0" borderId="0"/>
    <xf numFmtId="0" fontId="18" fillId="0" borderId="0"/>
    <xf numFmtId="0" fontId="6" fillId="0" borderId="0" applyAlignment="1">
      <alignment vertical="top"/>
    </xf>
    <xf numFmtId="2" fontId="19" fillId="0" borderId="0"/>
    <xf numFmtId="0" fontId="20" fillId="0" borderId="0"/>
    <xf numFmtId="0" fontId="21" fillId="0" borderId="0"/>
    <xf numFmtId="0" fontId="19" fillId="0" borderId="0"/>
    <xf numFmtId="0" fontId="19" fillId="0" borderId="0"/>
    <xf numFmtId="0" fontId="22" fillId="0" borderId="0" applyAlignment="1" applyProtection="1">
      <alignment vertical="top"/>
      <protection locked="0" hidden="0"/>
    </xf>
    <xf numFmtId="40" fontId="9" fillId="0" borderId="0"/>
    <xf numFmtId="4" fontId="19" fillId="0" borderId="0"/>
    <xf numFmtId="3" fontId="19" fillId="0" borderId="0"/>
    <xf numFmtId="175" fontId="23" fillId="0" borderId="0"/>
    <xf numFmtId="176" fontId="2" fillId="0" borderId="0"/>
    <xf numFmtId="10" fontId="19" fillId="0" borderId="0"/>
    <xf numFmtId="0" fontId="2" fillId="0" borderId="0"/>
    <xf numFmtId="0" fontId="24" fillId="0" borderId="0" applyAlignment="1">
      <alignment vertical="center"/>
    </xf>
    <xf numFmtId="0" fontId="19" fillId="0" borderId="80"/>
    <xf numFmtId="177" fontId="19" fillId="0" borderId="0"/>
    <xf numFmtId="178" fontId="19" fillId="0" borderId="0"/>
    <xf numFmtId="0" fontId="7" fillId="0" borderId="0"/>
    <xf numFmtId="0" fontId="3" fillId="0" borderId="0"/>
    <xf numFmtId="0" fontId="2" fillId="0" borderId="0"/>
    <xf numFmtId="0" fontId="2" fillId="0" borderId="0"/>
    <xf numFmtId="0" fontId="2" fillId="0" borderId="0"/>
    <xf numFmtId="0" fontId="2" fillId="0" borderId="0"/>
    <xf numFmtId="0" fontId="73" fillId="0" borderId="0"/>
    <xf numFmtId="0" fontId="74" fillId="0" borderId="0" applyAlignment="1">
      <alignment vertical="center"/>
    </xf>
    <xf numFmtId="0" fontId="2" fillId="0" borderId="0"/>
    <xf numFmtId="0" fontId="2" fillId="0" borderId="0"/>
    <xf numFmtId="0" fontId="74" fillId="0" borderId="0" applyAlignment="1">
      <alignment vertical="center"/>
    </xf>
    <xf numFmtId="179" fontId="2" fillId="0" borderId="0" applyAlignment="1">
      <alignment vertical="center"/>
    </xf>
    <xf numFmtId="0" fontId="2" fillId="0" borderId="0"/>
  </cellStyleXfs>
  <cellXfs count="749">
    <xf numFmtId="0" fontId="0" fillId="0" borderId="0" pivotButton="0" quotePrefix="0" xfId="0"/>
    <xf numFmtId="0" fontId="27" fillId="0" borderId="0" pivotButton="0" quotePrefix="0" xfId="4"/>
    <xf numFmtId="0" fontId="27" fillId="0" borderId="0" pivotButton="0" quotePrefix="0" xfId="4"/>
    <xf numFmtId="0" fontId="28" fillId="0" borderId="0" applyAlignment="1" pivotButton="0" quotePrefix="0" xfId="4">
      <alignment horizontal="left" vertical="center"/>
    </xf>
    <xf numFmtId="0" fontId="29" fillId="0" borderId="0" applyAlignment="1" pivotButton="0" quotePrefix="0" xfId="4">
      <alignment vertical="center"/>
    </xf>
    <xf numFmtId="0" fontId="30" fillId="0" borderId="0" applyAlignment="1" pivotButton="0" quotePrefix="0" xfId="4">
      <alignment horizontal="center" vertical="center"/>
    </xf>
    <xf numFmtId="0" fontId="29" fillId="0" borderId="0" applyAlignment="1" pivotButton="0" quotePrefix="0" xfId="4">
      <alignment horizontal="left" vertical="center" wrapText="1" indent="1"/>
    </xf>
    <xf numFmtId="0" fontId="28" fillId="0" borderId="7" applyAlignment="1" pivotButton="0" quotePrefix="0" xfId="4">
      <alignment vertical="top" wrapText="1"/>
    </xf>
    <xf numFmtId="0" fontId="28" fillId="0" borderId="0" applyAlignment="1" pivotButton="0" quotePrefix="0" xfId="4">
      <alignment vertical="top" wrapText="1"/>
    </xf>
    <xf numFmtId="0" fontId="28" fillId="0" borderId="9" applyAlignment="1" pivotButton="0" quotePrefix="0" xfId="4">
      <alignment vertical="top" wrapText="1"/>
    </xf>
    <xf numFmtId="14" fontId="29" fillId="0" borderId="0" applyAlignment="1" pivotButton="0" quotePrefix="0" xfId="4">
      <alignment horizontal="center" vertical="center"/>
    </xf>
    <xf numFmtId="0" fontId="28" fillId="0" borderId="0" applyAlignment="1" pivotButton="0" quotePrefix="0" xfId="4">
      <alignment horizontal="center" vertical="center" wrapText="1"/>
    </xf>
    <xf numFmtId="0" fontId="28" fillId="0" borderId="0" applyAlignment="1" pivotButton="0" quotePrefix="0" xfId="4">
      <alignment vertical="center"/>
    </xf>
    <xf numFmtId="14" fontId="29" fillId="0" borderId="0" applyAlignment="1" pivotButton="0" quotePrefix="0" xfId="4">
      <alignment vertical="center"/>
    </xf>
    <xf numFmtId="0" fontId="32" fillId="0" borderId="0" applyAlignment="1" pivotButton="0" quotePrefix="0" xfId="4">
      <alignment horizontal="center" vertical="center" wrapText="1"/>
    </xf>
    <xf numFmtId="0" fontId="27" fillId="0" borderId="0" applyAlignment="1" pivotButton="0" quotePrefix="0" xfId="4">
      <alignment horizontal="center"/>
    </xf>
    <xf numFmtId="0" fontId="29" fillId="0" borderId="7" applyAlignment="1" pivotButton="0" quotePrefix="0" xfId="4">
      <alignment vertical="center"/>
    </xf>
    <xf numFmtId="0" fontId="29" fillId="0" borderId="17" applyAlignment="1" pivotButton="0" quotePrefix="0" xfId="4">
      <alignment vertical="center"/>
    </xf>
    <xf numFmtId="0" fontId="29" fillId="0" borderId="18" applyAlignment="1" pivotButton="0" quotePrefix="0" xfId="4">
      <alignment vertical="center"/>
    </xf>
    <xf numFmtId="0" fontId="29" fillId="0" borderId="0" pivotButton="0" quotePrefix="0" xfId="4"/>
    <xf numFmtId="0" fontId="33" fillId="0" borderId="0" applyAlignment="1" pivotButton="0" quotePrefix="0" xfId="0">
      <alignment vertical="center"/>
    </xf>
    <xf numFmtId="0" fontId="28" fillId="2" borderId="0" applyAlignment="1" pivotButton="0" quotePrefix="0" xfId="0">
      <alignment horizontal="right" vertical="center"/>
    </xf>
    <xf numFmtId="0" fontId="28" fillId="3" borderId="0" applyAlignment="1" pivotButton="0" quotePrefix="0" xfId="0">
      <alignment horizontal="right" vertical="center"/>
    </xf>
    <xf numFmtId="0" fontId="33" fillId="3" borderId="0" applyAlignment="1" pivotButton="0" quotePrefix="0" xfId="0">
      <alignment vertical="center"/>
    </xf>
    <xf numFmtId="0" fontId="28" fillId="0" borderId="0" applyAlignment="1" pivotButton="0" quotePrefix="0" xfId="0">
      <alignment horizontal="right" vertical="center"/>
    </xf>
    <xf numFmtId="0" fontId="28" fillId="0" borderId="13" applyAlignment="1" pivotButton="0" quotePrefix="0" xfId="0">
      <alignment horizontal="right" vertical="center"/>
    </xf>
    <xf numFmtId="0" fontId="28" fillId="2" borderId="0" applyAlignment="1" pivotButton="0" quotePrefix="0" xfId="0">
      <alignment vertical="center"/>
    </xf>
    <xf numFmtId="0" fontId="28" fillId="3" borderId="0" applyAlignment="1" pivotButton="0" quotePrefix="0" xfId="0">
      <alignment vertical="center"/>
    </xf>
    <xf numFmtId="0" fontId="28" fillId="0" borderId="0" applyAlignment="1" pivotButton="0" quotePrefix="0" xfId="0">
      <alignment vertical="center"/>
    </xf>
    <xf numFmtId="0" fontId="28" fillId="0" borderId="13" applyAlignment="1" pivotButton="0" quotePrefix="0" xfId="0">
      <alignment vertical="center"/>
    </xf>
    <xf numFmtId="0" fontId="28" fillId="2" borderId="18" applyAlignment="1" pivotButton="0" quotePrefix="0" xfId="0">
      <alignment vertical="center"/>
    </xf>
    <xf numFmtId="0" fontId="28" fillId="3" borderId="18" applyAlignment="1" pivotButton="0" quotePrefix="0" xfId="0">
      <alignment vertical="center"/>
    </xf>
    <xf numFmtId="0" fontId="28" fillId="0" borderId="18" applyAlignment="1" pivotButton="0" quotePrefix="0" xfId="0">
      <alignment vertical="center"/>
    </xf>
    <xf numFmtId="0" fontId="28" fillId="0" borderId="22" applyAlignment="1" pivotButton="0" quotePrefix="0" xfId="0">
      <alignment vertical="center"/>
    </xf>
    <xf numFmtId="0" fontId="33" fillId="0" borderId="0" applyAlignment="1" pivotButton="0" quotePrefix="0" xfId="0">
      <alignment vertical="center"/>
    </xf>
    <xf numFmtId="0" fontId="33" fillId="0" borderId="0" applyAlignment="1" pivotButton="0" quotePrefix="0" xfId="0">
      <alignment vertical="center" wrapText="1"/>
    </xf>
    <xf numFmtId="0" fontId="33" fillId="0" borderId="0" applyAlignment="1" pivotButton="0" quotePrefix="0" xfId="0">
      <alignment horizontal="center" vertical="center" wrapText="1"/>
    </xf>
    <xf numFmtId="0" fontId="28" fillId="0" borderId="7" applyAlignment="1" pivotButton="0" quotePrefix="0" xfId="4">
      <alignment horizontal="center" vertical="center" wrapText="1"/>
    </xf>
    <xf numFmtId="0" fontId="28" fillId="0" borderId="0" applyAlignment="1" pivotButton="0" quotePrefix="0" xfId="4">
      <alignment vertical="center" wrapText="1"/>
    </xf>
    <xf numFmtId="0" fontId="28" fillId="0" borderId="9" applyAlignment="1" pivotButton="0" quotePrefix="0" xfId="4">
      <alignment horizontal="center" vertical="center" wrapText="1"/>
    </xf>
    <xf numFmtId="0" fontId="28" fillId="6" borderId="14" applyAlignment="1" pivotButton="0" quotePrefix="0" xfId="0">
      <alignment horizontal="center" vertical="center" wrapText="1"/>
    </xf>
    <xf numFmtId="0" fontId="25" fillId="0" borderId="83" applyAlignment="1" pivotButton="0" quotePrefix="0" xfId="0">
      <alignment horizontal="center" vertical="center" wrapText="1"/>
    </xf>
    <xf numFmtId="0" fontId="25" fillId="0" borderId="84" applyAlignment="1" pivotButton="0" quotePrefix="0" xfId="0">
      <alignment horizontal="center" vertical="center" wrapText="1"/>
    </xf>
    <xf numFmtId="0" fontId="25" fillId="0" borderId="85" applyAlignment="1" pivotButton="0" quotePrefix="0" xfId="0">
      <alignment horizontal="center" vertical="center" wrapText="1"/>
    </xf>
    <xf numFmtId="0" fontId="28" fillId="6" borderId="32" applyAlignment="1" pivotButton="0" quotePrefix="0" xfId="0">
      <alignment horizontal="center" vertical="center" wrapText="1"/>
    </xf>
    <xf numFmtId="0" fontId="28" fillId="6" borderId="29" applyAlignment="1" pivotButton="0" quotePrefix="0" xfId="0">
      <alignment vertical="center" wrapText="1"/>
    </xf>
    <xf numFmtId="0" fontId="28" fillId="6" borderId="33" applyAlignment="1" pivotButton="0" quotePrefix="0" xfId="0">
      <alignment horizontal="center" vertical="center" wrapText="1"/>
    </xf>
    <xf numFmtId="0" fontId="30" fillId="2" borderId="64" applyAlignment="1" pivotButton="0" quotePrefix="0" xfId="7">
      <alignment vertical="center"/>
    </xf>
    <xf numFmtId="0" fontId="30" fillId="2" borderId="65" applyAlignment="1" pivotButton="0" quotePrefix="0" xfId="7">
      <alignment vertical="center"/>
    </xf>
    <xf numFmtId="0" fontId="26" fillId="2" borderId="65" applyAlignment="1" pivotButton="0" quotePrefix="0" xfId="7">
      <alignment vertical="center"/>
    </xf>
    <xf numFmtId="0" fontId="26" fillId="2" borderId="66" applyAlignment="1" pivotButton="0" quotePrefix="0" xfId="7">
      <alignment vertical="center"/>
    </xf>
    <xf numFmtId="0" fontId="30" fillId="2" borderId="0" applyAlignment="1" pivotButton="0" quotePrefix="0" xfId="7">
      <alignment vertical="center"/>
    </xf>
    <xf numFmtId="0" fontId="30" fillId="2" borderId="69" applyAlignment="1" pivotButton="0" quotePrefix="0" xfId="7">
      <alignment vertical="center"/>
    </xf>
    <xf numFmtId="0" fontId="30" fillId="2" borderId="18" applyAlignment="1" pivotButton="0" quotePrefix="0" xfId="7">
      <alignment vertical="center"/>
    </xf>
    <xf numFmtId="0" fontId="26" fillId="2" borderId="18" applyAlignment="1" pivotButton="0" quotePrefix="0" xfId="7">
      <alignment vertical="center"/>
    </xf>
    <xf numFmtId="0" fontId="26" fillId="2" borderId="22" applyAlignment="1" pivotButton="0" quotePrefix="0" xfId="7">
      <alignment vertical="center"/>
    </xf>
    <xf numFmtId="0" fontId="30" fillId="2" borderId="77" applyAlignment="1" pivotButton="0" quotePrefix="0" xfId="7">
      <alignment vertical="center"/>
    </xf>
    <xf numFmtId="0" fontId="30" fillId="2" borderId="20" applyAlignment="1" pivotButton="0" quotePrefix="0" xfId="7">
      <alignment vertical="center"/>
    </xf>
    <xf numFmtId="0" fontId="30" fillId="2" borderId="42" applyAlignment="1" pivotButton="0" quotePrefix="0" xfId="7">
      <alignment vertical="center"/>
    </xf>
    <xf numFmtId="0" fontId="30" fillId="2" borderId="78" applyAlignment="1" pivotButton="0" quotePrefix="0" xfId="7">
      <alignment vertical="center"/>
    </xf>
    <xf numFmtId="0" fontId="34" fillId="2" borderId="7" applyAlignment="1" pivotButton="0" quotePrefix="0" xfId="7">
      <alignment vertical="center"/>
    </xf>
    <xf numFmtId="0" fontId="34" fillId="2" borderId="0" applyAlignment="1" pivotButton="0" quotePrefix="0" xfId="7">
      <alignment vertical="center"/>
    </xf>
    <xf numFmtId="0" fontId="34" fillId="2" borderId="71" applyAlignment="1" pivotButton="0" quotePrefix="0" xfId="7">
      <alignment vertical="center"/>
    </xf>
    <xf numFmtId="0" fontId="34" fillId="2" borderId="70" applyAlignment="1" pivotButton="0" quotePrefix="0" xfId="7">
      <alignment vertical="center"/>
    </xf>
    <xf numFmtId="0" fontId="30" fillId="2" borderId="70" applyAlignment="1" pivotButton="0" quotePrefix="0" xfId="7">
      <alignment horizontal="left" vertical="center"/>
    </xf>
    <xf numFmtId="0" fontId="30" fillId="2" borderId="0" applyAlignment="1" pivotButton="0" quotePrefix="0" xfId="7">
      <alignment horizontal="left" vertical="center"/>
    </xf>
    <xf numFmtId="0" fontId="30" fillId="2" borderId="7" applyAlignment="1" pivotButton="0" quotePrefix="0" xfId="7">
      <alignment horizontal="left" vertical="center"/>
    </xf>
    <xf numFmtId="0" fontId="30" fillId="2" borderId="71" applyAlignment="1" pivotButton="0" quotePrefix="0" xfId="7">
      <alignment horizontal="left" vertical="center"/>
    </xf>
    <xf numFmtId="0" fontId="30" fillId="2" borderId="70" applyAlignment="1" pivotButton="0" quotePrefix="0" xfId="7">
      <alignment vertical="center"/>
    </xf>
    <xf numFmtId="0" fontId="30" fillId="2" borderId="0" applyAlignment="1" pivotButton="0" quotePrefix="0" xfId="7">
      <alignment vertical="center"/>
    </xf>
    <xf numFmtId="0" fontId="30" fillId="2" borderId="7" applyAlignment="1" pivotButton="0" quotePrefix="0" xfId="7">
      <alignment vertical="center"/>
    </xf>
    <xf numFmtId="0" fontId="30" fillId="2" borderId="71" applyAlignment="1" pivotButton="0" quotePrefix="0" xfId="7">
      <alignment vertical="center"/>
    </xf>
    <xf numFmtId="0" fontId="30" fillId="2" borderId="72" applyAlignment="1" pivotButton="0" quotePrefix="0" xfId="7">
      <alignment vertical="center"/>
    </xf>
    <xf numFmtId="0" fontId="30" fillId="2" borderId="73" applyAlignment="1" pivotButton="0" quotePrefix="0" xfId="7">
      <alignment vertical="center"/>
    </xf>
    <xf numFmtId="0" fontId="30" fillId="2" borderId="79" applyAlignment="1" pivotButton="0" quotePrefix="0" xfId="7">
      <alignment vertical="center"/>
    </xf>
    <xf numFmtId="0" fontId="30" fillId="2" borderId="74" applyAlignment="1" pivotButton="0" quotePrefix="0" xfId="7">
      <alignment vertical="center"/>
    </xf>
    <xf numFmtId="0" fontId="37" fillId="0" borderId="83" applyAlignment="1" pivotButton="0" quotePrefix="0" xfId="0">
      <alignment horizontal="center" vertical="center" wrapText="1"/>
    </xf>
    <xf numFmtId="0" fontId="37" fillId="0" borderId="25" applyAlignment="1" pivotButton="0" quotePrefix="0" xfId="0">
      <alignment horizontal="center" vertical="center" wrapText="1"/>
    </xf>
    <xf numFmtId="0" fontId="37" fillId="0" borderId="82" applyAlignment="1" pivotButton="0" quotePrefix="0" xfId="0">
      <alignment horizontal="left" vertical="center" wrapText="1"/>
    </xf>
    <xf numFmtId="0" fontId="37" fillId="0" borderId="25" applyAlignment="1" pivotButton="0" quotePrefix="0" xfId="0">
      <alignment horizontal="left" vertical="center" wrapText="1"/>
    </xf>
    <xf numFmtId="0" fontId="37" fillId="0" borderId="59" applyAlignment="1" pivotButton="0" quotePrefix="0" xfId="0">
      <alignment horizontal="center" vertical="center" wrapText="1"/>
    </xf>
    <xf numFmtId="0" fontId="37" fillId="0" borderId="26" applyAlignment="1" pivotButton="0" quotePrefix="0" xfId="0">
      <alignment horizontal="center" vertical="center" wrapText="1"/>
    </xf>
    <xf numFmtId="0" fontId="40" fillId="0" borderId="25" applyAlignment="1" pivotButton="0" quotePrefix="0" xfId="0">
      <alignment horizontal="left" vertical="center" wrapText="1"/>
    </xf>
    <xf numFmtId="0" fontId="37" fillId="0" borderId="58" applyAlignment="1" pivotButton="0" quotePrefix="0" xfId="0">
      <alignment horizontal="left" vertical="center" wrapText="1"/>
    </xf>
    <xf numFmtId="0" fontId="37" fillId="0" borderId="56" applyAlignment="1" pivotButton="0" quotePrefix="0" xfId="0">
      <alignment horizontal="left" vertical="center" wrapText="1"/>
    </xf>
    <xf numFmtId="0" fontId="37" fillId="0" borderId="57" applyAlignment="1" pivotButton="0" quotePrefix="0" xfId="0">
      <alignment horizontal="center" vertical="center" wrapText="1"/>
    </xf>
    <xf numFmtId="0" fontId="37" fillId="0" borderId="27" applyAlignment="1" pivotButton="0" quotePrefix="0" xfId="0">
      <alignment horizontal="center" vertical="center" wrapText="1"/>
    </xf>
    <xf numFmtId="0" fontId="37" fillId="0" borderId="28" applyAlignment="1" pivotButton="0" quotePrefix="0" xfId="0">
      <alignment horizontal="center" vertical="center" wrapText="1"/>
    </xf>
    <xf numFmtId="0" fontId="28" fillId="9" borderId="0" applyAlignment="1" pivotButton="0" quotePrefix="0" xfId="0">
      <alignment vertical="center"/>
    </xf>
    <xf numFmtId="0" fontId="28" fillId="9" borderId="13" applyAlignment="1" pivotButton="0" quotePrefix="0" xfId="0">
      <alignment vertical="center"/>
    </xf>
    <xf numFmtId="0" fontId="40" fillId="9" borderId="25" applyAlignment="1" pivotButton="0" quotePrefix="0" xfId="0">
      <alignment horizontal="left" vertical="top" wrapText="1"/>
    </xf>
    <xf numFmtId="0" fontId="40" fillId="9" borderId="25" applyAlignment="1" pivotButton="0" quotePrefix="0" xfId="0">
      <alignment horizontal="center" vertical="center" wrapText="1"/>
    </xf>
    <xf numFmtId="0" fontId="37" fillId="9" borderId="59" applyAlignment="1" pivotButton="0" quotePrefix="0" xfId="0">
      <alignment horizontal="center" vertical="center" wrapText="1"/>
    </xf>
    <xf numFmtId="0" fontId="40" fillId="9" borderId="26" applyAlignment="1" pivotButton="0" quotePrefix="0" xfId="0">
      <alignment horizontal="center" vertical="center" wrapText="1"/>
    </xf>
    <xf numFmtId="0" fontId="33" fillId="9" borderId="0" applyAlignment="1" pivotButton="0" quotePrefix="0" xfId="0">
      <alignment vertical="center"/>
    </xf>
    <xf numFmtId="0" fontId="37" fillId="0" borderId="47" applyAlignment="1" pivotButton="0" quotePrefix="0" xfId="0">
      <alignment horizontal="center" vertical="center" wrapText="1"/>
    </xf>
    <xf numFmtId="0" fontId="37" fillId="0" borderId="96" applyAlignment="1" pivotButton="0" quotePrefix="0" xfId="0">
      <alignment horizontal="center" vertical="center" wrapText="1"/>
    </xf>
    <xf numFmtId="0" fontId="37" fillId="0" borderId="48" applyAlignment="1" pivotButton="0" quotePrefix="0" xfId="0">
      <alignment horizontal="center" vertical="center" wrapText="1"/>
    </xf>
    <xf numFmtId="0" fontId="28" fillId="6" borderId="97" applyAlignment="1" pivotButton="0" quotePrefix="0" xfId="0">
      <alignment horizontal="center" vertical="center" wrapText="1"/>
    </xf>
    <xf numFmtId="0" fontId="37" fillId="0" borderId="95" applyAlignment="1" pivotButton="0" quotePrefix="0" xfId="0">
      <alignment horizontal="left" vertical="top" wrapText="1"/>
    </xf>
    <xf numFmtId="0" fontId="25" fillId="0" borderId="47" applyAlignment="1" pivotButton="0" quotePrefix="0" xfId="0">
      <alignment horizontal="center" vertical="center" wrapText="1"/>
    </xf>
    <xf numFmtId="0" fontId="41" fillId="0" borderId="93" applyAlignment="1" pivotButton="0" quotePrefix="0" xfId="0">
      <alignment vertical="center"/>
    </xf>
    <xf numFmtId="0" fontId="49" fillId="0" borderId="93" applyAlignment="1" pivotButton="0" quotePrefix="0" xfId="0">
      <alignment vertical="center"/>
    </xf>
    <xf numFmtId="0" fontId="50" fillId="0" borderId="0" applyAlignment="1" pivotButton="0" quotePrefix="0" xfId="0">
      <alignment vertical="center"/>
    </xf>
    <xf numFmtId="0" fontId="36" fillId="2" borderId="70" applyAlignment="1" pivotButton="0" quotePrefix="0" xfId="7">
      <alignment vertical="center" wrapText="1"/>
    </xf>
    <xf numFmtId="0" fontId="36" fillId="2" borderId="0" applyAlignment="1" pivotButton="0" quotePrefix="0" xfId="7">
      <alignment vertical="center" wrapText="1"/>
    </xf>
    <xf numFmtId="0" fontId="36" fillId="2" borderId="9" applyAlignment="1" pivotButton="0" quotePrefix="0" xfId="7">
      <alignment vertical="center" wrapText="1"/>
    </xf>
    <xf numFmtId="0" fontId="34" fillId="2" borderId="0" applyAlignment="1" pivotButton="0" quotePrefix="0" xfId="7">
      <alignment vertical="top" wrapText="1"/>
    </xf>
    <xf numFmtId="0" fontId="34" fillId="2" borderId="0" applyAlignment="1" pivotButton="0" quotePrefix="0" xfId="7">
      <alignment vertical="top"/>
    </xf>
    <xf numFmtId="0" fontId="34" fillId="2" borderId="9" applyAlignment="1" pivotButton="0" quotePrefix="0" xfId="7">
      <alignment vertical="top"/>
    </xf>
    <xf numFmtId="0" fontId="25" fillId="9" borderId="68" applyAlignment="1" pivotButton="0" quotePrefix="0" xfId="3">
      <alignment horizontal="center" vertical="center" wrapText="1"/>
    </xf>
    <xf numFmtId="0" fontId="25" fillId="9" borderId="68" applyAlignment="1" pivotButton="0" quotePrefix="0" xfId="4">
      <alignment horizontal="center" vertical="center" wrapText="1"/>
    </xf>
    <xf numFmtId="0" fontId="25" fillId="9" borderId="75" applyAlignment="1" pivotButton="0" quotePrefix="0" xfId="3">
      <alignment horizontal="center" vertical="center" wrapText="1"/>
    </xf>
    <xf numFmtId="0" fontId="33" fillId="9" borderId="0" pivotButton="0" quotePrefix="0" xfId="3"/>
    <xf numFmtId="0" fontId="25" fillId="9" borderId="4" applyAlignment="1" pivotButton="0" quotePrefix="0" xfId="3">
      <alignment horizontal="center" vertical="center" wrapText="1"/>
    </xf>
    <xf numFmtId="0" fontId="25" fillId="9" borderId="88" applyAlignment="1" pivotButton="0" quotePrefix="1" xfId="3">
      <alignment horizontal="center" vertical="center"/>
    </xf>
    <xf numFmtId="0" fontId="34" fillId="2" borderId="0" applyAlignment="1" pivotButton="0" quotePrefix="1" xfId="7">
      <alignment vertical="top"/>
    </xf>
    <xf numFmtId="0" fontId="29" fillId="0" borderId="0" applyAlignment="1" pivotButton="0" quotePrefix="0" xfId="4">
      <alignment horizontal="center" vertical="center"/>
    </xf>
    <xf numFmtId="0" fontId="29" fillId="0" borderId="9" applyAlignment="1" pivotButton="0" quotePrefix="0" xfId="4">
      <alignment horizontal="center" vertical="center"/>
    </xf>
    <xf numFmtId="0" fontId="29" fillId="0" borderId="18" applyAlignment="1" pivotButton="0" quotePrefix="0" xfId="4">
      <alignment horizontal="center" vertical="center"/>
    </xf>
    <xf numFmtId="0" fontId="28" fillId="0" borderId="0" applyAlignment="1" pivotButton="0" quotePrefix="0" xfId="4">
      <alignment horizontal="center" vertical="center" wrapText="1"/>
    </xf>
    <xf numFmtId="0" fontId="33" fillId="9" borderId="87" applyAlignment="1" pivotButton="0" quotePrefix="0" xfId="3">
      <alignment horizontal="center" vertical="center"/>
    </xf>
    <xf numFmtId="0" fontId="39" fillId="9" borderId="24" applyAlignment="1" pivotButton="0" quotePrefix="0" xfId="52">
      <alignment horizontal="center" vertical="center" wrapText="1"/>
    </xf>
    <xf numFmtId="0" fontId="39" fillId="9" borderId="4" applyAlignment="1" pivotButton="0" quotePrefix="0" xfId="52">
      <alignment horizontal="center" vertical="center" wrapText="1"/>
    </xf>
    <xf numFmtId="0" fontId="25" fillId="9" borderId="4" applyAlignment="1" pivotButton="0" quotePrefix="0" xfId="4">
      <alignment horizontal="center" vertical="center"/>
    </xf>
    <xf numFmtId="0" fontId="25" fillId="9" borderId="50" applyAlignment="1" pivotButton="0" quotePrefix="0" xfId="0">
      <alignment horizontal="center" vertical="center" wrapText="1"/>
    </xf>
    <xf numFmtId="0" fontId="25" fillId="9" borderId="39" applyAlignment="1" pivotButton="0" quotePrefix="0" xfId="4">
      <alignment horizontal="center" vertical="center" wrapText="1"/>
    </xf>
    <xf numFmtId="0" fontId="39" fillId="9" borderId="36" applyAlignment="1" pivotButton="0" quotePrefix="0" xfId="52">
      <alignment horizontal="center" vertical="center" wrapText="1"/>
    </xf>
    <xf numFmtId="0" fontId="25" fillId="9" borderId="39" applyAlignment="1" pivotButton="0" quotePrefix="0" xfId="0">
      <alignment horizontal="center" vertical="center" wrapText="1"/>
    </xf>
    <xf numFmtId="164" fontId="25" fillId="9" borderId="46" applyAlignment="1" pivotButton="0" quotePrefix="1" xfId="0">
      <alignment horizontal="center" vertical="center" wrapText="1"/>
    </xf>
    <xf numFmtId="0" fontId="40" fillId="9" borderId="98" applyAlignment="1" pivotButton="0" quotePrefix="0" xfId="0">
      <alignment horizontal="left" vertical="top" wrapText="1"/>
    </xf>
    <xf numFmtId="0" fontId="40" fillId="9" borderId="98" applyAlignment="1" pivotButton="0" quotePrefix="0" xfId="0">
      <alignment horizontal="center" vertical="center" wrapText="1"/>
    </xf>
    <xf numFmtId="0" fontId="37" fillId="9" borderId="102" applyAlignment="1" pivotButton="0" quotePrefix="0" xfId="0">
      <alignment horizontal="center" vertical="center" wrapText="1"/>
    </xf>
    <xf numFmtId="0" fontId="28" fillId="6" borderId="103" applyAlignment="1" pivotButton="0" quotePrefix="0" xfId="0">
      <alignment horizontal="center" vertical="center" wrapText="1"/>
    </xf>
    <xf numFmtId="0" fontId="28" fillId="9" borderId="104" applyAlignment="1" pivotButton="0" quotePrefix="0" xfId="0">
      <alignment vertical="center"/>
    </xf>
    <xf numFmtId="0" fontId="28" fillId="3" borderId="104" applyAlignment="1" pivotButton="0" quotePrefix="0" xfId="0">
      <alignment horizontal="right" vertical="center"/>
    </xf>
    <xf numFmtId="0" fontId="28" fillId="9" borderId="102" applyAlignment="1" pivotButton="0" quotePrefix="0" xfId="0">
      <alignment vertical="center"/>
    </xf>
    <xf numFmtId="0" fontId="33" fillId="9" borderId="104" applyAlignment="1" pivotButton="0" quotePrefix="0" xfId="0">
      <alignment vertical="center"/>
    </xf>
    <xf numFmtId="0" fontId="27" fillId="0" borderId="7" pivotButton="0" quotePrefix="0" xfId="4"/>
    <xf numFmtId="0" fontId="27" fillId="0" borderId="7" pivotButton="0" quotePrefix="0" xfId="4"/>
    <xf numFmtId="0" fontId="29" fillId="0" borderId="7" applyAlignment="1" pivotButton="0" quotePrefix="0" xfId="4">
      <alignment horizontal="center" vertical="center"/>
    </xf>
    <xf numFmtId="0" fontId="29" fillId="0" borderId="20" applyAlignment="1" pivotButton="0" quotePrefix="0" xfId="4">
      <alignment horizontal="left" vertical="center" wrapText="1" indent="1"/>
    </xf>
    <xf numFmtId="0" fontId="31" fillId="0" borderId="9" applyAlignment="1" pivotButton="0" quotePrefix="0" xfId="4">
      <alignment horizontal="center"/>
    </xf>
    <xf numFmtId="0" fontId="30" fillId="0" borderId="9" applyAlignment="1" pivotButton="0" quotePrefix="0" xfId="4">
      <alignment horizontal="center" vertical="center"/>
    </xf>
    <xf numFmtId="0" fontId="29" fillId="0" borderId="9" applyAlignment="1" pivotButton="0" quotePrefix="0" xfId="4">
      <alignment vertical="center"/>
    </xf>
    <xf numFmtId="0" fontId="30" fillId="0" borderId="8" applyAlignment="1" pivotButton="0" quotePrefix="0" xfId="4">
      <alignment horizontal="center" vertical="center"/>
    </xf>
    <xf numFmtId="0" fontId="31" fillId="0" borderId="41" applyAlignment="1" pivotButton="0" quotePrefix="0" xfId="4">
      <alignment horizontal="center"/>
    </xf>
    <xf numFmtId="0" fontId="29" fillId="0" borderId="19" applyAlignment="1" pivotButton="0" quotePrefix="0" xfId="4">
      <alignment vertical="center" wrapText="1"/>
    </xf>
    <xf numFmtId="0" fontId="29" fillId="0" borderId="106" applyAlignment="1" pivotButton="0" quotePrefix="0" xfId="4">
      <alignment vertical="center"/>
    </xf>
    <xf numFmtId="0" fontId="25" fillId="0" borderId="27" applyAlignment="1" pivotButton="0" quotePrefix="0" xfId="0">
      <alignment vertical="center" wrapText="1"/>
    </xf>
    <xf numFmtId="0" fontId="55" fillId="9" borderId="4" applyAlignment="1" pivotButton="0" quotePrefix="0" xfId="54">
      <alignment horizontal="center" vertical="center"/>
    </xf>
    <xf numFmtId="0" fontId="55" fillId="9" borderId="4" applyAlignment="1" pivotButton="0" quotePrefix="0" xfId="54">
      <alignment vertical="center"/>
    </xf>
    <xf numFmtId="0" fontId="55" fillId="9" borderId="4" applyAlignment="1" pivotButton="0" quotePrefix="0" xfId="3">
      <alignment horizontal="center" vertical="center" wrapText="1"/>
    </xf>
    <xf numFmtId="0" fontId="33" fillId="9" borderId="0" applyAlignment="1" pivotButton="0" quotePrefix="0" xfId="3">
      <alignment horizontal="center" vertical="center"/>
    </xf>
    <xf numFmtId="0" fontId="33" fillId="9" borderId="0" applyAlignment="1" pivotButton="0" quotePrefix="0" xfId="3">
      <alignment horizontal="left" vertical="center"/>
    </xf>
    <xf numFmtId="0" fontId="60" fillId="0" borderId="0" pivotButton="0" quotePrefix="0" xfId="50"/>
    <xf numFmtId="0" fontId="60" fillId="0" borderId="0" applyProtection="1" pivotButton="0" quotePrefix="0" xfId="50">
      <protection locked="1" hidden="1"/>
    </xf>
    <xf numFmtId="0" fontId="60" fillId="0" borderId="20" pivotButton="0" quotePrefix="0" xfId="50"/>
    <xf numFmtId="0" fontId="60" fillId="0" borderId="94" pivotButton="0" quotePrefix="0" xfId="50"/>
    <xf numFmtId="0" fontId="63" fillId="5" borderId="60" applyAlignment="1" pivotButton="0" quotePrefix="0" xfId="50">
      <alignment horizontal="center" vertical="center"/>
    </xf>
    <xf numFmtId="0" fontId="63" fillId="5" borderId="37" applyAlignment="1" pivotButton="0" quotePrefix="0" xfId="50">
      <alignment horizontal="center" vertical="center"/>
    </xf>
    <xf numFmtId="0" fontId="64" fillId="5" borderId="37" applyAlignment="1" pivotButton="0" quotePrefix="0" xfId="50">
      <alignment horizontal="center" vertical="center"/>
    </xf>
    <xf numFmtId="0" fontId="65" fillId="7" borderId="37" applyAlignment="1" applyProtection="1" pivotButton="0" quotePrefix="0" xfId="50">
      <alignment horizontal="center" vertical="center"/>
      <protection locked="0" hidden="0"/>
    </xf>
    <xf numFmtId="0" fontId="65" fillId="7" borderId="50" applyAlignment="1" applyProtection="1" pivotButton="0" quotePrefix="0" xfId="50">
      <alignment horizontal="center" vertical="center"/>
      <protection locked="0" hidden="0"/>
    </xf>
    <xf numFmtId="0" fontId="60" fillId="0" borderId="0" applyAlignment="1" pivotButton="0" quotePrefix="0" xfId="50">
      <alignment horizontal="center"/>
    </xf>
    <xf numFmtId="0" fontId="60" fillId="0" borderId="0" applyAlignment="1" applyProtection="1" pivotButton="0" quotePrefix="0" xfId="50">
      <alignment horizontal="center"/>
      <protection locked="1" hidden="1"/>
    </xf>
    <xf numFmtId="2" fontId="60" fillId="0" borderId="2" applyAlignment="1" pivotButton="0" quotePrefix="0" xfId="51">
      <alignment horizontal="center" vertical="center"/>
    </xf>
    <xf numFmtId="2" fontId="60" fillId="0" borderId="44" applyAlignment="1" pivotButton="0" quotePrefix="0" xfId="51">
      <alignment horizontal="center" vertical="center"/>
    </xf>
    <xf numFmtId="0" fontId="65" fillId="7" borderId="2" applyAlignment="1" applyProtection="1" pivotButton="0" quotePrefix="0" xfId="51">
      <alignment horizontal="center" vertical="center"/>
      <protection locked="0" hidden="0"/>
    </xf>
    <xf numFmtId="0" fontId="65" fillId="7" borderId="44" applyAlignment="1" applyProtection="1" pivotButton="0" quotePrefix="0" xfId="51">
      <alignment horizontal="center" vertical="center"/>
      <protection locked="0" hidden="0"/>
    </xf>
    <xf numFmtId="2" fontId="60" fillId="0" borderId="8" applyAlignment="1" pivotButton="0" quotePrefix="0" xfId="51">
      <alignment horizontal="center" vertical="center"/>
    </xf>
    <xf numFmtId="2" fontId="60" fillId="0" borderId="8" applyAlignment="1" applyProtection="1" pivotButton="0" quotePrefix="0" xfId="50">
      <alignment horizontal="center" vertical="center"/>
      <protection locked="0" hidden="0"/>
    </xf>
    <xf numFmtId="0" fontId="60" fillId="0" borderId="8" applyAlignment="1" applyProtection="1" pivotButton="0" quotePrefix="0" xfId="50">
      <alignment horizontal="center" vertical="center"/>
      <protection locked="0" hidden="0"/>
    </xf>
    <xf numFmtId="0" fontId="60" fillId="0" borderId="41" applyAlignment="1" applyProtection="1" pivotButton="0" quotePrefix="0" xfId="50">
      <alignment horizontal="center" vertical="center"/>
      <protection locked="0" hidden="0"/>
    </xf>
    <xf numFmtId="165" fontId="60" fillId="0" borderId="0" applyAlignment="1" pivotButton="0" quotePrefix="0" xfId="50">
      <alignment horizontal="center"/>
    </xf>
    <xf numFmtId="0" fontId="65" fillId="7" borderId="112" applyAlignment="1" applyProtection="1" pivotButton="0" quotePrefix="0" xfId="50">
      <alignment horizontal="center" vertical="center"/>
      <protection locked="0" hidden="0"/>
    </xf>
    <xf numFmtId="0" fontId="65" fillId="7" borderId="113" applyAlignment="1" applyProtection="1" pivotButton="0" quotePrefix="0" xfId="50">
      <alignment horizontal="center" vertical="center"/>
      <protection locked="0" hidden="0"/>
    </xf>
    <xf numFmtId="2" fontId="60" fillId="0" borderId="109" applyAlignment="1" pivotButton="0" quotePrefix="0" xfId="51">
      <alignment horizontal="center" vertical="center"/>
    </xf>
    <xf numFmtId="0" fontId="60" fillId="0" borderId="109" applyAlignment="1" applyProtection="1" pivotButton="0" quotePrefix="0" xfId="50">
      <alignment horizontal="center" vertical="center"/>
      <protection locked="0" hidden="0"/>
    </xf>
    <xf numFmtId="0" fontId="60" fillId="0" borderId="114" applyAlignment="1" applyProtection="1" pivotButton="0" quotePrefix="0" xfId="50">
      <alignment horizontal="center" vertical="center"/>
      <protection locked="0" hidden="0"/>
    </xf>
    <xf numFmtId="0" fontId="65" fillId="7" borderId="16" applyAlignment="1" applyProtection="1" pivotButton="0" quotePrefix="0" xfId="50">
      <alignment horizontal="center" vertical="center"/>
      <protection locked="0" hidden="0"/>
    </xf>
    <xf numFmtId="0" fontId="65" fillId="7" borderId="62" applyAlignment="1" applyProtection="1" pivotButton="0" quotePrefix="0" xfId="50">
      <alignment horizontal="center" vertical="center"/>
      <protection locked="0" hidden="0"/>
    </xf>
    <xf numFmtId="2" fontId="60" fillId="0" borderId="45" applyAlignment="1" pivotButton="0" quotePrefix="0" xfId="51">
      <alignment horizontal="center" vertical="center"/>
    </xf>
    <xf numFmtId="0" fontId="60" fillId="0" borderId="45" applyAlignment="1" applyProtection="1" pivotButton="0" quotePrefix="0" xfId="50">
      <alignment horizontal="center" vertical="center"/>
      <protection locked="0" hidden="0"/>
    </xf>
    <xf numFmtId="0" fontId="60" fillId="0" borderId="46" applyAlignment="1" applyProtection="1" pivotButton="0" quotePrefix="0" xfId="50">
      <alignment horizontal="center" vertical="center"/>
      <protection locked="0" hidden="0"/>
    </xf>
    <xf numFmtId="0" fontId="50" fillId="0" borderId="7" applyAlignment="1" applyProtection="1" pivotButton="0" quotePrefix="0" xfId="51">
      <alignment horizontal="center" vertical="center"/>
      <protection locked="0" hidden="0"/>
    </xf>
    <xf numFmtId="0" fontId="50" fillId="0" borderId="0" applyAlignment="1" applyProtection="1" pivotButton="0" quotePrefix="0" xfId="51">
      <alignment horizontal="center" vertical="center"/>
      <protection locked="0" hidden="0"/>
    </xf>
    <xf numFmtId="0" fontId="50" fillId="0" borderId="0" applyAlignment="1" applyProtection="1" pivotButton="0" quotePrefix="1" xfId="51">
      <alignment horizontal="center" vertical="center"/>
      <protection locked="0" hidden="0"/>
    </xf>
    <xf numFmtId="2" fontId="60" fillId="0" borderId="0" applyAlignment="1" pivotButton="0" quotePrefix="0" xfId="51">
      <alignment horizontal="center" vertical="center"/>
    </xf>
    <xf numFmtId="0" fontId="60" fillId="0" borderId="0" applyAlignment="1" applyProtection="1" pivotButton="0" quotePrefix="0" xfId="50">
      <alignment horizontal="center" vertical="center"/>
      <protection locked="0" hidden="0"/>
    </xf>
    <xf numFmtId="0" fontId="60" fillId="0" borderId="9" applyAlignment="1" applyProtection="1" pivotButton="0" quotePrefix="0" xfId="50">
      <alignment horizontal="center" vertical="center"/>
      <protection locked="0" hidden="0"/>
    </xf>
    <xf numFmtId="0" fontId="66" fillId="10" borderId="7" applyAlignment="1" applyProtection="1" pivotButton="0" quotePrefix="0" xfId="51">
      <alignment horizontal="center" vertical="center"/>
      <protection locked="0" hidden="0"/>
    </xf>
    <xf numFmtId="0" fontId="66" fillId="10" borderId="0" applyAlignment="1" applyProtection="1" pivotButton="0" quotePrefix="0" xfId="51">
      <alignment horizontal="center" vertical="center"/>
      <protection locked="0" hidden="0"/>
    </xf>
    <xf numFmtId="0" fontId="66" fillId="10" borderId="0" applyAlignment="1" applyProtection="1" pivotButton="0" quotePrefix="1" xfId="51">
      <alignment horizontal="center" vertical="center"/>
      <protection locked="0" hidden="0"/>
    </xf>
    <xf numFmtId="2" fontId="67" fillId="10" borderId="0" applyAlignment="1" pivotButton="0" quotePrefix="0" xfId="51">
      <alignment horizontal="center" vertical="center"/>
    </xf>
    <xf numFmtId="0" fontId="67" fillId="10" borderId="0" applyAlignment="1" applyProtection="1" pivotButton="0" quotePrefix="0" xfId="50">
      <alignment horizontal="center" vertical="center"/>
      <protection locked="0" hidden="0"/>
    </xf>
    <xf numFmtId="0" fontId="67" fillId="10" borderId="9" applyAlignment="1" applyProtection="1" pivotButton="0" quotePrefix="0" xfId="50">
      <alignment horizontal="center" vertical="center"/>
      <protection locked="0" hidden="0"/>
    </xf>
    <xf numFmtId="0" fontId="60" fillId="0" borderId="7" applyAlignment="1" pivotButton="0" quotePrefix="0" xfId="50">
      <alignment horizontal="center"/>
    </xf>
    <xf numFmtId="166" fontId="60" fillId="0" borderId="0" applyAlignment="1" pivotButton="0" quotePrefix="0" xfId="50">
      <alignment horizontal="center"/>
    </xf>
    <xf numFmtId="165" fontId="68" fillId="0" borderId="0" applyAlignment="1" pivotButton="0" quotePrefix="0" xfId="50">
      <alignment horizontal="center"/>
    </xf>
    <xf numFmtId="165" fontId="68" fillId="0" borderId="9" applyAlignment="1" pivotButton="0" quotePrefix="0" xfId="50">
      <alignment horizontal="center"/>
    </xf>
    <xf numFmtId="0" fontId="60" fillId="0" borderId="0" applyAlignment="1" pivotButton="0" quotePrefix="0" xfId="50">
      <alignment horizontal="left"/>
    </xf>
    <xf numFmtId="167" fontId="60" fillId="0" borderId="0" applyAlignment="1" pivotButton="0" quotePrefix="0" xfId="50">
      <alignment horizontal="center"/>
    </xf>
    <xf numFmtId="0" fontId="60" fillId="0" borderId="7" pivotButton="0" quotePrefix="0" xfId="50"/>
    <xf numFmtId="0" fontId="60" fillId="0" borderId="9" pivotButton="0" quotePrefix="0" xfId="50"/>
    <xf numFmtId="0" fontId="62" fillId="0" borderId="7" pivotButton="0" quotePrefix="0" xfId="50"/>
    <xf numFmtId="0" fontId="69" fillId="0" borderId="0" pivotButton="0" quotePrefix="0" xfId="50"/>
    <xf numFmtId="0" fontId="69" fillId="0" borderId="0" applyAlignment="1" pivotButton="0" quotePrefix="0" xfId="50">
      <alignment horizontal="center"/>
    </xf>
    <xf numFmtId="0" fontId="64" fillId="0" borderId="0" applyAlignment="1" pivotButton="0" quotePrefix="0" xfId="50">
      <alignment vertical="center" wrapText="1"/>
    </xf>
    <xf numFmtId="0" fontId="57" fillId="0" borderId="0" pivotButton="0" quotePrefix="0" xfId="50"/>
    <xf numFmtId="167" fontId="69" fillId="0" borderId="0" applyAlignment="1" pivotButton="0" quotePrefix="0" xfId="50">
      <alignment horizontal="center"/>
    </xf>
    <xf numFmtId="0" fontId="64" fillId="0" borderId="2" applyAlignment="1" pivotButton="0" quotePrefix="0" xfId="50">
      <alignment horizontal="center" vertical="center"/>
    </xf>
    <xf numFmtId="0" fontId="64" fillId="0" borderId="0" applyAlignment="1" pivotButton="0" quotePrefix="0" xfId="50">
      <alignment horizontal="center" vertical="center"/>
    </xf>
    <xf numFmtId="0" fontId="70" fillId="0" borderId="2" applyAlignment="1" pivotButton="0" quotePrefix="0" xfId="50">
      <alignment horizontal="center" vertical="center"/>
    </xf>
    <xf numFmtId="168" fontId="70" fillId="0" borderId="2" applyAlignment="1" pivotButton="0" quotePrefix="0" xfId="50">
      <alignment horizontal="center" vertical="center"/>
    </xf>
    <xf numFmtId="168" fontId="70" fillId="0" borderId="0" applyAlignment="1" pivotButton="0" quotePrefix="0" xfId="50">
      <alignment horizontal="center" vertical="center"/>
    </xf>
    <xf numFmtId="0" fontId="60" fillId="0" borderId="0" applyAlignment="1" pivotButton="0" quotePrefix="0" xfId="50">
      <alignment horizontal="right"/>
    </xf>
    <xf numFmtId="169" fontId="69" fillId="0" borderId="0" applyAlignment="1" pivotButton="0" quotePrefix="0" xfId="50">
      <alignment horizontal="center"/>
    </xf>
    <xf numFmtId="165" fontId="69" fillId="0" borderId="0" applyAlignment="1" pivotButton="0" quotePrefix="0" xfId="50">
      <alignment horizontal="center"/>
    </xf>
    <xf numFmtId="0" fontId="69" fillId="0" borderId="0" applyAlignment="1" pivotButton="0" quotePrefix="0" xfId="50">
      <alignment horizontal="left"/>
    </xf>
    <xf numFmtId="0" fontId="70" fillId="0" borderId="0" applyAlignment="1" pivotButton="0" quotePrefix="0" xfId="50">
      <alignment horizontal="center" vertical="center"/>
    </xf>
    <xf numFmtId="167" fontId="60" fillId="0" borderId="0" pivotButton="0" quotePrefix="0" xfId="50"/>
    <xf numFmtId="0" fontId="64" fillId="0" borderId="0" applyAlignment="1" pivotButton="0" quotePrefix="0" xfId="50">
      <alignment vertical="center"/>
    </xf>
    <xf numFmtId="2" fontId="60" fillId="0" borderId="0" applyAlignment="1" pivotButton="0" quotePrefix="0" xfId="50">
      <alignment horizontal="center"/>
    </xf>
    <xf numFmtId="170" fontId="70" fillId="0" borderId="2" applyAlignment="1" pivotButton="0" quotePrefix="0" xfId="50">
      <alignment horizontal="center" vertical="center"/>
    </xf>
    <xf numFmtId="170" fontId="70" fillId="0" borderId="0" applyAlignment="1" pivotButton="0" quotePrefix="0" xfId="50">
      <alignment horizontal="center" vertical="center"/>
    </xf>
    <xf numFmtId="0" fontId="71" fillId="0" borderId="0" applyAlignment="1" pivotButton="0" quotePrefix="0" xfId="50">
      <alignment horizontal="center"/>
    </xf>
    <xf numFmtId="169" fontId="60" fillId="0" borderId="0" applyAlignment="1" pivotButton="0" quotePrefix="0" xfId="50">
      <alignment horizontal="left"/>
    </xf>
    <xf numFmtId="167" fontId="69" fillId="0" borderId="0" pivotButton="0" quotePrefix="0" xfId="50"/>
    <xf numFmtId="0" fontId="72" fillId="0" borderId="0" applyAlignment="1" pivotButton="0" quotePrefix="0" xfId="50">
      <alignment horizontal="center"/>
    </xf>
    <xf numFmtId="171" fontId="70" fillId="0" borderId="2" applyAlignment="1" pivotButton="0" quotePrefix="0" xfId="50">
      <alignment horizontal="center" vertical="center"/>
    </xf>
    <xf numFmtId="171" fontId="70" fillId="0" borderId="0" applyAlignment="1" pivotButton="0" quotePrefix="0" xfId="50">
      <alignment horizontal="center" vertical="center"/>
    </xf>
    <xf numFmtId="0" fontId="64" fillId="11" borderId="2" applyAlignment="1" pivotButton="0" quotePrefix="0" xfId="50">
      <alignment horizontal="center" vertical="center"/>
    </xf>
    <xf numFmtId="168" fontId="64" fillId="11" borderId="2" applyAlignment="1" pivotButton="0" quotePrefix="0" xfId="50">
      <alignment horizontal="center" vertical="center"/>
    </xf>
    <xf numFmtId="168" fontId="64" fillId="0" borderId="0" applyAlignment="1" pivotButton="0" quotePrefix="0" xfId="50">
      <alignment horizontal="center" vertical="center"/>
    </xf>
    <xf numFmtId="0" fontId="57" fillId="0" borderId="7" pivotButton="0" quotePrefix="0" xfId="50"/>
    <xf numFmtId="0" fontId="69" fillId="0" borderId="0" applyAlignment="1" pivotButton="0" quotePrefix="0" xfId="50">
      <alignment horizontal="right"/>
    </xf>
    <xf numFmtId="170" fontId="69" fillId="0" borderId="0" applyAlignment="1" pivotButton="0" quotePrefix="0" xfId="50">
      <alignment horizontal="center"/>
    </xf>
    <xf numFmtId="4" fontId="57" fillId="0" borderId="0" pivotButton="0" quotePrefix="0" xfId="50"/>
    <xf numFmtId="172" fontId="60" fillId="0" borderId="0" pivotButton="0" quotePrefix="0" xfId="50"/>
    <xf numFmtId="0" fontId="71" fillId="0" borderId="7" pivotButton="0" quotePrefix="0" xfId="50"/>
    <xf numFmtId="0" fontId="60" fillId="0" borderId="17" pivotButton="0" quotePrefix="0" xfId="50"/>
    <xf numFmtId="0" fontId="60" fillId="0" borderId="18" applyAlignment="1" pivotButton="0" quotePrefix="0" xfId="50">
      <alignment horizontal="center"/>
    </xf>
    <xf numFmtId="0" fontId="60" fillId="0" borderId="18" pivotButton="0" quotePrefix="0" xfId="50"/>
    <xf numFmtId="0" fontId="57" fillId="0" borderId="18" pivotButton="0" quotePrefix="0" xfId="50"/>
    <xf numFmtId="0" fontId="69" fillId="0" borderId="18" applyAlignment="1" pivotButton="0" quotePrefix="0" xfId="50">
      <alignment horizontal="left"/>
    </xf>
    <xf numFmtId="167" fontId="69" fillId="0" borderId="18" applyAlignment="1" pivotButton="0" quotePrefix="0" xfId="50">
      <alignment horizontal="center"/>
    </xf>
    <xf numFmtId="0" fontId="69" fillId="0" borderId="18" applyAlignment="1" pivotButton="0" quotePrefix="0" xfId="50">
      <alignment horizontal="center"/>
    </xf>
    <xf numFmtId="0" fontId="60" fillId="0" borderId="19" pivotButton="0" quotePrefix="0" xfId="50"/>
    <xf numFmtId="0" fontId="57" fillId="0" borderId="0" pivotButton="0" quotePrefix="0" xfId="50"/>
    <xf numFmtId="0" fontId="56" fillId="0" borderId="0" pivotButton="0" quotePrefix="0" xfId="50"/>
    <xf numFmtId="0" fontId="75" fillId="0" borderId="0" applyAlignment="1" pivotButton="0" quotePrefix="0" xfId="60">
      <alignment horizontal="center" vertical="center"/>
    </xf>
    <xf numFmtId="0" fontId="75" fillId="0" borderId="0" applyAlignment="1" pivotButton="0" quotePrefix="0" xfId="60">
      <alignment horizontal="left" vertical="center"/>
    </xf>
    <xf numFmtId="0" fontId="75" fillId="0" borderId="0" applyAlignment="1" pivotButton="0" quotePrefix="0" xfId="60">
      <alignment vertical="center"/>
    </xf>
    <xf numFmtId="0" fontId="76" fillId="0" borderId="0" applyAlignment="1" pivotButton="0" quotePrefix="0" xfId="60">
      <alignment vertical="center"/>
    </xf>
    <xf numFmtId="0" fontId="77" fillId="0" borderId="0" applyAlignment="1" pivotButton="0" quotePrefix="0" xfId="60">
      <alignment vertical="center"/>
    </xf>
    <xf numFmtId="0" fontId="75" fillId="0" borderId="0" applyAlignment="1" pivotButton="0" quotePrefix="0" xfId="60">
      <alignment vertical="center"/>
    </xf>
    <xf numFmtId="0" fontId="77" fillId="0" borderId="16" applyAlignment="1" pivotButton="0" quotePrefix="0" xfId="60">
      <alignment vertical="center"/>
    </xf>
    <xf numFmtId="0" fontId="75" fillId="0" borderId="16" applyAlignment="1" pivotButton="0" quotePrefix="0" xfId="60">
      <alignment vertical="center"/>
    </xf>
    <xf numFmtId="16" fontId="75" fillId="13" borderId="4" applyAlignment="1" pivotButton="0" quotePrefix="0" xfId="60">
      <alignment vertical="center"/>
    </xf>
    <xf numFmtId="3" fontId="75" fillId="13" borderId="4" applyAlignment="1" pivotButton="0" quotePrefix="0" xfId="60">
      <alignment horizontal="center" vertical="center"/>
    </xf>
    <xf numFmtId="0" fontId="75" fillId="13" borderId="4" applyAlignment="1" pivotButton="0" quotePrefix="0" xfId="60">
      <alignment vertical="center"/>
    </xf>
    <xf numFmtId="0" fontId="75" fillId="13" borderId="4" applyAlignment="1" pivotButton="0" quotePrefix="0" xfId="60">
      <alignment horizontal="center" vertical="center"/>
    </xf>
    <xf numFmtId="0" fontId="75" fillId="0" borderId="4" applyAlignment="1" pivotButton="0" quotePrefix="0" xfId="60">
      <alignment vertical="center"/>
    </xf>
    <xf numFmtId="0" fontId="75" fillId="0" borderId="117" applyAlignment="1" pivotButton="0" quotePrefix="0" xfId="60">
      <alignment vertical="center"/>
    </xf>
    <xf numFmtId="0" fontId="75" fillId="0" borderId="99" applyAlignment="1" pivotButton="0" quotePrefix="0" xfId="60">
      <alignment vertical="center"/>
    </xf>
    <xf numFmtId="0" fontId="78" fillId="0" borderId="99" applyAlignment="1" pivotButton="0" quotePrefix="0" xfId="60">
      <alignment vertical="center"/>
    </xf>
    <xf numFmtId="0" fontId="75" fillId="0" borderId="99" applyAlignment="1" pivotButton="0" quotePrefix="0" xfId="60">
      <alignment vertical="center"/>
    </xf>
    <xf numFmtId="0" fontId="75" fillId="0" borderId="99" applyAlignment="1" pivotButton="0" quotePrefix="0" xfId="60">
      <alignment horizontal="center" vertical="center"/>
    </xf>
    <xf numFmtId="0" fontId="75" fillId="0" borderId="118" applyAlignment="1" pivotButton="0" quotePrefix="0" xfId="60">
      <alignment vertical="center"/>
    </xf>
    <xf numFmtId="0" fontId="75" fillId="0" borderId="93" applyAlignment="1" pivotButton="0" quotePrefix="0" xfId="60">
      <alignment vertical="center"/>
    </xf>
    <xf numFmtId="0" fontId="75" fillId="0" borderId="93" applyAlignment="1" pivotButton="0" quotePrefix="0" xfId="60">
      <alignment horizontal="center" vertical="center"/>
    </xf>
    <xf numFmtId="0" fontId="75" fillId="0" borderId="119" applyAlignment="1" pivotButton="0" quotePrefix="0" xfId="60">
      <alignment vertical="center"/>
    </xf>
    <xf numFmtId="0" fontId="75" fillId="0" borderId="0" applyAlignment="1" pivotButton="0" quotePrefix="0" xfId="60">
      <alignment horizontal="left" vertical="center" wrapText="1"/>
    </xf>
    <xf numFmtId="0" fontId="41" fillId="0" borderId="93" applyAlignment="1" pivotButton="0" quotePrefix="1" xfId="0">
      <alignment horizontal="center" vertical="center"/>
    </xf>
    <xf numFmtId="0" fontId="34" fillId="2" borderId="70" applyAlignment="1" pivotButton="0" quotePrefix="0" xfId="0">
      <alignment vertical="center"/>
    </xf>
    <xf numFmtId="0" fontId="34" fillId="9" borderId="0" applyAlignment="1" pivotButton="0" quotePrefix="0" xfId="0">
      <alignment vertical="center"/>
    </xf>
    <xf numFmtId="0" fontId="33" fillId="9" borderId="4" applyAlignment="1" pivotButton="0" quotePrefix="0" xfId="54">
      <alignment horizontal="center" vertical="center" wrapText="1"/>
    </xf>
    <xf numFmtId="0" fontId="33" fillId="9" borderId="4" applyAlignment="1" pivotButton="0" quotePrefix="0" xfId="62">
      <alignment horizontal="center" vertical="center" wrapText="1"/>
    </xf>
    <xf numFmtId="0" fontId="33" fillId="9" borderId="87" applyAlignment="1" pivotButton="0" quotePrefix="0" xfId="62">
      <alignment horizontal="center" vertical="center"/>
    </xf>
    <xf numFmtId="0" fontId="33" fillId="9" borderId="4" applyAlignment="1" pivotButton="0" quotePrefix="0" xfId="62">
      <alignment horizontal="center" vertical="center"/>
    </xf>
    <xf numFmtId="0" fontId="33" fillId="9" borderId="88" applyAlignment="1" pivotButton="0" quotePrefix="0" xfId="62">
      <alignment horizontal="center" vertical="center"/>
    </xf>
    <xf numFmtId="0" fontId="55" fillId="9" borderId="88" applyAlignment="1" pivotButton="0" quotePrefix="0" xfId="3">
      <alignment horizontal="center" vertical="center" wrapText="1"/>
    </xf>
    <xf numFmtId="0" fontId="41" fillId="0" borderId="99" applyAlignment="1" pivotButton="0" quotePrefix="0" xfId="0">
      <alignment horizontal="center" vertical="center" wrapText="1"/>
    </xf>
    <xf numFmtId="0" fontId="41" fillId="0" borderId="6" applyAlignment="1" pivotButton="0" quotePrefix="0" xfId="0">
      <alignment horizontal="center" vertical="center"/>
    </xf>
    <xf numFmtId="0" fontId="41" fillId="0" borderId="5" applyAlignment="1" pivotButton="0" quotePrefix="0" xfId="0">
      <alignment horizontal="center" vertical="center"/>
    </xf>
    <xf numFmtId="0" fontId="79" fillId="0" borderId="6" applyAlignment="1" pivotButton="0" quotePrefix="0" xfId="0">
      <alignment horizontal="center" vertical="center"/>
    </xf>
    <xf numFmtId="0" fontId="47" fillId="0" borderId="5" applyAlignment="1" pivotButton="0" quotePrefix="0" xfId="0">
      <alignment horizontal="center" vertical="center"/>
    </xf>
    <xf numFmtId="0" fontId="41" fillId="0" borderId="10" applyAlignment="1" pivotButton="0" quotePrefix="0" xfId="0">
      <alignment horizontal="center" vertical="center"/>
    </xf>
    <xf numFmtId="0" fontId="41" fillId="0" borderId="11" applyAlignment="1" pivotButton="0" quotePrefix="0" xfId="0">
      <alignment horizontal="center" vertical="center"/>
    </xf>
    <xf numFmtId="0" fontId="41" fillId="0" borderId="15" applyAlignment="1" pivotButton="0" quotePrefix="0" xfId="0">
      <alignment horizontal="center" vertical="center"/>
    </xf>
    <xf numFmtId="0" fontId="41" fillId="0" borderId="30" applyAlignment="1" pivotButton="0" quotePrefix="0" xfId="0">
      <alignment horizontal="center" vertical="center"/>
    </xf>
    <xf numFmtId="0" fontId="41" fillId="0" borderId="93" applyAlignment="1" pivotButton="0" quotePrefix="0" xfId="0">
      <alignment horizontal="center" vertical="center"/>
    </xf>
    <xf numFmtId="14" fontId="41" fillId="0" borderId="93" applyAlignment="1" pivotButton="0" quotePrefix="0" xfId="0">
      <alignment horizontal="center" vertical="center"/>
    </xf>
    <xf numFmtId="0" fontId="41" fillId="0" borderId="120" applyAlignment="1" pivotButton="0" quotePrefix="0" xfId="0">
      <alignment horizontal="center" vertical="center"/>
    </xf>
    <xf numFmtId="0" fontId="41" fillId="0" borderId="99" applyAlignment="1" pivotButton="0" quotePrefix="0" xfId="0">
      <alignment horizontal="center" vertical="center" wrapText="1"/>
    </xf>
    <xf numFmtId="0" fontId="41" fillId="0" borderId="99" applyAlignment="1" pivotButton="0" quotePrefix="0" xfId="0">
      <alignment horizontal="center" vertical="center"/>
    </xf>
    <xf numFmtId="0" fontId="48" fillId="0" borderId="4" applyAlignment="1" pivotButton="0" quotePrefix="0" xfId="0">
      <alignment horizontal="center" vertical="center"/>
    </xf>
    <xf numFmtId="0" fontId="45" fillId="0" borderId="4" applyAlignment="1" pivotButton="0" quotePrefix="0" xfId="0">
      <alignment horizontal="center" vertical="center"/>
    </xf>
    <xf numFmtId="0" fontId="45" fillId="0" borderId="31" applyAlignment="1" pivotButton="0" quotePrefix="0" xfId="0">
      <alignment horizontal="center" vertical="center"/>
    </xf>
    <xf numFmtId="0" fontId="41" fillId="0" borderId="16" applyAlignment="1" pivotButton="0" quotePrefix="0" xfId="0">
      <alignment horizontal="center" vertical="center"/>
    </xf>
    <xf numFmtId="0" fontId="47" fillId="0" borderId="0" applyAlignment="1" pivotButton="0" quotePrefix="0" xfId="0">
      <alignment horizontal="left" vertical="center"/>
    </xf>
    <xf numFmtId="0" fontId="41" fillId="0" borderId="4" applyAlignment="1" pivotButton="0" quotePrefix="0" xfId="0">
      <alignment horizontal="center" vertical="center"/>
    </xf>
    <xf numFmtId="0" fontId="42" fillId="0" borderId="4" applyAlignment="1" pivotButton="0" quotePrefix="0" xfId="0">
      <alignment horizontal="center" vertical="center"/>
    </xf>
    <xf numFmtId="0" fontId="44" fillId="0" borderId="6" applyAlignment="1" pivotButton="0" quotePrefix="0" xfId="0">
      <alignment horizontal="left" vertical="center" wrapText="1"/>
    </xf>
    <xf numFmtId="0" fontId="44" fillId="0" borderId="5" applyAlignment="1" pivotButton="0" quotePrefix="0" xfId="0">
      <alignment horizontal="left" vertical="center"/>
    </xf>
    <xf numFmtId="14" fontId="41" fillId="0" borderId="6" applyAlignment="1" pivotButton="0" quotePrefix="0" xfId="0">
      <alignment horizontal="center" vertical="center"/>
    </xf>
    <xf numFmtId="173" fontId="41" fillId="0" borderId="6" applyAlignment="1" pivotButton="0" quotePrefix="1" xfId="0">
      <alignment horizontal="center" vertical="center"/>
    </xf>
    <xf numFmtId="0" fontId="29" fillId="0" borderId="0" applyAlignment="1" pivotButton="0" quotePrefix="0" xfId="4">
      <alignment horizontal="center" vertical="center"/>
    </xf>
    <xf numFmtId="0" fontId="29" fillId="0" borderId="9" applyAlignment="1" pivotButton="0" quotePrefix="0" xfId="4">
      <alignment horizontal="center" vertical="center"/>
    </xf>
    <xf numFmtId="0" fontId="26" fillId="2" borderId="105" applyAlignment="1" pivotButton="0" quotePrefix="0" xfId="4">
      <alignment horizontal="center" vertical="center"/>
    </xf>
    <xf numFmtId="0" fontId="26" fillId="2" borderId="65" applyAlignment="1" pivotButton="0" quotePrefix="0" xfId="4">
      <alignment horizontal="center" vertical="center"/>
    </xf>
    <xf numFmtId="0" fontId="26" fillId="2" borderId="66" applyAlignment="1" pivotButton="0" quotePrefix="0" xfId="4">
      <alignment horizontal="center" vertical="center"/>
    </xf>
    <xf numFmtId="0" fontId="26" fillId="2" borderId="51" applyAlignment="1" pivotButton="0" quotePrefix="0" xfId="4">
      <alignment horizontal="center" vertical="center"/>
    </xf>
    <xf numFmtId="0" fontId="26" fillId="2" borderId="16" applyAlignment="1" pivotButton="0" quotePrefix="0" xfId="4">
      <alignment horizontal="center" vertical="center"/>
    </xf>
    <xf numFmtId="0" fontId="26" fillId="2" borderId="30" applyAlignment="1" pivotButton="0" quotePrefix="0" xfId="4">
      <alignment horizontal="center" vertical="center"/>
    </xf>
    <xf numFmtId="0" fontId="35" fillId="2" borderId="67" applyAlignment="1" pivotButton="0" quotePrefix="0" xfId="4">
      <alignment horizontal="center" vertical="center" wrapText="1"/>
    </xf>
    <xf numFmtId="0" fontId="35" fillId="2" borderId="65" applyAlignment="1" pivotButton="0" quotePrefix="0" xfId="4">
      <alignment horizontal="center" vertical="center"/>
    </xf>
    <xf numFmtId="0" fontId="35" fillId="2" borderId="66" applyAlignment="1" pivotButton="0" quotePrefix="0" xfId="4">
      <alignment horizontal="center" vertical="center"/>
    </xf>
    <xf numFmtId="0" fontId="35" fillId="2" borderId="15" applyAlignment="1" pivotButton="0" quotePrefix="0" xfId="4">
      <alignment horizontal="center" vertical="center"/>
    </xf>
    <xf numFmtId="0" fontId="35" fillId="2" borderId="16" applyAlignment="1" pivotButton="0" quotePrefix="0" xfId="4">
      <alignment horizontal="center" vertical="center"/>
    </xf>
    <xf numFmtId="0" fontId="35" fillId="2" borderId="30" applyAlignment="1" pivotButton="0" quotePrefix="0" xfId="4">
      <alignment horizontal="center" vertical="center"/>
    </xf>
    <xf numFmtId="0" fontId="39" fillId="9" borderId="36" applyAlignment="1" pivotButton="0" quotePrefix="0" xfId="52">
      <alignment horizontal="center" vertical="center" wrapText="1"/>
    </xf>
    <xf numFmtId="0" fontId="39" fillId="9" borderId="37" applyAlignment="1" pivotButton="0" quotePrefix="0" xfId="52">
      <alignment horizontal="center" vertical="center"/>
    </xf>
    <xf numFmtId="0" fontId="39" fillId="9" borderId="50" applyAlignment="1" pivotButton="0" quotePrefix="0" xfId="52">
      <alignment horizontal="center" vertical="center"/>
    </xf>
    <xf numFmtId="0" fontId="25" fillId="9" borderId="6" applyAlignment="1" pivotButton="0" quotePrefix="1" xfId="4">
      <alignment horizontal="center" vertical="center"/>
    </xf>
    <xf numFmtId="0" fontId="25" fillId="9" borderId="2" applyAlignment="1" pivotButton="0" quotePrefix="0" xfId="4">
      <alignment horizontal="center" vertical="center"/>
    </xf>
    <xf numFmtId="0" fontId="25" fillId="9" borderId="44" applyAlignment="1" pivotButton="0" quotePrefix="0" xfId="4">
      <alignment horizontal="center" vertical="center"/>
    </xf>
    <xf numFmtId="0" fontId="39" fillId="8" borderId="60" applyAlignment="1" pivotButton="0" quotePrefix="0" xfId="4">
      <alignment horizontal="center" vertical="center" wrapText="1"/>
    </xf>
    <xf numFmtId="0" fontId="39" fillId="8" borderId="49" applyAlignment="1" pivotButton="0" quotePrefix="0" xfId="4">
      <alignment horizontal="center" vertical="center" wrapText="1"/>
    </xf>
    <xf numFmtId="0" fontId="38" fillId="9" borderId="36" applyAlignment="1" pivotButton="0" quotePrefix="0" xfId="52">
      <alignment horizontal="left" vertical="center" wrapText="1"/>
    </xf>
    <xf numFmtId="0" fontId="25" fillId="9" borderId="37" applyAlignment="1" pivotButton="0" quotePrefix="0" xfId="52">
      <alignment horizontal="left" vertical="center" wrapText="1"/>
    </xf>
    <xf numFmtId="0" fontId="25" fillId="9" borderId="50" applyAlignment="1" pivotButton="0" quotePrefix="0" xfId="52">
      <alignment horizontal="left" vertical="center" wrapText="1"/>
    </xf>
    <xf numFmtId="0" fontId="28" fillId="8" borderId="60" applyAlignment="1" pivotButton="0" quotePrefix="0" xfId="4">
      <alignment horizontal="center" vertical="center" wrapText="1"/>
    </xf>
    <xf numFmtId="0" fontId="28" fillId="8" borderId="37" applyAlignment="1" pivotButton="0" quotePrefix="0" xfId="4">
      <alignment horizontal="center" vertical="center" wrapText="1"/>
    </xf>
    <xf numFmtId="0" fontId="31" fillId="8" borderId="37" applyAlignment="1" pivotButton="0" quotePrefix="0" xfId="4">
      <alignment horizontal="center"/>
    </xf>
    <xf numFmtId="0" fontId="27" fillId="8" borderId="37" applyAlignment="1" pivotButton="0" quotePrefix="0" xfId="4">
      <alignment horizontal="center"/>
    </xf>
    <xf numFmtId="0" fontId="34" fillId="8" borderId="50" applyAlignment="1" pivotButton="0" quotePrefix="0" xfId="4">
      <alignment horizontal="center" vertical="center" wrapText="1"/>
    </xf>
    <xf numFmtId="0" fontId="39" fillId="8" borderId="63" applyAlignment="1" pivotButton="0" quotePrefix="0" xfId="4">
      <alignment horizontal="center" vertical="center" wrapText="1"/>
    </xf>
    <xf numFmtId="0" fontId="39" fillId="8" borderId="5" applyAlignment="1" pivotButton="0" quotePrefix="0" xfId="4">
      <alignment horizontal="center" vertical="center" wrapText="1"/>
    </xf>
    <xf numFmtId="0" fontId="38" fillId="9" borderId="6" applyAlignment="1" pivotButton="0" quotePrefix="0" xfId="52">
      <alignment horizontal="left" vertical="center" wrapText="1"/>
    </xf>
    <xf numFmtId="0" fontId="25" fillId="9" borderId="2" applyAlignment="1" pivotButton="0" quotePrefix="0" xfId="52">
      <alignment horizontal="left" vertical="center" wrapText="1"/>
    </xf>
    <xf numFmtId="0" fontId="25" fillId="9" borderId="44" applyAlignment="1" pivotButton="0" quotePrefix="0" xfId="52">
      <alignment horizontal="left" vertical="center" wrapText="1"/>
    </xf>
    <xf numFmtId="0" fontId="28" fillId="0" borderId="7" applyAlignment="1" pivotButton="0" quotePrefix="0" xfId="4">
      <alignment horizontal="center" vertical="center" wrapText="1"/>
    </xf>
    <xf numFmtId="0" fontId="28" fillId="0" borderId="0" applyAlignment="1" pivotButton="0" quotePrefix="0" xfId="4">
      <alignment horizontal="center" vertical="center" wrapText="1"/>
    </xf>
    <xf numFmtId="0" fontId="25" fillId="8" borderId="43" applyAlignment="1" pivotButton="0" quotePrefix="0" xfId="4">
      <alignment horizontal="center" vertical="center" wrapText="1"/>
    </xf>
    <xf numFmtId="0" fontId="25" fillId="8" borderId="11" applyAlignment="1" pivotButton="0" quotePrefix="0" xfId="4">
      <alignment horizontal="center" vertical="center" wrapText="1"/>
    </xf>
    <xf numFmtId="0" fontId="25" fillId="8" borderId="7" applyAlignment="1" pivotButton="0" quotePrefix="0" xfId="4">
      <alignment horizontal="center" vertical="center" wrapText="1"/>
    </xf>
    <xf numFmtId="0" fontId="25" fillId="8" borderId="13" applyAlignment="1" pivotButton="0" quotePrefix="0" xfId="4">
      <alignment horizontal="center" vertical="center" wrapText="1"/>
    </xf>
    <xf numFmtId="0" fontId="25" fillId="8" borderId="51" applyAlignment="1" pivotButton="0" quotePrefix="0" xfId="4">
      <alignment horizontal="center" vertical="center" wrapText="1"/>
    </xf>
    <xf numFmtId="0" fontId="25" fillId="8" borderId="30" applyAlignment="1" pivotButton="0" quotePrefix="0" xfId="4">
      <alignment horizontal="center" vertical="center" wrapText="1"/>
    </xf>
    <xf numFmtId="0" fontId="54" fillId="0" borderId="10" applyAlignment="1" pivotButton="0" quotePrefix="0" xfId="4">
      <alignment horizontal="left" vertical="center" wrapText="1"/>
    </xf>
    <xf numFmtId="0" fontId="54" fillId="0" borderId="8" applyAlignment="1" pivotButton="0" quotePrefix="0" xfId="4">
      <alignment horizontal="left" vertical="center" wrapText="1"/>
    </xf>
    <xf numFmtId="0" fontId="54" fillId="0" borderId="41" applyAlignment="1" pivotButton="0" quotePrefix="0" xfId="4">
      <alignment horizontal="left" vertical="center" wrapText="1"/>
    </xf>
    <xf numFmtId="0" fontId="54" fillId="0" borderId="12" applyAlignment="1" pivotButton="0" quotePrefix="0" xfId="4">
      <alignment horizontal="left" vertical="center" wrapText="1"/>
    </xf>
    <xf numFmtId="0" fontId="54" fillId="0" borderId="0" applyAlignment="1" pivotButton="0" quotePrefix="0" xfId="4">
      <alignment horizontal="left" vertical="center" wrapText="1"/>
    </xf>
    <xf numFmtId="0" fontId="54" fillId="0" borderId="9" applyAlignment="1" pivotButton="0" quotePrefix="0" xfId="4">
      <alignment horizontal="left" vertical="center" wrapText="1"/>
    </xf>
    <xf numFmtId="0" fontId="54" fillId="0" borderId="15" applyAlignment="1" pivotButton="0" quotePrefix="0" xfId="4">
      <alignment horizontal="left" vertical="center" wrapText="1"/>
    </xf>
    <xf numFmtId="0" fontId="54" fillId="0" borderId="16" applyAlignment="1" pivotButton="0" quotePrefix="0" xfId="4">
      <alignment horizontal="left" vertical="center" wrapText="1"/>
    </xf>
    <xf numFmtId="0" fontId="54" fillId="0" borderId="62" applyAlignment="1" pivotButton="0" quotePrefix="0" xfId="4">
      <alignment horizontal="left" vertical="center" wrapText="1"/>
    </xf>
    <xf numFmtId="0" fontId="40" fillId="8" borderId="40" applyAlignment="1" pivotButton="0" quotePrefix="0" xfId="4">
      <alignment horizontal="center" vertical="center" wrapText="1"/>
    </xf>
    <xf numFmtId="0" fontId="25" fillId="8" borderId="39" applyAlignment="1" pivotButton="0" quotePrefix="0" xfId="4">
      <alignment horizontal="center" vertical="center" wrapText="1"/>
    </xf>
    <xf numFmtId="0" fontId="40" fillId="9" borderId="38" applyAlignment="1" pivotButton="0" quotePrefix="0" xfId="4">
      <alignment horizontal="left" vertical="center" wrapText="1"/>
    </xf>
    <xf numFmtId="0" fontId="25" fillId="9" borderId="45" applyAlignment="1" pivotButton="0" quotePrefix="0" xfId="4">
      <alignment horizontal="left" vertical="center" wrapText="1"/>
    </xf>
    <xf numFmtId="0" fontId="25" fillId="9" borderId="46" applyAlignment="1" pivotButton="0" quotePrefix="0" xfId="4">
      <alignment horizontal="left" vertical="center" wrapText="1"/>
    </xf>
    <xf numFmtId="0" fontId="25" fillId="8" borderId="42" applyAlignment="1" pivotButton="0" quotePrefix="0" xfId="4">
      <alignment horizontal="center" vertical="center" wrapText="1"/>
    </xf>
    <xf numFmtId="0" fontId="25" fillId="8" borderId="20" applyAlignment="1" pivotButton="0" quotePrefix="0" xfId="4">
      <alignment horizontal="center" vertical="center" wrapText="1"/>
    </xf>
    <xf numFmtId="0" fontId="25" fillId="8" borderId="94" applyAlignment="1" pivotButton="0" quotePrefix="0" xfId="4">
      <alignment horizontal="center" vertical="center" wrapText="1"/>
    </xf>
    <xf numFmtId="0" fontId="25" fillId="9" borderId="42" applyAlignment="1" pivotButton="0" quotePrefix="0" xfId="4">
      <alignment horizontal="center" vertical="center" wrapText="1"/>
    </xf>
    <xf numFmtId="0" fontId="25" fillId="9" borderId="7" applyAlignment="1" pivotButton="0" quotePrefix="0" xfId="4">
      <alignment horizontal="center" vertical="center" wrapText="1"/>
    </xf>
    <xf numFmtId="0" fontId="25" fillId="9" borderId="20" applyAlignment="1" pivotButton="0" quotePrefix="0" xfId="4">
      <alignment horizontal="center" vertical="center" wrapText="1"/>
    </xf>
    <xf numFmtId="0" fontId="25" fillId="9" borderId="0" applyAlignment="1" pivotButton="0" quotePrefix="0" xfId="4">
      <alignment horizontal="center" vertical="center" wrapText="1"/>
    </xf>
    <xf numFmtId="0" fontId="25" fillId="9" borderId="94" applyAlignment="1" pivotButton="0" quotePrefix="0" xfId="4">
      <alignment horizontal="center" vertical="center" wrapText="1"/>
    </xf>
    <xf numFmtId="0" fontId="25" fillId="9" borderId="9" applyAlignment="1" pivotButton="0" quotePrefix="0" xfId="4">
      <alignment horizontal="center" vertical="center" wrapText="1"/>
    </xf>
    <xf numFmtId="0" fontId="25" fillId="0" borderId="7" applyAlignment="1" pivotButton="0" quotePrefix="0" xfId="4">
      <alignment horizontal="center" vertical="center"/>
    </xf>
    <xf numFmtId="0" fontId="25" fillId="0" borderId="0" applyAlignment="1" pivotButton="0" quotePrefix="0" xfId="4">
      <alignment horizontal="center" vertical="center"/>
    </xf>
    <xf numFmtId="14" fontId="25" fillId="0" borderId="0" applyAlignment="1" pivotButton="0" quotePrefix="0" xfId="4">
      <alignment horizontal="left" vertical="center" indent="1"/>
    </xf>
    <xf numFmtId="14" fontId="25" fillId="0" borderId="9" applyAlignment="1" pivotButton="0" quotePrefix="0" xfId="4">
      <alignment horizontal="left" vertical="center" indent="1"/>
    </xf>
    <xf numFmtId="14" fontId="25" fillId="0" borderId="0" applyAlignment="1" pivotButton="0" quotePrefix="0" xfId="4">
      <alignment horizontal="center" vertical="center"/>
    </xf>
    <xf numFmtId="14" fontId="25" fillId="0" borderId="9" applyAlignment="1" pivotButton="0" quotePrefix="0" xfId="4">
      <alignment horizontal="center" vertical="center"/>
    </xf>
    <xf numFmtId="14" fontId="30" fillId="0" borderId="0" applyAlignment="1" pivotButton="0" quotePrefix="0" xfId="4">
      <alignment horizontal="center" vertical="center"/>
    </xf>
    <xf numFmtId="14" fontId="30" fillId="0" borderId="9" applyAlignment="1" pivotButton="0" quotePrefix="0" xfId="4">
      <alignment horizontal="center" vertical="center"/>
    </xf>
    <xf numFmtId="0" fontId="30" fillId="0" borderId="7" applyAlignment="1" pivotButton="0" quotePrefix="0" xfId="4">
      <alignment horizontal="center" vertical="center"/>
    </xf>
    <xf numFmtId="0" fontId="30" fillId="0" borderId="0" applyAlignment="1" pivotButton="0" quotePrefix="0" xfId="4">
      <alignment horizontal="center" vertical="center"/>
    </xf>
    <xf numFmtId="14" fontId="30" fillId="0" borderId="0" applyAlignment="1" pivotButton="0" quotePrefix="0" xfId="4">
      <alignment horizontal="left" vertical="center" indent="1"/>
    </xf>
    <xf numFmtId="14" fontId="30" fillId="0" borderId="9" applyAlignment="1" pivotButton="0" quotePrefix="0" xfId="4">
      <alignment horizontal="left" vertical="center" indent="1"/>
    </xf>
    <xf numFmtId="0" fontId="29" fillId="0" borderId="0" applyAlignment="1" pivotButton="0" quotePrefix="0" xfId="4">
      <alignment horizontal="center" vertical="center"/>
    </xf>
    <xf numFmtId="0" fontId="29" fillId="0" borderId="9" applyAlignment="1" pivotButton="0" quotePrefix="0" xfId="4">
      <alignment horizontal="center" vertical="center"/>
    </xf>
    <xf numFmtId="0" fontId="29" fillId="0" borderId="18" applyAlignment="1" pivotButton="0" quotePrefix="0" xfId="4">
      <alignment horizontal="center" vertical="center"/>
    </xf>
    <xf numFmtId="0" fontId="29" fillId="0" borderId="18" applyAlignment="1" pivotButton="0" quotePrefix="0" xfId="4">
      <alignment horizontal="center" vertical="center" wrapText="1"/>
    </xf>
    <xf numFmtId="0" fontId="27" fillId="0" borderId="0" applyAlignment="1" pivotButton="0" quotePrefix="0" xfId="4">
      <alignment horizontal="right"/>
    </xf>
    <xf numFmtId="0" fontId="30" fillId="0" borderId="17" applyAlignment="1" pivotButton="0" quotePrefix="0" xfId="4">
      <alignment horizontal="center" vertical="center"/>
    </xf>
    <xf numFmtId="0" fontId="30" fillId="0" borderId="18" applyAlignment="1" pivotButton="0" quotePrefix="0" xfId="4">
      <alignment horizontal="center" vertical="center"/>
    </xf>
    <xf numFmtId="14" fontId="30" fillId="0" borderId="18" applyAlignment="1" pivotButton="0" quotePrefix="0" xfId="4">
      <alignment horizontal="center" vertical="center"/>
    </xf>
    <xf numFmtId="14" fontId="30" fillId="0" borderId="19" applyAlignment="1" pivotButton="0" quotePrefix="0" xfId="4">
      <alignment horizontal="center" vertical="center"/>
    </xf>
    <xf numFmtId="0" fontId="29" fillId="0" borderId="19" applyAlignment="1" pivotButton="0" quotePrefix="0" xfId="4">
      <alignment horizontal="center" vertical="center"/>
    </xf>
    <xf numFmtId="0" fontId="28" fillId="7" borderId="39" applyAlignment="1" pivotButton="0" quotePrefix="0" xfId="0">
      <alignment horizontal="center" vertical="center" wrapText="1"/>
    </xf>
    <xf numFmtId="0" fontId="28" fillId="7" borderId="39" applyAlignment="1" pivotButton="0" quotePrefix="0" xfId="0">
      <alignment horizontal="center" vertical="center"/>
    </xf>
    <xf numFmtId="0" fontId="28" fillId="7" borderId="31" applyAlignment="1" pivotButton="0" quotePrefix="0" xfId="0">
      <alignment horizontal="center" vertical="center" wrapText="1"/>
    </xf>
    <xf numFmtId="0" fontId="28" fillId="7" borderId="55" applyAlignment="1" pivotButton="0" quotePrefix="0" xfId="0">
      <alignment horizontal="center" vertical="center" wrapText="1"/>
    </xf>
    <xf numFmtId="0" fontId="28" fillId="7" borderId="11" applyAlignment="1" pivotButton="0" quotePrefix="0" xfId="0">
      <alignment horizontal="center" vertical="center" wrapText="1"/>
    </xf>
    <xf numFmtId="0" fontId="28" fillId="7" borderId="22" applyAlignment="1" pivotButton="0" quotePrefix="0" xfId="0">
      <alignment horizontal="center" vertical="center" wrapText="1"/>
    </xf>
    <xf numFmtId="0" fontId="28" fillId="7" borderId="4" applyAlignment="1" pivotButton="0" quotePrefix="0" xfId="0">
      <alignment horizontal="center" vertical="center" wrapText="1"/>
    </xf>
    <xf numFmtId="0" fontId="28" fillId="7" borderId="4" applyAlignment="1" pivotButton="0" quotePrefix="0" xfId="0">
      <alignment horizontal="center" vertical="center"/>
    </xf>
    <xf numFmtId="0" fontId="28" fillId="7" borderId="53" applyAlignment="1" pivotButton="0" quotePrefix="0" xfId="0">
      <alignment horizontal="center" vertical="center" wrapText="1"/>
    </xf>
    <xf numFmtId="0" fontId="28" fillId="7" borderId="81" applyAlignment="1" pivotButton="0" quotePrefix="0" xfId="0">
      <alignment horizontal="center" vertical="center" wrapText="1"/>
    </xf>
    <xf numFmtId="0" fontId="35" fillId="0" borderId="52" applyAlignment="1" pivotButton="0" quotePrefix="0" xfId="0">
      <alignment horizontal="center" vertical="center" wrapText="1"/>
    </xf>
    <xf numFmtId="0" fontId="35" fillId="0" borderId="20" applyAlignment="1" pivotButton="0" quotePrefix="0" xfId="0">
      <alignment horizontal="center" vertical="center" wrapText="1"/>
    </xf>
    <xf numFmtId="0" fontId="35" fillId="0" borderId="21" applyAlignment="1" pivotButton="0" quotePrefix="0" xfId="0">
      <alignment horizontal="center" vertical="center" wrapText="1"/>
    </xf>
    <xf numFmtId="0" fontId="35" fillId="0" borderId="54" applyAlignment="1" pivotButton="0" quotePrefix="0" xfId="0">
      <alignment horizontal="center" vertical="center" wrapText="1"/>
    </xf>
    <xf numFmtId="0" fontId="35" fillId="0" borderId="18" applyAlignment="1" pivotButton="0" quotePrefix="0" xfId="0">
      <alignment horizontal="center" vertical="center" wrapText="1"/>
    </xf>
    <xf numFmtId="0" fontId="35" fillId="0" borderId="22" applyAlignment="1" pivotButton="0" quotePrefix="0" xfId="0">
      <alignment horizontal="center" vertical="center" wrapText="1"/>
    </xf>
    <xf numFmtId="0" fontId="25" fillId="0" borderId="26" applyAlignment="1" pivotButton="0" quotePrefix="0" xfId="0">
      <alignment horizontal="center" vertical="center" wrapText="1"/>
    </xf>
    <xf numFmtId="0" fontId="28" fillId="6" borderId="32" applyAlignment="1" pivotButton="0" quotePrefix="0" xfId="0">
      <alignment horizontal="center" vertical="center" wrapText="1"/>
    </xf>
    <xf numFmtId="0" fontId="28" fillId="6" borderId="33" applyAlignment="1" pivotButton="0" quotePrefix="0" xfId="0">
      <alignment horizontal="center" vertical="center" wrapText="1"/>
    </xf>
    <xf numFmtId="0" fontId="37" fillId="0" borderId="25" applyAlignment="1" pivotButton="0" quotePrefix="0" xfId="0">
      <alignment horizontal="left" vertical="top" wrapText="1"/>
    </xf>
    <xf numFmtId="0" fontId="25" fillId="0" borderId="25" applyAlignment="1" pivotButton="0" quotePrefix="0" xfId="0">
      <alignment horizontal="center" vertical="center" wrapText="1"/>
    </xf>
    <xf numFmtId="0" fontId="37" fillId="0" borderId="25" applyAlignment="1" pivotButton="0" quotePrefix="0" xfId="0">
      <alignment horizontal="center" vertical="center" wrapText="1"/>
    </xf>
    <xf numFmtId="0" fontId="37" fillId="0" borderId="25" applyAlignment="1" pivotButton="0" quotePrefix="1" xfId="0">
      <alignment horizontal="center" vertical="center" wrapText="1"/>
    </xf>
    <xf numFmtId="0" fontId="26" fillId="0" borderId="42" applyAlignment="1" pivotButton="0" quotePrefix="0" xfId="0">
      <alignment horizontal="center" vertical="center"/>
    </xf>
    <xf numFmtId="0" fontId="26" fillId="0" borderId="20" applyAlignment="1" pivotButton="0" quotePrefix="0" xfId="0">
      <alignment horizontal="center" vertical="center"/>
    </xf>
    <xf numFmtId="0" fontId="26" fillId="0" borderId="21" applyAlignment="1" pivotButton="0" quotePrefix="0" xfId="0">
      <alignment horizontal="center" vertical="center"/>
    </xf>
    <xf numFmtId="0" fontId="26" fillId="0" borderId="17" applyAlignment="1" pivotButton="0" quotePrefix="0" xfId="0">
      <alignment horizontal="center" vertical="center"/>
    </xf>
    <xf numFmtId="0" fontId="26" fillId="0" borderId="18" applyAlignment="1" pivotButton="0" quotePrefix="0" xfId="0">
      <alignment horizontal="center" vertical="center"/>
    </xf>
    <xf numFmtId="0" fontId="26" fillId="0" borderId="22" applyAlignment="1" pivotButton="0" quotePrefix="0" xfId="0">
      <alignment horizontal="center" vertical="center"/>
    </xf>
    <xf numFmtId="0" fontId="33" fillId="7" borderId="34" applyAlignment="1" pivotButton="0" quotePrefix="0" xfId="0">
      <alignment horizontal="center" vertical="center" wrapText="1"/>
    </xf>
    <xf numFmtId="0" fontId="33" fillId="7" borderId="14" applyAlignment="1" pivotButton="0" quotePrefix="0" xfId="0">
      <alignment horizontal="center" vertical="center"/>
    </xf>
    <xf numFmtId="0" fontId="33" fillId="7" borderId="35" applyAlignment="1" pivotButton="0" quotePrefix="0" xfId="0">
      <alignment horizontal="center" vertical="center"/>
    </xf>
    <xf numFmtId="0" fontId="28" fillId="7" borderId="36" applyAlignment="1" pivotButton="0" quotePrefix="0" xfId="0">
      <alignment horizontal="center" vertical="center"/>
    </xf>
    <xf numFmtId="0" fontId="28" fillId="7" borderId="37" applyAlignment="1" pivotButton="0" quotePrefix="0" xfId="0">
      <alignment horizontal="center" vertical="center"/>
    </xf>
    <xf numFmtId="0" fontId="28" fillId="7" borderId="49" applyAlignment="1" pivotButton="0" quotePrefix="0" xfId="0">
      <alignment horizontal="center" vertical="center"/>
    </xf>
    <xf numFmtId="0" fontId="28" fillId="7" borderId="36" applyAlignment="1" pivotButton="0" quotePrefix="0" xfId="0">
      <alignment horizontal="center" vertical="center" wrapText="1"/>
    </xf>
    <xf numFmtId="0" fontId="28" fillId="7" borderId="37" applyAlignment="1" pivotButton="0" quotePrefix="0" xfId="0">
      <alignment horizontal="center" vertical="center" wrapText="1"/>
    </xf>
    <xf numFmtId="0" fontId="28" fillId="7" borderId="50" applyAlignment="1" pivotButton="0" quotePrefix="0" xfId="0">
      <alignment horizontal="center" vertical="center" wrapText="1"/>
    </xf>
    <xf numFmtId="0" fontId="58" fillId="2" borderId="70" applyAlignment="1" pivotButton="0" quotePrefix="0" xfId="0">
      <alignment horizontal="left" vertical="center" wrapText="1"/>
    </xf>
    <xf numFmtId="0" fontId="58" fillId="2" borderId="0" applyAlignment="1" pivotButton="0" quotePrefix="0" xfId="0">
      <alignment horizontal="left" vertical="center" wrapText="1"/>
    </xf>
    <xf numFmtId="0" fontId="58" fillId="2" borderId="9" applyAlignment="1" pivotButton="0" quotePrefix="0" xfId="0">
      <alignment horizontal="left" vertical="center" wrapText="1"/>
    </xf>
    <xf numFmtId="0" fontId="34" fillId="2" borderId="0" applyAlignment="1" pivotButton="0" quotePrefix="0" xfId="7">
      <alignment horizontal="left" vertical="top" wrapText="1"/>
    </xf>
    <xf numFmtId="0" fontId="35" fillId="2" borderId="67" applyAlignment="1" pivotButton="0" quotePrefix="0" xfId="7">
      <alignment horizontal="center" vertical="center" wrapText="1"/>
    </xf>
    <xf numFmtId="0" fontId="35" fillId="2" borderId="65" applyAlignment="1" pivotButton="0" quotePrefix="0" xfId="7">
      <alignment horizontal="center" vertical="center"/>
    </xf>
    <xf numFmtId="0" fontId="35" fillId="2" borderId="66" applyAlignment="1" pivotButton="0" quotePrefix="0" xfId="7">
      <alignment horizontal="center" vertical="center"/>
    </xf>
    <xf numFmtId="0" fontId="35" fillId="2" borderId="54" applyAlignment="1" pivotButton="0" quotePrefix="0" xfId="7">
      <alignment horizontal="center" vertical="center"/>
    </xf>
    <xf numFmtId="0" fontId="35" fillId="2" borderId="18" applyAlignment="1" pivotButton="0" quotePrefix="0" xfId="7">
      <alignment horizontal="center" vertical="center"/>
    </xf>
    <xf numFmtId="0" fontId="35" fillId="2" borderId="22" applyAlignment="1" pivotButton="0" quotePrefix="0" xfId="7">
      <alignment horizontal="center" vertical="center"/>
    </xf>
    <xf numFmtId="0" fontId="25" fillId="9" borderId="68" applyAlignment="1" pivotButton="0" quotePrefix="0" xfId="0">
      <alignment horizontal="center" vertical="center" wrapText="1"/>
    </xf>
    <xf numFmtId="0" fontId="25" fillId="9" borderId="68" applyAlignment="1" pivotButton="0" quotePrefix="0" xfId="0">
      <alignment horizontal="center" vertical="center"/>
    </xf>
    <xf numFmtId="0" fontId="25" fillId="9" borderId="68" applyAlignment="1" pivotButton="0" quotePrefix="1" xfId="7">
      <alignment horizontal="center" vertical="center"/>
    </xf>
    <xf numFmtId="0" fontId="25" fillId="9" borderId="68" applyAlignment="1" pivotButton="0" quotePrefix="0" xfId="7">
      <alignment horizontal="center" vertical="center"/>
    </xf>
    <xf numFmtId="0" fontId="25" fillId="9" borderId="75" applyAlignment="1" pivotButton="0" quotePrefix="0" xfId="7">
      <alignment horizontal="center" vertical="center"/>
    </xf>
    <xf numFmtId="0" fontId="25" fillId="9" borderId="39" applyAlignment="1" pivotButton="0" quotePrefix="0" xfId="0">
      <alignment horizontal="center" vertical="center" wrapText="1"/>
    </xf>
    <xf numFmtId="0" fontId="25" fillId="9" borderId="39" applyAlignment="1" pivotButton="0" quotePrefix="0" xfId="0">
      <alignment horizontal="center" vertical="center"/>
    </xf>
    <xf numFmtId="0" fontId="25" fillId="9" borderId="39" applyAlignment="1" pivotButton="0" quotePrefix="0" xfId="7">
      <alignment horizontal="center" vertical="center"/>
    </xf>
    <xf numFmtId="164" fontId="25" fillId="9" borderId="39" applyAlignment="1" pivotButton="0" quotePrefix="1" xfId="7">
      <alignment horizontal="center" vertical="center"/>
    </xf>
    <xf numFmtId="0" fontId="25" fillId="9" borderId="76" applyAlignment="1" pivotButton="0" quotePrefix="0" xfId="7">
      <alignment horizontal="center" vertical="center"/>
    </xf>
    <xf numFmtId="0" fontId="52" fillId="9" borderId="29" applyAlignment="1" pivotButton="0" quotePrefix="0" xfId="0">
      <alignment horizontal="left" vertical="center" wrapText="1"/>
    </xf>
    <xf numFmtId="0" fontId="52" fillId="9" borderId="4" applyAlignment="1" pivotButton="0" quotePrefix="0" xfId="0">
      <alignment horizontal="left" vertical="center"/>
    </xf>
    <xf numFmtId="0" fontId="52" fillId="9" borderId="4" applyAlignment="1" pivotButton="0" quotePrefix="0" xfId="0">
      <alignment horizontal="center" vertical="center"/>
    </xf>
    <xf numFmtId="0" fontId="52" fillId="9" borderId="6" applyAlignment="1" pivotButton="0" quotePrefix="0" xfId="0">
      <alignment horizontal="center" vertical="center"/>
    </xf>
    <xf numFmtId="0" fontId="52" fillId="9" borderId="2" applyAlignment="1" pivotButton="0" quotePrefix="0" xfId="0">
      <alignment horizontal="center" vertical="center"/>
    </xf>
    <xf numFmtId="0" fontId="52" fillId="9" borderId="44" applyAlignment="1" pivotButton="0" quotePrefix="0" xfId="0">
      <alignment horizontal="center" vertical="center"/>
    </xf>
    <xf numFmtId="0" fontId="34" fillId="2" borderId="0" applyAlignment="1" pivotButton="0" quotePrefix="0" xfId="7">
      <alignment horizontal="center" vertical="center"/>
    </xf>
    <xf numFmtId="0" fontId="34" fillId="2" borderId="0" applyAlignment="1" pivotButton="0" quotePrefix="0" xfId="7">
      <alignment horizontal="left" vertical="center" wrapText="1"/>
    </xf>
    <xf numFmtId="0" fontId="36" fillId="2" borderId="70" applyAlignment="1" pivotButton="0" quotePrefix="0" xfId="7">
      <alignment horizontal="left" vertical="center" wrapText="1"/>
    </xf>
    <xf numFmtId="0" fontId="36" fillId="2" borderId="0" applyAlignment="1" pivotButton="0" quotePrefix="0" xfId="7">
      <alignment horizontal="left" vertical="center" wrapText="1"/>
    </xf>
    <xf numFmtId="0" fontId="36" fillId="2" borderId="9" applyAlignment="1" pivotButton="0" quotePrefix="0" xfId="7">
      <alignment horizontal="left" vertical="center" wrapText="1"/>
    </xf>
    <xf numFmtId="0" fontId="34" fillId="2" borderId="9" applyAlignment="1" pivotButton="0" quotePrefix="0" xfId="7">
      <alignment horizontal="left" vertical="top" wrapText="1"/>
    </xf>
    <xf numFmtId="0" fontId="52" fillId="12" borderId="23" applyAlignment="1" pivotButton="0" quotePrefix="0" xfId="0">
      <alignment horizontal="center" vertical="center"/>
    </xf>
    <xf numFmtId="0" fontId="52" fillId="12" borderId="24" applyAlignment="1" pivotButton="0" quotePrefix="0" xfId="0">
      <alignment horizontal="center" vertical="center"/>
    </xf>
    <xf numFmtId="0" fontId="52" fillId="12" borderId="36" applyAlignment="1" pivotButton="0" quotePrefix="0" xfId="0">
      <alignment horizontal="center" vertical="center"/>
    </xf>
    <xf numFmtId="0" fontId="52" fillId="12" borderId="37" applyAlignment="1" pivotButton="0" quotePrefix="0" xfId="0">
      <alignment horizontal="center" vertical="center"/>
    </xf>
    <xf numFmtId="0" fontId="52" fillId="12" borderId="50" applyAlignment="1" pivotButton="0" quotePrefix="0" xfId="0">
      <alignment horizontal="center" vertical="center"/>
    </xf>
    <xf numFmtId="0" fontId="52" fillId="9" borderId="4" applyAlignment="1" pivotButton="0" quotePrefix="0" xfId="0">
      <alignment horizontal="left" vertical="center" wrapText="1"/>
    </xf>
    <xf numFmtId="0" fontId="58" fillId="2" borderId="70" applyAlignment="1" pivotButton="0" quotePrefix="0" xfId="7">
      <alignment horizontal="left" vertical="center" wrapText="1"/>
    </xf>
    <xf numFmtId="0" fontId="58" fillId="2" borderId="0" applyAlignment="1" pivotButton="0" quotePrefix="0" xfId="7">
      <alignment horizontal="left" vertical="center" wrapText="1"/>
    </xf>
    <xf numFmtId="0" fontId="58" fillId="2" borderId="9" applyAlignment="1" pivotButton="0" quotePrefix="0" xfId="7">
      <alignment horizontal="left" vertical="center" wrapText="1"/>
    </xf>
    <xf numFmtId="0" fontId="52" fillId="9" borderId="40" applyAlignment="1" pivotButton="0" quotePrefix="0" xfId="0">
      <alignment horizontal="left" vertical="center" wrapText="1"/>
    </xf>
    <xf numFmtId="0" fontId="52" fillId="9" borderId="39" applyAlignment="1" pivotButton="0" quotePrefix="0" xfId="0">
      <alignment horizontal="left" vertical="center"/>
    </xf>
    <xf numFmtId="0" fontId="52" fillId="9" borderId="39" applyAlignment="1" pivotButton="0" quotePrefix="0" xfId="0">
      <alignment horizontal="center" vertical="center"/>
    </xf>
    <xf numFmtId="0" fontId="52" fillId="9" borderId="38" applyAlignment="1" pivotButton="0" quotePrefix="0" xfId="0">
      <alignment horizontal="center" vertical="center"/>
    </xf>
    <xf numFmtId="0" fontId="52" fillId="9" borderId="45" applyAlignment="1" pivotButton="0" quotePrefix="0" xfId="0">
      <alignment horizontal="center" vertical="center"/>
    </xf>
    <xf numFmtId="0" fontId="52" fillId="9" borderId="46" applyAlignment="1" pivotButton="0" quotePrefix="0" xfId="0">
      <alignment horizontal="center" vertical="center"/>
    </xf>
    <xf numFmtId="0" fontId="55" fillId="9" borderId="6" applyAlignment="1" pivotButton="0" quotePrefix="0" xfId="3">
      <alignment horizontal="center" vertical="center"/>
    </xf>
    <xf numFmtId="0" fontId="55" fillId="9" borderId="2" applyAlignment="1" pivotButton="0" quotePrefix="0" xfId="3">
      <alignment horizontal="center" vertical="center"/>
    </xf>
    <xf numFmtId="0" fontId="55" fillId="9" borderId="5" applyAlignment="1" pivotButton="0" quotePrefix="0" xfId="3">
      <alignment horizontal="center" vertical="center"/>
    </xf>
    <xf numFmtId="0" fontId="33" fillId="9" borderId="86" applyAlignment="1" pivotButton="0" quotePrefix="0" xfId="3">
      <alignment horizontal="center" vertical="center"/>
    </xf>
    <xf numFmtId="0" fontId="33" fillId="9" borderId="68" applyAlignment="1" pivotButton="0" quotePrefix="0" xfId="3">
      <alignment horizontal="center" vertical="center"/>
    </xf>
    <xf numFmtId="0" fontId="33" fillId="9" borderId="87" applyAlignment="1" pivotButton="0" quotePrefix="0" xfId="3">
      <alignment horizontal="center" vertical="center"/>
    </xf>
    <xf numFmtId="0" fontId="33" fillId="9" borderId="4" applyAlignment="1" pivotButton="0" quotePrefix="0" xfId="3">
      <alignment horizontal="center" vertical="center"/>
    </xf>
    <xf numFmtId="0" fontId="35" fillId="9" borderId="68" applyAlignment="1" pivotButton="0" quotePrefix="0" xfId="3">
      <alignment horizontal="center" vertical="center" wrapText="1"/>
    </xf>
    <xf numFmtId="0" fontId="35" fillId="9" borderId="68" applyAlignment="1" pivotButton="0" quotePrefix="0" xfId="3">
      <alignment horizontal="center" vertical="center"/>
    </xf>
    <xf numFmtId="0" fontId="35" fillId="9" borderId="4" applyAlignment="1" pivotButton="0" quotePrefix="0" xfId="3">
      <alignment horizontal="center" vertical="center"/>
    </xf>
    <xf numFmtId="0" fontId="59" fillId="9" borderId="87" applyAlignment="1" pivotButton="0" quotePrefix="0" xfId="3">
      <alignment horizontal="center" vertical="center" wrapText="1"/>
    </xf>
    <xf numFmtId="0" fontId="59" fillId="9" borderId="4" applyAlignment="1" pivotButton="0" quotePrefix="0" xfId="3">
      <alignment horizontal="center" vertical="center"/>
    </xf>
    <xf numFmtId="0" fontId="59" fillId="9" borderId="3" applyAlignment="1" pivotButton="0" quotePrefix="0" xfId="3">
      <alignment horizontal="center" vertical="center"/>
    </xf>
    <xf numFmtId="0" fontId="59" fillId="9" borderId="88" applyAlignment="1" pivotButton="0" quotePrefix="0" xfId="3">
      <alignment horizontal="center" vertical="center"/>
    </xf>
    <xf numFmtId="0" fontId="33" fillId="9" borderId="10" applyAlignment="1" pivotButton="0" quotePrefix="0" xfId="62">
      <alignment horizontal="center" vertical="center"/>
    </xf>
    <xf numFmtId="0" fontId="33" fillId="9" borderId="8" applyAlignment="1" pivotButton="0" quotePrefix="0" xfId="62">
      <alignment horizontal="center" vertical="center"/>
    </xf>
    <xf numFmtId="0" fontId="33" fillId="9" borderId="11" applyAlignment="1" pivotButton="0" quotePrefix="0" xfId="62">
      <alignment horizontal="center" vertical="center"/>
    </xf>
    <xf numFmtId="0" fontId="33" fillId="9" borderId="15" applyAlignment="1" pivotButton="0" quotePrefix="0" xfId="62">
      <alignment horizontal="center" vertical="center"/>
    </xf>
    <xf numFmtId="0" fontId="33" fillId="9" borderId="16" applyAlignment="1" pivotButton="0" quotePrefix="0" xfId="62">
      <alignment horizontal="center" vertical="center"/>
    </xf>
    <xf numFmtId="0" fontId="33" fillId="9" borderId="30" applyAlignment="1" pivotButton="0" quotePrefix="0" xfId="62">
      <alignment horizontal="center" vertical="center"/>
    </xf>
    <xf numFmtId="0" fontId="33" fillId="9" borderId="31" applyAlignment="1" pivotButton="0" quotePrefix="0" xfId="62">
      <alignment horizontal="center" vertical="center"/>
    </xf>
    <xf numFmtId="0" fontId="33" fillId="9" borderId="3" applyAlignment="1" pivotButton="0" quotePrefix="0" xfId="62">
      <alignment horizontal="center" vertical="center"/>
    </xf>
    <xf numFmtId="0" fontId="33" fillId="9" borderId="6" applyAlignment="1" pivotButton="0" quotePrefix="0" xfId="62">
      <alignment horizontal="center" vertical="center"/>
    </xf>
    <xf numFmtId="0" fontId="33" fillId="9" borderId="5" applyAlignment="1" pivotButton="0" quotePrefix="0" xfId="62">
      <alignment horizontal="center" vertical="center"/>
    </xf>
    <xf numFmtId="0" fontId="33" fillId="9" borderId="101" applyAlignment="1" pivotButton="0" quotePrefix="0" xfId="62">
      <alignment horizontal="center" vertical="center" wrapText="1"/>
    </xf>
    <xf numFmtId="0" fontId="33" fillId="9" borderId="100" applyAlignment="1" pivotButton="0" quotePrefix="0" xfId="62">
      <alignment horizontal="center" vertical="center" wrapText="1"/>
    </xf>
    <xf numFmtId="0" fontId="33" fillId="9" borderId="86" applyAlignment="1" pivotButton="0" quotePrefix="0" xfId="62">
      <alignment horizontal="center" vertical="center"/>
    </xf>
    <xf numFmtId="0" fontId="33" fillId="9" borderId="68" applyAlignment="1" pivotButton="0" quotePrefix="0" xfId="62">
      <alignment horizontal="center" vertical="center"/>
    </xf>
    <xf numFmtId="0" fontId="33" fillId="9" borderId="75" applyAlignment="1" pivotButton="0" quotePrefix="0" xfId="62">
      <alignment horizontal="center" vertical="center"/>
    </xf>
    <xf numFmtId="0" fontId="33" fillId="9" borderId="4" applyAlignment="1" pivotButton="0" quotePrefix="0" xfId="62">
      <alignment horizontal="center" vertical="center"/>
    </xf>
    <xf numFmtId="0" fontId="33" fillId="9" borderId="4" applyAlignment="1" pivotButton="0" quotePrefix="0" xfId="3">
      <alignment horizontal="center" vertical="center" wrapText="1"/>
    </xf>
    <xf numFmtId="0" fontId="33" fillId="9" borderId="88" applyAlignment="1" pivotButton="0" quotePrefix="0" xfId="62">
      <alignment horizontal="center" vertical="center"/>
    </xf>
    <xf numFmtId="0" fontId="33" fillId="9" borderId="89" applyAlignment="1" pivotButton="0" quotePrefix="0" xfId="3">
      <alignment horizontal="center" vertical="center"/>
    </xf>
    <xf numFmtId="0" fontId="33" fillId="9" borderId="90" applyAlignment="1" pivotButton="0" quotePrefix="0" xfId="3">
      <alignment horizontal="center" vertical="center"/>
    </xf>
    <xf numFmtId="0" fontId="33" fillId="9" borderId="88" applyAlignment="1" pivotButton="0" quotePrefix="0" xfId="3">
      <alignment horizontal="center" vertical="center"/>
    </xf>
    <xf numFmtId="0" fontId="33" fillId="9" borderId="91" applyAlignment="1" pivotButton="0" quotePrefix="0" xfId="3">
      <alignment horizontal="center" vertical="center"/>
    </xf>
    <xf numFmtId="0" fontId="75" fillId="13" borderId="31" applyAlignment="1" pivotButton="0" quotePrefix="0" xfId="60">
      <alignment horizontal="center" vertical="center"/>
    </xf>
    <xf numFmtId="0" fontId="75" fillId="13" borderId="61" applyAlignment="1" pivotButton="0" quotePrefix="0" xfId="60">
      <alignment horizontal="center" vertical="center"/>
    </xf>
    <xf numFmtId="0" fontId="75" fillId="13" borderId="3" applyAlignment="1" pivotButton="0" quotePrefix="0" xfId="60">
      <alignment horizontal="center" vertical="center"/>
    </xf>
    <xf numFmtId="0" fontId="75" fillId="0" borderId="31" applyAlignment="1" pivotButton="0" quotePrefix="0" xfId="60">
      <alignment horizontal="center" vertical="center" wrapText="1"/>
    </xf>
    <xf numFmtId="0" fontId="75" fillId="0" borderId="61" applyAlignment="1" pivotButton="0" quotePrefix="0" xfId="60">
      <alignment horizontal="center" vertical="center"/>
    </xf>
    <xf numFmtId="0" fontId="75" fillId="0" borderId="3" applyAlignment="1" pivotButton="0" quotePrefix="0" xfId="60">
      <alignment horizontal="center" vertical="center"/>
    </xf>
    <xf numFmtId="0" fontId="75" fillId="0" borderId="31" applyAlignment="1" pivotButton="0" quotePrefix="0" xfId="60">
      <alignment horizontal="center" vertical="center"/>
    </xf>
    <xf numFmtId="0" fontId="75" fillId="0" borderId="31" applyAlignment="1" pivotButton="0" quotePrefix="0" xfId="60">
      <alignment horizontal="left" vertical="center" wrapText="1"/>
    </xf>
    <xf numFmtId="0" fontId="75" fillId="0" borderId="3" applyAlignment="1" pivotButton="0" quotePrefix="0" xfId="60">
      <alignment horizontal="left" vertical="center" wrapText="1"/>
    </xf>
    <xf numFmtId="16" fontId="75" fillId="13" borderId="31" applyAlignment="1" pivotButton="0" quotePrefix="0" xfId="60">
      <alignment horizontal="center" vertical="center" wrapText="1"/>
    </xf>
    <xf numFmtId="16" fontId="75" fillId="13" borderId="61" applyAlignment="1" pivotButton="0" quotePrefix="0" xfId="60">
      <alignment horizontal="center" vertical="center" wrapText="1"/>
    </xf>
    <xf numFmtId="16" fontId="75" fillId="13" borderId="3" applyAlignment="1" pivotButton="0" quotePrefix="0" xfId="60">
      <alignment horizontal="center" vertical="center" wrapText="1"/>
    </xf>
    <xf numFmtId="0" fontId="76" fillId="0" borderId="0" applyAlignment="1" pivotButton="0" quotePrefix="0" xfId="60">
      <alignment vertical="center"/>
    </xf>
    <xf numFmtId="0" fontId="75" fillId="0" borderId="8" applyAlignment="1" pivotButton="0" quotePrefix="0" xfId="60">
      <alignment horizontal="center" vertical="center"/>
    </xf>
    <xf numFmtId="0" fontId="77" fillId="0" borderId="0" applyAlignment="1" pivotButton="0" quotePrefix="0" xfId="60">
      <alignment horizontal="left" vertical="center"/>
    </xf>
    <xf numFmtId="0" fontId="77" fillId="0" borderId="16" applyAlignment="1" pivotButton="0" quotePrefix="0" xfId="60">
      <alignment horizontal="left" vertical="center"/>
    </xf>
    <xf numFmtId="0" fontId="60" fillId="0" borderId="42" applyAlignment="1" pivotButton="0" quotePrefix="0" xfId="50">
      <alignment horizontal="center"/>
    </xf>
    <xf numFmtId="0" fontId="60" fillId="0" borderId="20" applyAlignment="1" pivotButton="0" quotePrefix="0" xfId="50">
      <alignment horizontal="center"/>
    </xf>
    <xf numFmtId="0" fontId="60" fillId="0" borderId="21" applyAlignment="1" pivotButton="0" quotePrefix="0" xfId="50">
      <alignment horizontal="center"/>
    </xf>
    <xf numFmtId="0" fontId="60" fillId="0" borderId="17" applyAlignment="1" pivotButton="0" quotePrefix="0" xfId="50">
      <alignment horizontal="center"/>
    </xf>
    <xf numFmtId="0" fontId="60" fillId="0" borderId="18" applyAlignment="1" pivotButton="0" quotePrefix="0" xfId="50">
      <alignment horizontal="center"/>
    </xf>
    <xf numFmtId="0" fontId="60" fillId="0" borderId="22" applyAlignment="1" pivotButton="0" quotePrefix="0" xfId="50">
      <alignment horizontal="center"/>
    </xf>
    <xf numFmtId="0" fontId="61" fillId="0" borderId="52" applyAlignment="1" pivotButton="0" quotePrefix="0" xfId="50">
      <alignment horizontal="center" vertical="center"/>
    </xf>
    <xf numFmtId="0" fontId="61" fillId="0" borderId="20" applyAlignment="1" pivotButton="0" quotePrefix="0" xfId="50">
      <alignment horizontal="center" vertical="center"/>
    </xf>
    <xf numFmtId="0" fontId="61" fillId="0" borderId="94" applyAlignment="1" pivotButton="0" quotePrefix="0" xfId="50">
      <alignment horizontal="center" vertical="center"/>
    </xf>
    <xf numFmtId="0" fontId="61" fillId="0" borderId="54" applyAlignment="1" pivotButton="0" quotePrefix="0" xfId="50">
      <alignment horizontal="center" vertical="center"/>
    </xf>
    <xf numFmtId="0" fontId="61" fillId="0" borderId="18" applyAlignment="1" pivotButton="0" quotePrefix="0" xfId="50">
      <alignment horizontal="center" vertical="center"/>
    </xf>
    <xf numFmtId="0" fontId="61" fillId="0" borderId="19" applyAlignment="1" pivotButton="0" quotePrefix="0" xfId="50">
      <alignment horizontal="center" vertical="center"/>
    </xf>
    <xf numFmtId="0" fontId="57" fillId="0" borderId="60" applyAlignment="1" pivotButton="0" quotePrefix="0" xfId="50">
      <alignment horizontal="center" vertical="center"/>
    </xf>
    <xf numFmtId="0" fontId="57" fillId="0" borderId="37" applyAlignment="1" pivotButton="0" quotePrefix="0" xfId="50">
      <alignment horizontal="center" vertical="center"/>
    </xf>
    <xf numFmtId="0" fontId="57" fillId="0" borderId="49" applyAlignment="1" pivotButton="0" quotePrefix="0" xfId="50">
      <alignment horizontal="center" vertical="center"/>
    </xf>
    <xf numFmtId="0" fontId="57" fillId="0" borderId="36" applyAlignment="1" pivotButton="0" quotePrefix="0" xfId="50">
      <alignment horizontal="center" vertical="center"/>
    </xf>
    <xf numFmtId="0" fontId="57" fillId="0" borderId="50" applyAlignment="1" pivotButton="0" quotePrefix="0" xfId="50">
      <alignment horizontal="center" vertical="center"/>
    </xf>
    <xf numFmtId="0" fontId="60" fillId="0" borderId="107" applyAlignment="1" pivotButton="0" quotePrefix="0" xfId="50">
      <alignment horizontal="center"/>
    </xf>
    <xf numFmtId="0" fontId="60" fillId="0" borderId="45" applyAlignment="1" pivotButton="0" quotePrefix="0" xfId="50">
      <alignment horizontal="center"/>
    </xf>
    <xf numFmtId="0" fontId="60" fillId="0" borderId="92" applyAlignment="1" pivotButton="0" quotePrefix="0" xfId="50">
      <alignment horizontal="center"/>
    </xf>
    <xf numFmtId="0" fontId="60" fillId="0" borderId="38" applyAlignment="1" pivotButton="0" quotePrefix="0" xfId="50">
      <alignment horizontal="center"/>
    </xf>
    <xf numFmtId="0" fontId="60" fillId="0" borderId="46" applyAlignment="1" pivotButton="0" quotePrefix="0" xfId="50">
      <alignment horizontal="center"/>
    </xf>
    <xf numFmtId="0" fontId="62" fillId="0" borderId="42" applyAlignment="1" pivotButton="0" quotePrefix="0" xfId="50">
      <alignment horizontal="left" vertical="center"/>
    </xf>
    <xf numFmtId="0" fontId="62" fillId="0" borderId="20" applyAlignment="1" pivotButton="0" quotePrefix="0" xfId="50">
      <alignment horizontal="left" vertical="center"/>
    </xf>
    <xf numFmtId="0" fontId="50" fillId="5" borderId="108" applyAlignment="1" applyProtection="1" pivotButton="0" quotePrefix="0" xfId="51">
      <alignment horizontal="center" vertical="center"/>
      <protection locked="0" hidden="0"/>
    </xf>
    <xf numFmtId="0" fontId="50" fillId="5" borderId="110" applyAlignment="1" applyProtection="1" pivotButton="0" quotePrefix="0" xfId="51">
      <alignment horizontal="center" vertical="center"/>
      <protection locked="0" hidden="0"/>
    </xf>
    <xf numFmtId="168" fontId="50" fillId="5" borderId="109" applyAlignment="1" applyProtection="1" pivotButton="0" quotePrefix="0" xfId="51">
      <alignment horizontal="center" vertical="center"/>
      <protection locked="0" hidden="0"/>
    </xf>
    <xf numFmtId="168" fontId="50" fillId="5" borderId="111" applyAlignment="1" applyProtection="1" pivotButton="0" quotePrefix="0" xfId="51">
      <alignment horizontal="center" vertical="center"/>
      <protection locked="0" hidden="0"/>
    </xf>
    <xf numFmtId="168" fontId="50" fillId="5" borderId="109" applyAlignment="1" applyProtection="1" pivotButton="0" quotePrefix="1" xfId="51">
      <alignment horizontal="center" vertical="center"/>
      <protection locked="0" hidden="0"/>
    </xf>
    <xf numFmtId="168" fontId="50" fillId="5" borderId="111" applyAlignment="1" applyProtection="1" pivotButton="0" quotePrefix="1" xfId="51">
      <alignment horizontal="center" vertical="center"/>
      <protection locked="0" hidden="0"/>
    </xf>
    <xf numFmtId="0" fontId="50" fillId="5" borderId="115" applyAlignment="1" applyProtection="1" pivotButton="0" quotePrefix="0" xfId="51">
      <alignment horizontal="center" vertical="center"/>
      <protection locked="0" hidden="0"/>
    </xf>
    <xf numFmtId="0" fontId="50" fillId="5" borderId="7" applyAlignment="1" applyProtection="1" pivotButton="0" quotePrefix="0" xfId="51">
      <alignment horizontal="center" vertical="center"/>
      <protection locked="0" hidden="0"/>
    </xf>
    <xf numFmtId="0" fontId="50" fillId="5" borderId="17" applyAlignment="1" applyProtection="1" pivotButton="0" quotePrefix="0" xfId="51">
      <alignment horizontal="center" vertical="center"/>
      <protection locked="0" hidden="0"/>
    </xf>
    <xf numFmtId="168" fontId="50" fillId="5" borderId="116" applyAlignment="1" applyProtection="1" pivotButton="0" quotePrefix="0" xfId="51">
      <alignment horizontal="center" vertical="center"/>
      <protection locked="0" hidden="0"/>
    </xf>
    <xf numFmtId="168" fontId="50" fillId="5" borderId="116" applyAlignment="1" applyProtection="1" pivotButton="0" quotePrefix="1" xfId="51">
      <alignment horizontal="center" vertical="center"/>
      <protection locked="0" hidden="0"/>
    </xf>
    <xf numFmtId="0" fontId="64" fillId="0" borderId="63" applyAlignment="1" pivotButton="0" quotePrefix="0" xfId="50">
      <alignment horizontal="center" vertical="center"/>
    </xf>
    <xf numFmtId="0" fontId="64" fillId="0" borderId="2" applyAlignment="1" pivotButton="0" quotePrefix="0" xfId="50">
      <alignment horizontal="center" vertical="center"/>
    </xf>
    <xf numFmtId="0" fontId="64" fillId="4" borderId="63" applyAlignment="1" pivotButton="0" quotePrefix="0" xfId="50">
      <alignment horizontal="center" vertical="center" wrapText="1"/>
    </xf>
    <xf numFmtId="0" fontId="64" fillId="4" borderId="2" applyAlignment="1" pivotButton="0" quotePrefix="0" xfId="50">
      <alignment horizontal="center" vertical="center" wrapText="1"/>
    </xf>
    <xf numFmtId="0" fontId="64" fillId="4" borderId="63" applyAlignment="1" pivotButton="0" quotePrefix="0" xfId="50">
      <alignment horizontal="center" vertical="center"/>
    </xf>
    <xf numFmtId="0" fontId="64" fillId="4" borderId="2" applyAlignment="1" pivotButton="0" quotePrefix="0" xfId="50">
      <alignment horizontal="center" vertical="center"/>
    </xf>
    <xf numFmtId="0" fontId="64" fillId="0" borderId="63" applyAlignment="1" pivotButton="0" quotePrefix="0" xfId="50">
      <alignment horizontal="center" vertical="center" wrapText="1"/>
    </xf>
    <xf numFmtId="0" fontId="64" fillId="11" borderId="63" applyAlignment="1" pivotButton="0" quotePrefix="0" xfId="50">
      <alignment horizontal="center" vertical="center" wrapText="1"/>
    </xf>
    <xf numFmtId="0" fontId="64" fillId="11" borderId="63" applyAlignment="1" pivotButton="0" quotePrefix="0" xfId="50">
      <alignment horizontal="center" vertical="center"/>
    </xf>
    <xf numFmtId="0" fontId="56" fillId="0" borderId="20" applyAlignment="1" pivotButton="0" quotePrefix="0" xfId="50">
      <alignment horizontal="center" vertical="center"/>
    </xf>
    <xf numFmtId="0" fontId="56" fillId="0" borderId="0" applyAlignment="1" pivotButton="0" quotePrefix="0" xfId="50">
      <alignment horizontal="center" vertical="center"/>
    </xf>
    <xf numFmtId="0" fontId="41" fillId="0" borderId="10" applyAlignment="1" pivotButton="0" quotePrefix="0" xfId="0">
      <alignment horizontal="center" vertical="center" wrapText="1"/>
    </xf>
    <xf numFmtId="0" fontId="79" fillId="0" borderId="10" applyAlignment="1" pivotButton="0" quotePrefix="0" xfId="0">
      <alignment horizontal="center" vertical="center" wrapText="1"/>
    </xf>
    <xf numFmtId="0" fontId="79" fillId="0" borderId="11" applyAlignment="1" pivotButton="0" quotePrefix="0" xfId="0">
      <alignment horizontal="center" vertical="center"/>
    </xf>
    <xf numFmtId="0" fontId="79" fillId="0" borderId="15" applyAlignment="1" pivotButton="0" quotePrefix="0" xfId="0">
      <alignment horizontal="center" vertical="center"/>
    </xf>
    <xf numFmtId="0" fontId="79" fillId="0" borderId="30" applyAlignment="1" pivotButton="0" quotePrefix="0" xfId="0">
      <alignment horizontal="center" vertical="center"/>
    </xf>
    <xf numFmtId="0" fontId="41" fillId="0" borderId="23" applyAlignment="1" pivotButton="0" quotePrefix="0" xfId="0">
      <alignment horizontal="center" vertical="center"/>
    </xf>
    <xf numFmtId="0" fontId="41" fillId="0" borderId="24" applyAlignment="1" pivotButton="0" quotePrefix="0" xfId="0">
      <alignment horizontal="center" vertical="center"/>
    </xf>
    <xf numFmtId="0" fontId="42" fillId="0" borderId="24" applyAlignment="1" pivotButton="0" quotePrefix="0" xfId="0">
      <alignment horizontal="center" vertical="center" wrapText="1"/>
    </xf>
    <xf numFmtId="0" fontId="42" fillId="0" borderId="24" applyAlignment="1" pivotButton="0" quotePrefix="0" xfId="0">
      <alignment horizontal="center" vertical="center"/>
    </xf>
    <xf numFmtId="0" fontId="44" fillId="0" borderId="36" applyAlignment="1" pivotButton="0" quotePrefix="0" xfId="0">
      <alignment horizontal="left" vertical="center" wrapText="1"/>
    </xf>
    <xf numFmtId="0" fontId="44" fillId="0" borderId="49" applyAlignment="1" pivotButton="0" quotePrefix="0" xfId="0">
      <alignment horizontal="left" vertical="center"/>
    </xf>
    <xf numFmtId="0" fontId="41" fillId="0" borderId="36" applyAlignment="1" pivotButton="0" quotePrefix="0" xfId="0">
      <alignment horizontal="center" vertical="center"/>
    </xf>
    <xf numFmtId="0" fontId="41" fillId="0" borderId="50" applyAlignment="1" pivotButton="0" quotePrefix="0" xfId="0">
      <alignment horizontal="center" vertical="center"/>
    </xf>
    <xf numFmtId="0" fontId="41" fillId="0" borderId="29" applyAlignment="1" pivotButton="0" quotePrefix="0" xfId="0">
      <alignment horizontal="center" vertical="center"/>
    </xf>
    <xf numFmtId="0" fontId="41" fillId="0" borderId="44" applyAlignment="1" pivotButton="0" quotePrefix="0" xfId="0">
      <alignment horizontal="center" vertical="center"/>
    </xf>
    <xf numFmtId="173" fontId="41" fillId="0" borderId="44" applyAlignment="1" pivotButton="0" quotePrefix="0" xfId="0">
      <alignment horizontal="center" vertical="center"/>
    </xf>
    <xf numFmtId="0" fontId="45" fillId="0" borderId="29" applyAlignment="1" pivotButton="0" quotePrefix="0" xfId="0">
      <alignment horizontal="center" vertical="center" wrapText="1"/>
    </xf>
    <xf numFmtId="0" fontId="45" fillId="0" borderId="121" applyAlignment="1" pivotButton="0" quotePrefix="0" xfId="0">
      <alignment horizontal="center" vertical="center"/>
    </xf>
    <xf numFmtId="0" fontId="45" fillId="0" borderId="29" applyAlignment="1" pivotButton="0" quotePrefix="0" xfId="0">
      <alignment horizontal="center" vertical="center"/>
    </xf>
    <xf numFmtId="0" fontId="45" fillId="0" borderId="32" applyAlignment="1" pivotButton="0" quotePrefix="0" xfId="0">
      <alignment horizontal="center" vertical="center"/>
    </xf>
    <xf numFmtId="0" fontId="45" fillId="0" borderId="53" applyAlignment="1" pivotButton="0" quotePrefix="0" xfId="0">
      <alignment horizontal="center" vertical="center"/>
    </xf>
    <xf numFmtId="0" fontId="47" fillId="0" borderId="7" applyAlignment="1" pivotButton="0" quotePrefix="0" xfId="0">
      <alignment horizontal="left" vertical="center"/>
    </xf>
    <xf numFmtId="0" fontId="47" fillId="0" borderId="9" applyAlignment="1" pivotButton="0" quotePrefix="0" xfId="0">
      <alignment horizontal="left" vertical="center"/>
    </xf>
    <xf numFmtId="0" fontId="41" fillId="0" borderId="51" applyAlignment="1" pivotButton="0" quotePrefix="0" xfId="0">
      <alignment horizontal="center" vertical="center"/>
    </xf>
    <xf numFmtId="0" fontId="41" fillId="0" borderId="62" applyAlignment="1" pivotButton="0" quotePrefix="0" xfId="0">
      <alignment horizontal="center" vertical="center"/>
    </xf>
    <xf numFmtId="0" fontId="48" fillId="0" borderId="29" applyAlignment="1" pivotButton="0" quotePrefix="0" xfId="0">
      <alignment horizontal="center" vertical="center" wrapText="1"/>
    </xf>
    <xf numFmtId="0" fontId="48" fillId="0" borderId="121" applyAlignment="1" pivotButton="0" quotePrefix="0" xfId="0">
      <alignment horizontal="center" vertical="center"/>
    </xf>
    <xf numFmtId="0" fontId="48" fillId="0" borderId="29" applyAlignment="1" pivotButton="0" quotePrefix="0" xfId="0">
      <alignment horizontal="center" vertical="center"/>
    </xf>
    <xf numFmtId="0" fontId="41" fillId="0" borderId="122" applyAlignment="1" pivotButton="0" quotePrefix="0" xfId="0">
      <alignment horizontal="center" vertical="center" wrapText="1"/>
    </xf>
    <xf numFmtId="0" fontId="41" fillId="0" borderId="123" applyAlignment="1" pivotButton="0" quotePrefix="0" xfId="0">
      <alignment horizontal="center" vertical="center"/>
    </xf>
    <xf numFmtId="0" fontId="41" fillId="0" borderId="124" applyAlignment="1" pivotButton="0" quotePrefix="0" xfId="0">
      <alignment vertical="center"/>
    </xf>
    <xf numFmtId="0" fontId="41" fillId="0" borderId="125" applyAlignment="1" pivotButton="0" quotePrefix="0" xfId="0">
      <alignment vertical="center"/>
    </xf>
    <xf numFmtId="0" fontId="41" fillId="0" borderId="126" applyAlignment="1" pivotButton="0" quotePrefix="0" xfId="0">
      <alignment vertical="center"/>
    </xf>
    <xf numFmtId="0" fontId="41" fillId="0" borderId="126" applyAlignment="1" pivotButton="0" quotePrefix="0" xfId="0">
      <alignment horizontal="center" vertical="center"/>
    </xf>
    <xf numFmtId="0" fontId="41" fillId="0" borderId="127" applyAlignment="1" pivotButton="0" quotePrefix="0" xfId="0">
      <alignment horizontal="center" vertical="center"/>
    </xf>
    <xf numFmtId="0" fontId="0" fillId="0" borderId="20" pivotButton="0" quotePrefix="0" xfId="0"/>
    <xf numFmtId="0" fontId="0" fillId="0" borderId="21" pivotButton="0" quotePrefix="0" xfId="0"/>
    <xf numFmtId="0" fontId="44" fillId="0" borderId="24" applyAlignment="1" pivotButton="0" quotePrefix="0" xfId="0">
      <alignment horizontal="left" vertical="center" wrapText="1"/>
    </xf>
    <xf numFmtId="0" fontId="0" fillId="0" borderId="49" pivotButton="0" quotePrefix="0" xfId="0"/>
    <xf numFmtId="0" fontId="41" fillId="0" borderId="129" applyAlignment="1" pivotButton="0" quotePrefix="0" xfId="0">
      <alignment horizontal="center" vertical="center"/>
    </xf>
    <xf numFmtId="0" fontId="0" fillId="0" borderId="50" pivotButton="0" quotePrefix="0" xfId="0"/>
    <xf numFmtId="0" fontId="0" fillId="0" borderId="7" pivotButton="0" quotePrefix="0" xfId="0"/>
    <xf numFmtId="0" fontId="0" fillId="0" borderId="13" pivotButton="0" quotePrefix="0" xfId="0"/>
    <xf numFmtId="0" fontId="0" fillId="0" borderId="12" pivotButton="0" quotePrefix="0" xfId="0"/>
    <xf numFmtId="0" fontId="44" fillId="0" borderId="4" applyAlignment="1" pivotButton="0" quotePrefix="0" xfId="0">
      <alignment horizontal="left" vertical="center" wrapText="1"/>
    </xf>
    <xf numFmtId="0" fontId="0" fillId="0" borderId="5" pivotButton="0" quotePrefix="0" xfId="0"/>
    <xf numFmtId="14" fontId="41" fillId="0" borderId="121" applyAlignment="1" pivotButton="0" quotePrefix="0" xfId="0">
      <alignment horizontal="center" vertical="center"/>
    </xf>
    <xf numFmtId="0" fontId="0" fillId="0" borderId="44" pivotButton="0" quotePrefix="0" xfId="0"/>
    <xf numFmtId="0" fontId="41" fillId="0" borderId="121" applyAlignment="1" pivotButton="0" quotePrefix="0" xfId="0">
      <alignment horizontal="center" vertical="center"/>
    </xf>
    <xf numFmtId="0" fontId="0" fillId="0" borderId="51" pivotButton="0" quotePrefix="0" xfId="0"/>
    <xf numFmtId="0" fontId="0" fillId="0" borderId="16" pivotButton="0" quotePrefix="0" xfId="0"/>
    <xf numFmtId="0" fontId="0" fillId="0" borderId="30" pivotButton="0" quotePrefix="0" xfId="0"/>
    <xf numFmtId="0" fontId="0" fillId="0" borderId="15" pivotButton="0" quotePrefix="0" xfId="0"/>
    <xf numFmtId="173" fontId="41" fillId="0" borderId="121" applyAlignment="1" pivotButton="0" quotePrefix="1" xfId="0">
      <alignment horizontal="center" vertical="center"/>
    </xf>
    <xf numFmtId="0" fontId="0" fillId="0" borderId="8" pivotButton="0" quotePrefix="0" xfId="0"/>
    <xf numFmtId="0" fontId="0" fillId="0" borderId="11" pivotButton="0" quotePrefix="0" xfId="0"/>
    <xf numFmtId="0" fontId="79" fillId="0" borderId="4" applyAlignment="1" pivotButton="0" quotePrefix="0" xfId="0">
      <alignment horizontal="center" vertical="center"/>
    </xf>
    <xf numFmtId="0" fontId="0" fillId="0" borderId="9" pivotButton="0" quotePrefix="0" xfId="0"/>
    <xf numFmtId="0" fontId="41" fillId="0" borderId="4" applyAlignment="1" pivotButton="0" quotePrefix="0" xfId="0">
      <alignment horizontal="center" vertical="center" wrapText="1"/>
    </xf>
    <xf numFmtId="0" fontId="79" fillId="0" borderId="4" applyAlignment="1" pivotButton="0" quotePrefix="0" xfId="0">
      <alignment horizontal="center" vertical="center" wrapText="1"/>
    </xf>
    <xf numFmtId="0" fontId="41" fillId="0" borderId="128" applyAlignment="1" pivotButton="0" quotePrefix="0" xfId="0">
      <alignment horizontal="center" vertical="center"/>
    </xf>
    <xf numFmtId="0" fontId="0" fillId="0" borderId="62" pivotButton="0" quotePrefix="0" xfId="0"/>
    <xf numFmtId="0" fontId="0" fillId="0" borderId="131" pivotButton="0" quotePrefix="0" xfId="0"/>
    <xf numFmtId="0" fontId="0" fillId="0" borderId="132" pivotButton="0" quotePrefix="0" xfId="0"/>
    <xf numFmtId="0" fontId="0" fillId="0" borderId="135" pivotButton="0" quotePrefix="0" xfId="0"/>
    <xf numFmtId="0" fontId="0" fillId="0" borderId="136" pivotButton="0" quotePrefix="0" xfId="0"/>
    <xf numFmtId="0" fontId="0" fillId="0" borderId="137" pivotButton="0" quotePrefix="0" xfId="0"/>
    <xf numFmtId="0" fontId="0" fillId="0" borderId="138" pivotButton="0" quotePrefix="0" xfId="0"/>
    <xf numFmtId="0" fontId="26" fillId="2" borderId="141" applyAlignment="1" pivotButton="0" quotePrefix="0" xfId="4">
      <alignment horizontal="center" vertical="center"/>
    </xf>
    <xf numFmtId="0" fontId="0" fillId="0" borderId="65" pivotButton="0" quotePrefix="0" xfId="0"/>
    <xf numFmtId="0" fontId="0" fillId="0" borderId="66" pivotButton="0" quotePrefix="0" xfId="0"/>
    <xf numFmtId="0" fontId="35" fillId="2" borderId="68" applyAlignment="1" pivotButton="0" quotePrefix="0" xfId="4">
      <alignment horizontal="center" vertical="center" wrapText="1"/>
    </xf>
    <xf numFmtId="0" fontId="39" fillId="9" borderId="129" applyAlignment="1" pivotButton="0" quotePrefix="0" xfId="52">
      <alignment horizontal="center" vertical="center" wrapText="1"/>
    </xf>
    <xf numFmtId="0" fontId="0" fillId="0" borderId="37" pivotButton="0" quotePrefix="0" xfId="0"/>
    <xf numFmtId="0" fontId="25" fillId="9" borderId="121" applyAlignment="1" pivotButton="0" quotePrefix="1" xfId="4">
      <alignment horizontal="center" vertical="center"/>
    </xf>
    <xf numFmtId="0" fontId="0" fillId="0" borderId="2" pivotButton="0" quotePrefix="0" xfId="0"/>
    <xf numFmtId="0" fontId="39" fillId="8" borderId="23" applyAlignment="1" pivotButton="0" quotePrefix="0" xfId="4">
      <alignment horizontal="center" vertical="center" wrapText="1"/>
    </xf>
    <xf numFmtId="0" fontId="38" fillId="9" borderId="129" applyAlignment="1" pivotButton="0" quotePrefix="0" xfId="52">
      <alignment horizontal="left" vertical="center" wrapText="1"/>
    </xf>
    <xf numFmtId="0" fontId="28" fillId="8" borderId="142" applyAlignment="1" pivotButton="0" quotePrefix="0" xfId="4">
      <alignment horizontal="center" vertical="center" wrapText="1"/>
    </xf>
    <xf numFmtId="0" fontId="39" fillId="8" borderId="29" applyAlignment="1" pivotButton="0" quotePrefix="0" xfId="4">
      <alignment horizontal="center" vertical="center" wrapText="1"/>
    </xf>
    <xf numFmtId="0" fontId="38" fillId="9" borderId="121" applyAlignment="1" pivotButton="0" quotePrefix="0" xfId="52">
      <alignment horizontal="left" vertical="center" wrapText="1"/>
    </xf>
    <xf numFmtId="0" fontId="25" fillId="8" borderId="29" applyAlignment="1" pivotButton="0" quotePrefix="0" xfId="4">
      <alignment horizontal="center" vertical="center" wrapText="1"/>
    </xf>
    <xf numFmtId="0" fontId="54" fillId="0" borderId="121" applyAlignment="1" pivotButton="0" quotePrefix="0" xfId="4">
      <alignment horizontal="left" vertical="center" wrapText="1"/>
    </xf>
    <xf numFmtId="0" fontId="0" fillId="0" borderId="41" pivotButton="0" quotePrefix="0" xfId="0"/>
    <xf numFmtId="0" fontId="0" fillId="0" borderId="92" pivotButton="0" quotePrefix="0" xfId="0"/>
    <xf numFmtId="0" fontId="40" fillId="9" borderId="139" applyAlignment="1" pivotButton="0" quotePrefix="0" xfId="4">
      <alignment horizontal="left" vertical="center" wrapText="1"/>
    </xf>
    <xf numFmtId="0" fontId="0" fillId="0" borderId="45" pivotButton="0" quotePrefix="0" xfId="0"/>
    <xf numFmtId="0" fontId="0" fillId="0" borderId="46" pivotButton="0" quotePrefix="0" xfId="0"/>
    <xf numFmtId="0" fontId="25" fillId="8" borderId="140" applyAlignment="1" pivotButton="0" quotePrefix="0" xfId="4">
      <alignment horizontal="center" vertical="center" wrapText="1"/>
    </xf>
    <xf numFmtId="0" fontId="0" fillId="0" borderId="94" pivotButton="0" quotePrefix="0" xfId="0"/>
    <xf numFmtId="0" fontId="0" fillId="0" borderId="17" pivotButton="0" quotePrefix="0" xfId="0"/>
    <xf numFmtId="0" fontId="0" fillId="0" borderId="18" pivotButton="0" quotePrefix="0" xfId="0"/>
    <xf numFmtId="0" fontId="0" fillId="0" borderId="19" pivotButton="0" quotePrefix="0" xfId="0"/>
    <xf numFmtId="0" fontId="26" fillId="0" borderId="97" applyAlignment="1" pivotButton="0" quotePrefix="0" xfId="0">
      <alignment horizontal="center" vertical="center"/>
    </xf>
    <xf numFmtId="0" fontId="35" fillId="0" borderId="144" applyAlignment="1" pivotButton="0" quotePrefix="0" xfId="0">
      <alignment horizontal="center" vertical="center" wrapText="1"/>
    </xf>
    <xf numFmtId="0" fontId="0" fillId="0" borderId="22" pivotButton="0" quotePrefix="0" xfId="0"/>
    <xf numFmtId="0" fontId="0" fillId="0" borderId="54" pivotButton="0" quotePrefix="0" xfId="0"/>
    <xf numFmtId="0" fontId="33" fillId="7" borderId="97" applyAlignment="1" pivotButton="0" quotePrefix="0" xfId="0">
      <alignment horizontal="center" vertical="center" wrapText="1"/>
    </xf>
    <xf numFmtId="0" fontId="28" fillId="7" borderId="24" applyAlignment="1" pivotButton="0" quotePrefix="0" xfId="0">
      <alignment horizontal="center" vertical="center"/>
    </xf>
    <xf numFmtId="0" fontId="28" fillId="7" borderId="129" applyAlignment="1" pivotButton="0" quotePrefix="0" xfId="0">
      <alignment horizontal="center" vertical="center" wrapText="1"/>
    </xf>
    <xf numFmtId="0" fontId="0" fillId="0" borderId="14" pivotButton="0" quotePrefix="0" xfId="0"/>
    <xf numFmtId="0" fontId="28" fillId="7" borderId="92" applyAlignment="1" pivotButton="0" quotePrefix="0" xfId="0">
      <alignment horizontal="center" vertical="center" wrapText="1"/>
    </xf>
    <xf numFmtId="0" fontId="28" fillId="7" borderId="139" applyAlignment="1" pivotButton="0" quotePrefix="0" xfId="0">
      <alignment horizontal="center" vertical="center" wrapText="1"/>
    </xf>
    <xf numFmtId="0" fontId="0" fillId="0" borderId="35" pivotButton="0" quotePrefix="0" xfId="0"/>
    <xf numFmtId="0" fontId="0" fillId="0" borderId="55" pivotButton="0" quotePrefix="0" xfId="0"/>
    <xf numFmtId="0" fontId="0" fillId="0" borderId="81" pivotButton="0" quotePrefix="0" xfId="0"/>
    <xf numFmtId="0" fontId="28" fillId="6" borderId="29" applyAlignment="1" pivotButton="0" quotePrefix="0" xfId="0">
      <alignment horizontal="center" vertical="center" wrapText="1"/>
    </xf>
    <xf numFmtId="0" fontId="0" fillId="0" borderId="33" pivotButton="0" quotePrefix="0" xfId="0"/>
    <xf numFmtId="0" fontId="0" fillId="0" borderId="98" pivotButton="0" quotePrefix="0" xfId="0"/>
    <xf numFmtId="0" fontId="0" fillId="0" borderId="145" pivotButton="0" quotePrefix="0" xfId="0"/>
    <xf numFmtId="0" fontId="35" fillId="2" borderId="147" applyAlignment="1" pivotButton="0" quotePrefix="0" xfId="7">
      <alignment horizontal="center" vertical="center" wrapText="1"/>
    </xf>
    <xf numFmtId="0" fontId="0" fillId="0" borderId="148" pivotButton="0" quotePrefix="0" xfId="0"/>
    <xf numFmtId="0" fontId="0" fillId="0" borderId="149" pivotButton="0" quotePrefix="0" xfId="0"/>
    <xf numFmtId="0" fontId="58" fillId="2" borderId="146" applyAlignment="1" pivotButton="0" quotePrefix="0" xfId="0">
      <alignment horizontal="left" vertical="center" wrapText="1"/>
    </xf>
    <xf numFmtId="0" fontId="52" fillId="12" borderId="129" applyAlignment="1" pivotButton="0" quotePrefix="0" xfId="0">
      <alignment horizontal="center" vertical="center"/>
    </xf>
    <xf numFmtId="0" fontId="52" fillId="9" borderId="121" applyAlignment="1" pivotButton="0" quotePrefix="0" xfId="0">
      <alignment horizontal="center" vertical="center"/>
    </xf>
    <xf numFmtId="0" fontId="52" fillId="9" borderId="139" applyAlignment="1" pivotButton="0" quotePrefix="0" xfId="0">
      <alignment horizontal="center" vertical="center"/>
    </xf>
    <xf numFmtId="0" fontId="58" fillId="2" borderId="146" applyAlignment="1" pivotButton="0" quotePrefix="0" xfId="7">
      <alignment horizontal="left" vertical="center" wrapText="1"/>
    </xf>
    <xf numFmtId="0" fontId="36" fillId="2" borderId="146" applyAlignment="1" pivotButton="0" quotePrefix="0" xfId="7">
      <alignment horizontal="left" vertical="center" wrapText="1"/>
    </xf>
    <xf numFmtId="0" fontId="0" fillId="0" borderId="153" pivotButton="0" quotePrefix="0" xfId="0"/>
    <xf numFmtId="0" fontId="33" fillId="9" borderId="88" applyAlignment="1" pivotButton="0" quotePrefix="0" xfId="62">
      <alignment horizontal="center" vertical="center" wrapText="1"/>
    </xf>
    <xf numFmtId="0" fontId="0" fillId="0" borderId="3" pivotButton="0" quotePrefix="0" xfId="0"/>
    <xf numFmtId="0" fontId="0" fillId="0" borderId="100" pivotButton="0" quotePrefix="0" xfId="0"/>
    <xf numFmtId="0" fontId="55" fillId="9" borderId="4" applyAlignment="1" pivotButton="0" quotePrefix="0" xfId="3">
      <alignment horizontal="center" vertical="center"/>
    </xf>
    <xf numFmtId="0" fontId="0" fillId="0" borderId="152" pivotButton="0" quotePrefix="0" xfId="0"/>
    <xf numFmtId="16" fontId="75" fillId="13" borderId="4" applyAlignment="1" pivotButton="0" quotePrefix="0" xfId="60">
      <alignment horizontal="center" vertical="center" wrapText="1"/>
    </xf>
    <xf numFmtId="0" fontId="0" fillId="0" borderId="61" pivotButton="0" quotePrefix="0" xfId="0"/>
    <xf numFmtId="0" fontId="75" fillId="0" borderId="4" applyAlignment="1" pivotButton="0" quotePrefix="0" xfId="60">
      <alignment horizontal="center" vertical="center" wrapText="1"/>
    </xf>
    <xf numFmtId="0" fontId="75" fillId="0" borderId="4" applyAlignment="1" pivotButton="0" quotePrefix="0" xfId="60">
      <alignment horizontal="center" vertical="center"/>
    </xf>
    <xf numFmtId="0" fontId="75" fillId="0" borderId="4" applyAlignment="1" pivotButton="0" quotePrefix="0" xfId="60">
      <alignment horizontal="left" vertical="center" wrapText="1"/>
    </xf>
    <xf numFmtId="0" fontId="60" fillId="0" borderId="97" applyAlignment="1" pivotButton="0" quotePrefix="0" xfId="50">
      <alignment horizontal="center"/>
    </xf>
    <xf numFmtId="0" fontId="61" fillId="0" borderId="157" applyAlignment="1" pivotButton="0" quotePrefix="0" xfId="50">
      <alignment horizontal="center" vertical="center"/>
    </xf>
    <xf numFmtId="0" fontId="57" fillId="0" borderId="23" applyAlignment="1" pivotButton="0" quotePrefix="0" xfId="50">
      <alignment horizontal="center" vertical="center"/>
    </xf>
    <xf numFmtId="0" fontId="57" fillId="0" borderId="24" applyAlignment="1" pivotButton="0" quotePrefix="0" xfId="50">
      <alignment horizontal="center" vertical="center"/>
    </xf>
    <xf numFmtId="0" fontId="57" fillId="0" borderId="129" applyAlignment="1" pivotButton="0" quotePrefix="0" xfId="50">
      <alignment horizontal="center" vertical="center"/>
    </xf>
    <xf numFmtId="0" fontId="60" fillId="0" borderId="40" applyAlignment="1" pivotButton="0" quotePrefix="0" xfId="50">
      <alignment horizontal="center"/>
    </xf>
    <xf numFmtId="0" fontId="60" fillId="0" borderId="39" applyAlignment="1" pivotButton="0" quotePrefix="0" xfId="50">
      <alignment horizontal="center"/>
    </xf>
    <xf numFmtId="0" fontId="60" fillId="0" borderId="139" applyAlignment="1" pivotButton="0" quotePrefix="0" xfId="50">
      <alignment horizontal="center"/>
    </xf>
    <xf numFmtId="168" fontId="50" fillId="5" borderId="109" applyAlignment="1" applyProtection="1" pivotButton="0" quotePrefix="0" xfId="51">
      <alignment horizontal="center" vertical="center"/>
      <protection locked="0" hidden="0"/>
    </xf>
    <xf numFmtId="168" fontId="50" fillId="5" borderId="109" applyAlignment="1" applyProtection="1" pivotButton="0" quotePrefix="1" xfId="51">
      <alignment horizontal="center" vertical="center"/>
      <protection locked="0" hidden="0"/>
    </xf>
    <xf numFmtId="0" fontId="0" fillId="0" borderId="7" applyProtection="1" pivotButton="0" quotePrefix="0" xfId="0">
      <protection locked="0" hidden="0"/>
    </xf>
    <xf numFmtId="0" fontId="0" fillId="0" borderId="0" applyProtection="1" pivotButton="0" quotePrefix="0" xfId="0">
      <protection locked="0" hidden="0"/>
    </xf>
    <xf numFmtId="0" fontId="0" fillId="0" borderId="154" applyProtection="1" pivotButton="0" quotePrefix="0" xfId="0">
      <protection locked="0" hidden="0"/>
    </xf>
    <xf numFmtId="0" fontId="0" fillId="0" borderId="155" applyProtection="1" pivotButton="0" quotePrefix="0" xfId="0">
      <protection locked="0" hidden="0"/>
    </xf>
    <xf numFmtId="165" fontId="60" fillId="0" borderId="0" applyAlignment="1" pivotButton="0" quotePrefix="0" xfId="50">
      <alignment horizontal="center"/>
    </xf>
    <xf numFmtId="168" fontId="50" fillId="5" borderId="111" applyAlignment="1" applyProtection="1" pivotButton="0" quotePrefix="0" xfId="51">
      <alignment horizontal="center" vertical="center"/>
      <protection locked="0" hidden="0"/>
    </xf>
    <xf numFmtId="168" fontId="50" fillId="5" borderId="111" applyAlignment="1" applyProtection="1" pivotButton="0" quotePrefix="1" xfId="51">
      <alignment horizontal="center" vertical="center"/>
      <protection locked="0" hidden="0"/>
    </xf>
    <xf numFmtId="0" fontId="50" fillId="5" borderId="156" applyAlignment="1" applyProtection="1" pivotButton="0" quotePrefix="0" xfId="51">
      <alignment horizontal="center" vertical="center"/>
      <protection locked="0" hidden="0"/>
    </xf>
    <xf numFmtId="0" fontId="0" fillId="0" borderId="17" applyProtection="1" pivotButton="0" quotePrefix="0" xfId="0">
      <protection locked="0" hidden="0"/>
    </xf>
    <xf numFmtId="166" fontId="60" fillId="0" borderId="0" applyAlignment="1" pivotButton="0" quotePrefix="0" xfId="50">
      <alignment horizontal="center"/>
    </xf>
    <xf numFmtId="165" fontId="68" fillId="0" borderId="0" applyAlignment="1" pivotButton="0" quotePrefix="0" xfId="50">
      <alignment horizontal="center"/>
    </xf>
    <xf numFmtId="165" fontId="68" fillId="0" borderId="9" applyAlignment="1" pivotButton="0" quotePrefix="0" xfId="50">
      <alignment horizontal="center"/>
    </xf>
    <xf numFmtId="167" fontId="60" fillId="0" borderId="0" applyAlignment="1" pivotButton="0" quotePrefix="0" xfId="50">
      <alignment horizontal="center"/>
    </xf>
    <xf numFmtId="167" fontId="69" fillId="0" borderId="0" applyAlignment="1" pivotButton="0" quotePrefix="0" xfId="50">
      <alignment horizontal="center"/>
    </xf>
    <xf numFmtId="168" fontId="70" fillId="0" borderId="2" applyAlignment="1" pivotButton="0" quotePrefix="0" xfId="50">
      <alignment horizontal="center" vertical="center"/>
    </xf>
    <xf numFmtId="168" fontId="70" fillId="0" borderId="0" applyAlignment="1" pivotButton="0" quotePrefix="0" xfId="50">
      <alignment horizontal="center" vertical="center"/>
    </xf>
    <xf numFmtId="169" fontId="69" fillId="0" borderId="0" applyAlignment="1" pivotButton="0" quotePrefix="0" xfId="50">
      <alignment horizontal="center"/>
    </xf>
    <xf numFmtId="165" fontId="69" fillId="0" borderId="0" applyAlignment="1" pivotButton="0" quotePrefix="0" xfId="50">
      <alignment horizontal="center"/>
    </xf>
    <xf numFmtId="167" fontId="60" fillId="0" borderId="0" pivotButton="0" quotePrefix="0" xfId="50"/>
    <xf numFmtId="170" fontId="70" fillId="0" borderId="2" applyAlignment="1" pivotButton="0" quotePrefix="0" xfId="50">
      <alignment horizontal="center" vertical="center"/>
    </xf>
    <xf numFmtId="170" fontId="70" fillId="0" borderId="0" applyAlignment="1" pivotButton="0" quotePrefix="0" xfId="50">
      <alignment horizontal="center" vertical="center"/>
    </xf>
    <xf numFmtId="169" fontId="60" fillId="0" borderId="0" applyAlignment="1" pivotButton="0" quotePrefix="0" xfId="50">
      <alignment horizontal="left"/>
    </xf>
    <xf numFmtId="167" fontId="69" fillId="0" borderId="0" pivotButton="0" quotePrefix="0" xfId="50"/>
    <xf numFmtId="171" fontId="70" fillId="0" borderId="2" applyAlignment="1" pivotButton="0" quotePrefix="0" xfId="50">
      <alignment horizontal="center" vertical="center"/>
    </xf>
    <xf numFmtId="171" fontId="70" fillId="0" borderId="0" applyAlignment="1" pivotButton="0" quotePrefix="0" xfId="50">
      <alignment horizontal="center" vertical="center"/>
    </xf>
    <xf numFmtId="168" fontId="64" fillId="11" borderId="2" applyAlignment="1" pivotButton="0" quotePrefix="0" xfId="50">
      <alignment horizontal="center" vertical="center"/>
    </xf>
    <xf numFmtId="168" fontId="64" fillId="0" borderId="0" applyAlignment="1" pivotButton="0" quotePrefix="0" xfId="50">
      <alignment horizontal="center" vertical="center"/>
    </xf>
    <xf numFmtId="170" fontId="69" fillId="0" borderId="0" applyAlignment="1" pivotButton="0" quotePrefix="0" xfId="50">
      <alignment horizontal="center"/>
    </xf>
    <xf numFmtId="172" fontId="60" fillId="0" borderId="0" pivotButton="0" quotePrefix="0" xfId="50"/>
    <xf numFmtId="167" fontId="69" fillId="0" borderId="18" applyAlignment="1" pivotButton="0" quotePrefix="0" xfId="50">
      <alignment horizontal="center"/>
    </xf>
  </cellXfs>
  <cellStyles count="63">
    <cellStyle name="Normal" xfId="0" builtinId="0"/>
    <cellStyle name="Header1" xfId="1"/>
    <cellStyle name="Header2" xfId="2"/>
    <cellStyle name="Normal_New Process Template(Korean)_1" xfId="3"/>
    <cellStyle name="Normal_프로맵 Master 양식(WKR)" xfId="4"/>
    <cellStyle name=" 坪 l_Sheet1_Q4 (2)" xfId="5"/>
    <cellStyle name="표준 2" xfId="6"/>
    <cellStyle name="표준 3" xfId="7"/>
    <cellStyle name="          _x000d__x000a_mouse.drv=lmouse.drv" xfId="8"/>
    <cellStyle name="?Ⅱ_x001b__x0005_@?" xfId="9"/>
    <cellStyle name="_M200_승인원 모음" xfId="10"/>
    <cellStyle name="_-m200-telltale" xfId="11"/>
    <cellStyle name="1" xfId="12"/>
    <cellStyle name="120" xfId="13"/>
    <cellStyle name="AeE­ [0]_ ¸n A÷_V100 ºI¹I,³≫¼o 2.2 PILOT " xfId="14"/>
    <cellStyle name="AeE­_ ¸n A÷_V100 ºI¹I,³≫¼o 2.2 PILOT " xfId="15"/>
    <cellStyle name="AÞ¸¶ [0]_ ¸n A÷_V100 ºI¹I,³≫¼o 2.2 PILOT " xfId="16"/>
    <cellStyle name="AÞ¸¶_ ¸n A÷_V100 ºI¹I,³≫¼o 2.2 PILOT " xfId="17"/>
    <cellStyle name="C￥AØ_ °¡°øAu¿e±a AuAa¿ø°¡ " xfId="18"/>
    <cellStyle name="category" xfId="19"/>
    <cellStyle name="Currency1" xfId="20"/>
    <cellStyle name="DOWN" xfId="21"/>
    <cellStyle name="E­Æo±aE￡_¿￡AøºI " xfId="22"/>
    <cellStyle name="Grey" xfId="23"/>
    <cellStyle name="HEADER" xfId="24"/>
    <cellStyle name="Input [yellow]" xfId="25"/>
    <cellStyle name="KAGE" xfId="26"/>
    <cellStyle name="MIDDLE" xfId="27"/>
    <cellStyle name="Model" xfId="28"/>
    <cellStyle name="Normal - Style1" xfId="29"/>
    <cellStyle name="Percent [2]" xfId="30"/>
    <cellStyle name="subhead" xfId="31"/>
    <cellStyle name="UP" xfId="32"/>
    <cellStyle name="고정소숫점" xfId="33"/>
    <cellStyle name="고정출력1" xfId="34"/>
    <cellStyle name="고정출력2" xfId="35"/>
    <cellStyle name="날짜" xfId="36"/>
    <cellStyle name="달러" xfId="37"/>
    <cellStyle name="뒤에 오는 하이퍼링크_~att0338" xfId="38"/>
    <cellStyle name="스타일 1" xfId="39"/>
    <cellStyle name="자리수" xfId="40"/>
    <cellStyle name="자리수0" xfId="41"/>
    <cellStyle name="콤마 [0]_- 4 -" xfId="42"/>
    <cellStyle name="콤마_ 목 차_V100 북미,내수 2.2 PILOT " xfId="43"/>
    <cellStyle name="퍼센트" xfId="44"/>
    <cellStyle name="표준 2 2" xfId="45"/>
    <cellStyle name="표준 4" xfId="46"/>
    <cellStyle name="합산" xfId="47"/>
    <cellStyle name="화폐기호" xfId="48"/>
    <cellStyle name="화폐기호0" xfId="49"/>
    <cellStyle name="Normal 3" xfId="50"/>
    <cellStyle name="一般_TM1-TOP" xfId="51"/>
    <cellStyle name="Normal_프로맵 Master 양식(WKR) 2" xfId="52"/>
    <cellStyle name="೴ઘЄഈÜ자재영업2\Samsung ML-1750 Series" xfId="53"/>
    <cellStyle name="Normal_New Process Template(Korean) 2" xfId="54"/>
    <cellStyle name="Normal 2" xfId="55"/>
    <cellStyle name="SPECIAL" xfId="56"/>
    <cellStyle name="표준 41" xfId="57"/>
    <cellStyle name="표준 6_내부심사프로세스" xfId="58"/>
    <cellStyle name="표준_%ED%94%84%EB%A1%9C%EB%A7%B5 Master %EC%96%91%EC%8B%9D(1)" xfId="59"/>
    <cellStyle name="Normal 4" xfId="60"/>
    <cellStyle name="쉼표 [0] 2 2" xfId="61"/>
    <cellStyle name="Normal_New Process Template(Korean)_1 2" xfId="62"/>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externalLink" Target="/xl/externalLinks/externalLink2.xml" Id="rId9"/><Relationship Type="http://schemas.openxmlformats.org/officeDocument/2006/relationships/externalLink" Target="/xl/externalLinks/externalLink3.xml" Id="rId10"/><Relationship Type="http://schemas.openxmlformats.org/officeDocument/2006/relationships/externalLink" Target="/xl/externalLinks/externalLink4.xml" Id="rId11"/><Relationship Type="http://schemas.openxmlformats.org/officeDocument/2006/relationships/externalLink" Target="/xl/externalLinks/externalLink5.xml" Id="rId12"/><Relationship Type="http://schemas.openxmlformats.org/officeDocument/2006/relationships/externalLink" Target="/xl/externalLinks/externalLink6.xml" Id="rId13"/><Relationship Type="http://schemas.openxmlformats.org/officeDocument/2006/relationships/externalLink" Target="/xl/externalLinks/externalLink7.xml" Id="rId14"/><Relationship Type="http://schemas.openxmlformats.org/officeDocument/2006/relationships/externalLink" Target="/xl/externalLinks/externalLink8.xml" Id="rId15"/><Relationship Type="http://schemas.openxmlformats.org/officeDocument/2006/relationships/externalLink" Target="/xl/externalLinks/externalLink9.xml" Id="rId16"/><Relationship Type="http://schemas.openxmlformats.org/officeDocument/2006/relationships/externalLink" Target="/xl/externalLinks/externalLink10.xml" Id="rId17"/><Relationship Type="http://schemas.openxmlformats.org/officeDocument/2006/relationships/externalLink" Target="/xl/externalLinks/externalLink11.xml" Id="rId18"/><Relationship Type="http://schemas.openxmlformats.org/officeDocument/2006/relationships/externalLink" Target="/xl/externalLinks/externalLink12.xml" Id="rId19"/><Relationship Type="http://schemas.openxmlformats.org/officeDocument/2006/relationships/externalLink" Target="/xl/externalLinks/externalLink13.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plotArea>
      <layout/>
      <barChart>
        <barDir val="col"/>
        <grouping val="clustered"/>
        <varyColors val="0"/>
        <ser>
          <idx val="1"/>
          <order val="0"/>
          <tx>
            <strRef>
              <f>'[13]ss2 lcd cover'!$K$55:$K$68</f>
              <strCache>
                <ptCount val="1"/>
                <pt idx="0">
                  <v>169.7208 169.7479 169.775 169.8021 169.8292 169.8563 169.8834 169.9105 169.9376 169.9647 169.9918 170.0189 170.046 170.0731</v>
                </pt>
              </strCache>
            </strRef>
          </tx>
          <spPr>
            <a:solidFill xmlns:a="http://schemas.openxmlformats.org/drawingml/2006/main">
              <a:srgbClr val="993366"/>
            </a:solidFill>
            <a:ln xmlns:a="http://schemas.openxmlformats.org/drawingml/2006/main" w="12700">
              <a:solidFill>
                <a:srgbClr val="000000"/>
              </a:solidFill>
              <a:prstDash val="solid"/>
            </a:ln>
          </spPr>
          <invertIfNegative val="0"/>
          <cat>
            <numLit>
              <formatCode>General</formatCode>
              <ptCount val="1"/>
              <pt idx="0">
                <v>0</v>
              </pt>
            </numLit>
          </cat>
          <val>
            <numLit>
              <formatCode>General</formatCode>
              <ptCount val="1"/>
              <pt idx="0">
                <v>0</v>
              </pt>
            </numLit>
          </val>
        </ser>
        <dLbls>
          <showLegendKey val="0"/>
          <showVal val="0"/>
          <showCatName val="0"/>
          <showSerName val="0"/>
          <showPercent val="0"/>
          <showBubbleSize val="0"/>
        </dLbls>
        <gapWidth val="0"/>
        <axId val="102054912"/>
        <axId val="102068992"/>
      </barChart>
      <catAx>
        <axId val="102054912"/>
        <scaling>
          <orientation val="minMax"/>
        </scaling>
        <delete val="0"/>
        <axPos val="b"/>
        <numFmt formatCode="General" sourceLinked="1"/>
        <majorTickMark val="cross"/>
        <minorTickMark val="cross"/>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200" b="0" i="0" strike="noStrike" baseline="0">
                <a:solidFill>
                  <a:srgbClr val="000000"/>
                </a:solidFill>
                <a:latin typeface="新細明體"/>
                <a:ea typeface="新細明體"/>
                <a:cs typeface="新細明體"/>
              </a:defRPr>
            </a:pPr>
            <a:r>
              <a:t>None</a:t>
            </a:r>
            <a:endParaRPr lang="en-US"/>
          </a:p>
        </txPr>
        <crossAx val="102068992"/>
        <crosses val="autoZero"/>
        <auto val="1"/>
        <lblAlgn val="ctr"/>
        <lblOffset val="100"/>
        <tickLblSkip val="1"/>
        <tickMarkSkip val="1"/>
        <noMultiLvlLbl val="0"/>
      </catAx>
      <valAx>
        <axId val="102068992"/>
        <scaling>
          <orientation val="minMax"/>
        </scaling>
        <delete val="0"/>
        <axPos val="l"/>
        <majorGridlines>
          <spPr>
            <a:ln xmlns:a="http://schemas.openxmlformats.org/drawingml/2006/main" w="3175">
              <a:solidFill>
                <a:srgbClr val="FFFFFF"/>
              </a:solidFill>
              <a:prstDash val="solid"/>
            </a:ln>
          </spPr>
        </majorGridlines>
        <numFmt formatCode="General" sourceLinked="1"/>
        <majorTickMark val="in"/>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300" b="0" i="0" strike="noStrike" baseline="0">
                <a:solidFill>
                  <a:srgbClr val="000000"/>
                </a:solidFill>
                <a:latin typeface="新細明體"/>
                <a:ea typeface="新細明體"/>
                <a:cs typeface="新細明體"/>
              </a:defRPr>
            </a:pPr>
            <a:r>
              <a:t>None</a:t>
            </a:r>
            <a:endParaRPr lang="en-US"/>
          </a:p>
        </txPr>
        <crossAx val="102054912"/>
        <crosses val="autoZero"/>
        <crossBetween val="between"/>
      </valAx>
    </plotArea>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4411764705882366"/>
          <y val="0.04229607250755287"/>
          <w val="0.9513574660633487"/>
          <h val="0.77189891548289"/>
        </manualLayout>
      </layout>
      <barChart>
        <barDir val="col"/>
        <grouping val="clustered"/>
        <varyColors val="0"/>
        <ser>
          <idx val="0"/>
          <order val="0"/>
          <tx>
            <strRef>
              <f>'RD-PR-006-003 '!$L$20</f>
              <strCache>
                <ptCount val="1"/>
              </strCache>
            </strRef>
          </tx>
          <spPr>
            <a:solidFill xmlns:a="http://schemas.openxmlformats.org/drawingml/2006/main">
              <a:srgbClr val="00CCFF"/>
            </a:solidFill>
            <a:ln xmlns:a="http://schemas.openxmlformats.org/drawingml/2006/main" w="12700">
              <a:solidFill>
                <a:srgbClr val="000000"/>
              </a:solidFill>
              <a:prstDash val="solid"/>
            </a:ln>
          </spPr>
          <invertIfNegative val="0"/>
          <dLbls>
            <dLbl>
              <idx val="0"/>
            </dLbl>
            <dLbl>
              <idx val="12"/>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showLegendKey val="0"/>
            <showVal val="1"/>
            <showCatName val="0"/>
            <showSerName val="0"/>
            <showPercent val="0"/>
            <showBubbleSize val="0"/>
            <showLeaderLines val="0"/>
          </dLbls>
          <val>
            <numRef>
              <f>'RD-PR-006-003 '!$L$21:$L$33</f>
              <numCache>
                <formatCode>General</formatCode>
                <ptCount val="13"/>
                <pt idx="0">
                  <v>0</v>
                </pt>
                <pt idx="1">
                  <v>0</v>
                </pt>
                <pt idx="2">
                  <v>0</v>
                </pt>
                <pt idx="3">
                  <v>0</v>
                </pt>
                <pt idx="4">
                  <v>0</v>
                </pt>
                <pt idx="5">
                  <v>0</v>
                </pt>
                <pt idx="6">
                  <v>0</v>
                </pt>
                <pt idx="7">
                  <v>0</v>
                </pt>
                <pt idx="8">
                  <v>0</v>
                </pt>
                <pt idx="9">
                  <v>0</v>
                </pt>
                <pt idx="10">
                  <v>0</v>
                </pt>
                <pt idx="11">
                  <v>0</v>
                </pt>
                <pt idx="12">
                  <v>0</v>
                </pt>
              </numCache>
            </numRef>
          </val>
        </ser>
        <dLbls>
          <showLegendKey val="0"/>
          <showVal val="0"/>
          <showCatName val="0"/>
          <showSerName val="0"/>
          <showPercent val="0"/>
          <showBubbleSize val="0"/>
        </dLbls>
        <gapWidth val="0"/>
        <axId val="103024512"/>
        <axId val="103026048"/>
      </barChart>
      <catAx>
        <axId val="103024512"/>
        <scaling>
          <orientation val="minMax"/>
        </scaling>
        <delete val="0"/>
        <axPos val="b"/>
        <numFmt formatCode="General" sourceLinked="1"/>
        <majorTickMark val="cross"/>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0" i="0" strike="noStrike" baseline="0">
                <a:solidFill>
                  <a:srgbClr val="000000"/>
                </a:solidFill>
                <a:latin typeface="新細明體"/>
                <a:ea typeface="新細明體"/>
                <a:cs typeface="新細明體"/>
              </a:defRPr>
            </a:pPr>
            <a:r>
              <a:t>None</a:t>
            </a:r>
            <a:endParaRPr lang="en-US"/>
          </a:p>
        </txPr>
        <crossAx val="103026048"/>
        <crosses val="autoZero"/>
        <auto val="1"/>
        <lblAlgn val="ctr"/>
        <lblOffset val="100"/>
        <tickLblSkip val="1"/>
        <tickMarkSkip val="1"/>
        <noMultiLvlLbl val="0"/>
      </catAx>
      <valAx>
        <axId val="103026048"/>
        <scaling>
          <orientation val="minMax"/>
          <max val="20"/>
        </scaling>
        <delete val="0"/>
        <axPos val="l"/>
        <majorGridlines>
          <spPr>
            <a:ln xmlns:a="http://schemas.openxmlformats.org/drawingml/2006/main" w="3175">
              <a:solidFill>
                <a:srgbClr val="000000"/>
              </a:solidFill>
              <a:prstDash val="solid"/>
            </a:ln>
          </spPr>
        </majorGridlines>
        <numFmt formatCode="General" sourceLinked="1"/>
        <majorTickMark val="in"/>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crossAx val="103024512"/>
        <crosses val="autoZero"/>
        <crossBetween val="between"/>
        <majorUnit val="4"/>
      </valAx>
    </plotArea>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charts/chart3.xml><?xml version="1.0" encoding="utf-8"?>
<chartSpace xmlns="http://schemas.openxmlformats.org/drawingml/2006/chart">
  <chart>
    <plotArea>
      <layout>
        <manualLayout>
          <layoutTarget val="inner"/>
          <xMode val="edge"/>
          <yMode val="edge"/>
          <wMode val="factor"/>
          <hMode val="factor"/>
          <x val="0.04504504504504504"/>
          <y val="0.05714285714285714"/>
          <w val="0.9504504504504506"/>
          <h val="0.8035714285714286"/>
        </manualLayout>
      </layout>
      <barChart>
        <barDir val="col"/>
        <grouping val="clustered"/>
        <varyColors val="0"/>
        <ser>
          <idx val="1"/>
          <order val="0"/>
          <spPr>
            <a:solidFill xmlns:a="http://schemas.openxmlformats.org/drawingml/2006/main">
              <a:srgbClr val="00CCFF"/>
            </a:solidFill>
            <a:ln xmlns:a="http://schemas.openxmlformats.org/drawingml/2006/main" w="12700">
              <a:solidFill>
                <a:srgbClr val="000000"/>
              </a:solidFill>
              <a:prstDash val="solid"/>
            </a:ln>
          </spPr>
          <invertIfNegative val="0"/>
          <dLbls>
            <dLbl>
              <idx val="0"/>
            </dLbl>
            <dLbl>
              <idx val="12"/>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showLegendKey val="0"/>
            <showVal val="1"/>
            <showCatName val="0"/>
            <showSerName val="0"/>
            <showPercent val="0"/>
            <showBubbleSize val="0"/>
            <showLeaderLines val="0"/>
          </dLbls>
          <val>
            <numRef>
              <f>'RD-PR-006-003 '!$L$38:$L$50</f>
              <numCache>
                <formatCode>General</formatCode>
                <ptCount val="13"/>
                <pt idx="0">
                  <v>0</v>
                </pt>
                <pt idx="1">
                  <v>0</v>
                </pt>
                <pt idx="2">
                  <v>0</v>
                </pt>
                <pt idx="3">
                  <v>0</v>
                </pt>
                <pt idx="4">
                  <v>0</v>
                </pt>
                <pt idx="5">
                  <v>0</v>
                </pt>
                <pt idx="6">
                  <v>0</v>
                </pt>
                <pt idx="7">
                  <v>0</v>
                </pt>
                <pt idx="8">
                  <v>0</v>
                </pt>
                <pt idx="9">
                  <v>0</v>
                </pt>
                <pt idx="10">
                  <v>0</v>
                </pt>
                <pt idx="11">
                  <v>0</v>
                </pt>
                <pt idx="12">
                  <v>0</v>
                </pt>
              </numCache>
            </numRef>
          </val>
        </ser>
        <dLbls>
          <showLegendKey val="0"/>
          <showVal val="0"/>
          <showCatName val="0"/>
          <showSerName val="0"/>
          <showPercent val="0"/>
          <showBubbleSize val="0"/>
        </dLbls>
        <gapWidth val="0"/>
        <axId val="103076992"/>
        <axId val="103078528"/>
      </barChart>
      <catAx>
        <axId val="103076992"/>
        <scaling>
          <orientation val="minMax"/>
        </scaling>
        <delete val="0"/>
        <axPos val="b"/>
        <numFmt formatCode="General" sourceLinked="1"/>
        <majorTickMark val="in"/>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crossAx val="103078528"/>
        <crosses val="autoZero"/>
        <auto val="1"/>
        <lblAlgn val="ctr"/>
        <lblOffset val="100"/>
        <tickLblSkip val="1"/>
        <tickMarkSkip val="1"/>
        <noMultiLvlLbl val="0"/>
      </catAx>
      <valAx>
        <axId val="103078528"/>
        <scaling>
          <orientation val="minMax"/>
          <max val="23"/>
          <min val="0"/>
        </scaling>
        <delete val="0"/>
        <axPos val="l"/>
        <majorGridlines>
          <spPr>
            <a:ln xmlns:a="http://schemas.openxmlformats.org/drawingml/2006/main" w="3175">
              <a:solidFill>
                <a:srgbClr val="000000"/>
              </a:solidFill>
              <a:prstDash val="solid"/>
            </a:ln>
          </spPr>
        </majorGridlines>
        <numFmt formatCode="General" sourceLinked="1"/>
        <majorTickMark val="in"/>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crossAx val="103076992"/>
        <crosses val="autoZero"/>
        <crossBetween val="between"/>
        <majorUnit val="4"/>
      </valAx>
    </plotArea>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charts/chart4.xml><?xml version="1.0" encoding="utf-8"?>
<chartSpace xmlns="http://schemas.openxmlformats.org/drawingml/2006/chart">
  <chart>
    <plotArea>
      <layout>
        <manualLayout>
          <layoutTarget val="inner"/>
          <xMode val="edge"/>
          <yMode val="edge"/>
          <wMode val="factor"/>
          <hMode val="factor"/>
          <x val="0.04627539503385996"/>
          <y val="0.06227106227106221"/>
          <w val="0.9480812641083521"/>
          <h val="0.8131868131868136"/>
        </manualLayout>
      </layout>
      <barChart>
        <barDir val="col"/>
        <grouping val="clustered"/>
        <varyColors val="0"/>
        <ser>
          <idx val="0"/>
          <order val="0"/>
          <spPr>
            <a:solidFill xmlns:a="http://schemas.openxmlformats.org/drawingml/2006/main">
              <a:srgbClr val="00CCFF"/>
            </a:solidFill>
            <a:ln xmlns:a="http://schemas.openxmlformats.org/drawingml/2006/main" w="12700">
              <a:solidFill>
                <a:srgbClr val="000000"/>
              </a:solidFill>
              <a:prstDash val="solid"/>
            </a:ln>
          </spPr>
          <invertIfNegative val="0"/>
          <dLbls>
            <dLbl>
              <idx val="0"/>
            </dLbl>
            <dLbl>
              <idx val="12"/>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showLegendKey val="0"/>
            <showVal val="1"/>
            <showCatName val="0"/>
            <showSerName val="0"/>
            <showPercent val="0"/>
            <showBubbleSize val="0"/>
            <showLeaderLines val="0"/>
          </dLbls>
          <val>
            <numRef>
              <f>'RD-PR-006-003 '!$L$57:$L$69</f>
              <numCache>
                <formatCode>General</formatCode>
                <ptCount val="12"/>
                <pt idx="0">
                  <v>0</v>
                </pt>
                <pt idx="1">
                  <v>0</v>
                </pt>
                <pt idx="2">
                  <v>0</v>
                </pt>
                <pt idx="3">
                  <v>0</v>
                </pt>
                <pt idx="4">
                  <v>0</v>
                </pt>
                <pt idx="5">
                  <v>0</v>
                </pt>
                <pt idx="6">
                  <v>0</v>
                </pt>
                <pt idx="7">
                  <v>0</v>
                </pt>
                <pt idx="8">
                  <v>0</v>
                </pt>
                <pt idx="9">
                  <v>0</v>
                </pt>
                <pt idx="10">
                  <v>0</v>
                </pt>
                <pt idx="11">
                  <v>0</v>
                </pt>
              </numCache>
            </numRef>
          </val>
        </ser>
        <dLbls>
          <showLegendKey val="0"/>
          <showVal val="0"/>
          <showCatName val="0"/>
          <showSerName val="0"/>
          <showPercent val="0"/>
          <showBubbleSize val="0"/>
        </dLbls>
        <gapWidth val="0"/>
        <axId val="107363712"/>
        <axId val="107373696"/>
      </barChart>
      <catAx>
        <axId val="107363712"/>
        <scaling>
          <orientation val="minMax"/>
        </scaling>
        <delete val="0"/>
        <axPos val="b"/>
        <numFmt formatCode="General" sourceLinked="1"/>
        <majorTickMark val="in"/>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新細明體"/>
                <a:ea typeface="新細明體"/>
                <a:cs typeface="新細明體"/>
              </a:defRPr>
            </a:pPr>
            <a:r>
              <a:t>None</a:t>
            </a:r>
            <a:endParaRPr lang="en-US"/>
          </a:p>
        </txPr>
        <crossAx val="107373696"/>
        <crosses val="autoZero"/>
        <auto val="1"/>
        <lblAlgn val="ctr"/>
        <lblOffset val="100"/>
        <tickLblSkip val="1"/>
        <tickMarkSkip val="1"/>
        <noMultiLvlLbl val="0"/>
      </catAx>
      <valAx>
        <axId val="107373696"/>
        <scaling>
          <orientation val="minMax"/>
          <max val="20"/>
        </scaling>
        <delete val="0"/>
        <axPos val="l"/>
        <majorGridlines>
          <spPr>
            <a:ln xmlns:a="http://schemas.openxmlformats.org/drawingml/2006/main" w="3175">
              <a:solidFill>
                <a:srgbClr val="000000"/>
              </a:solidFill>
              <a:prstDash val="solid"/>
            </a:ln>
          </spPr>
        </majorGridlines>
        <numFmt formatCode="General" sourceLinked="1"/>
        <majorTickMark val="in"/>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200" b="0" i="0" strike="noStrike" baseline="0">
                <a:solidFill>
                  <a:srgbClr val="000000"/>
                </a:solidFill>
                <a:latin typeface="新細明體"/>
                <a:ea typeface="新細明體"/>
                <a:cs typeface="新細明體"/>
              </a:defRPr>
            </a:pPr>
            <a:r>
              <a:t>None</a:t>
            </a:r>
            <a:endParaRPr lang="en-US"/>
          </a:p>
        </txPr>
        <crossAx val="107363712"/>
        <crosses val="autoZero"/>
        <crossBetween val="between"/>
        <majorUnit val="4"/>
      </valAx>
    </plotArea>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jpeg" Id="rId2"/></Relationships>
</file>

<file path=xl/drawings/_rels/drawing3.xml.rels><Relationships xmlns="http://schemas.openxmlformats.org/package/2006/relationships"><Relationship Type="http://schemas.openxmlformats.org/officeDocument/2006/relationships/image" Target="/xl/media/image6.jpeg" Id="rId1"/></Relationships>
</file>

<file path=xl/drawings/_rels/drawing4.xml.rels><Relationships xmlns="http://schemas.openxmlformats.org/package/2006/relationships"><Relationship Type="http://schemas.openxmlformats.org/officeDocument/2006/relationships/image" Target="/xl/media/image7.jpeg" Id="rId1"/></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image" Target="/xl/media/image10.jpeg" Id="rId5"/></Relationships>
</file>

<file path=xl/drawings/drawing1.xml><?xml version="1.0" encoding="utf-8"?>
<wsDr xmlns="http://schemas.openxmlformats.org/drawingml/2006/spreadsheetDrawing">
  <twoCellAnchor>
    <from>
      <col>0</col>
      <colOff>587374</colOff>
      <row>1</row>
      <rowOff>244475</rowOff>
    </from>
    <to>
      <col>2</col>
      <colOff>444499</colOff>
      <row>4</row>
      <rowOff>132815</rowOff>
    </to>
    <pic>
      <nvPicPr>
        <cNvPr id="15"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87374" y="419100"/>
          <a:ext cx="1381125" cy="71384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7</col>
      <colOff>189258</colOff>
      <row>22</row>
      <rowOff>74542</rowOff>
    </from>
    <to>
      <col>8</col>
      <colOff>589308</colOff>
      <row>23</row>
      <rowOff>231912</rowOff>
    </to>
    <pic>
      <nvPicPr>
        <cNvPr id="16"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5523258" y="4422912"/>
          <a:ext cx="1162050" cy="55493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3</col>
      <colOff>287821</colOff>
      <row>22</row>
      <rowOff>33129</rowOff>
    </from>
    <to>
      <col>4</col>
      <colOff>421171</colOff>
      <row>23</row>
      <rowOff>173935</rowOff>
    </to>
    <pic>
      <nvPicPr>
        <cNvPr id="17" name="Picture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2573821" y="4381499"/>
          <a:ext cx="895350" cy="538371"/>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1</col>
      <colOff>112059</colOff>
      <row>13</row>
      <rowOff>41967</rowOff>
    </from>
    <to>
      <col>8</col>
      <colOff>571500</colOff>
      <row>26</row>
      <rowOff>118223</rowOff>
    </to>
    <pic>
      <nvPicPr>
        <cNvPr id="21" name="Picture 20"/>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20500" t="13154" r="21366" b="13270"/>
        <a:stretch xmlns:a="http://schemas.openxmlformats.org/drawingml/2006/main">
          <a:fillRect/>
        </a:stretch>
      </blipFill>
      <spPr>
        <a:xfrm xmlns:a="http://schemas.openxmlformats.org/drawingml/2006/main">
          <a:off x="179294" y="4322614"/>
          <a:ext cx="5053853" cy="3034609"/>
        </a:xfrm>
        <a:prstGeom xmlns:a="http://schemas.openxmlformats.org/drawingml/2006/main" prst="rect">
          <avLst/>
        </a:prstGeom>
        <a:ln xmlns:a="http://schemas.openxmlformats.org/drawingml/2006/main">
          <a:prstDash val="solid"/>
        </a:ln>
      </spPr>
    </pic>
    <clientData/>
  </twoCellAnchor>
  <twoCellAnchor>
    <from>
      <col>1</col>
      <colOff>454398</colOff>
      <row>0</row>
      <rowOff>146236</rowOff>
    </from>
    <to>
      <col>3</col>
      <colOff>274896</colOff>
      <row>1</row>
      <rowOff>291353</rowOff>
    </to>
    <pic>
      <nvPicPr>
        <cNvPr id="35"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521633" y="146236"/>
          <a:ext cx="1266057" cy="66058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621926</colOff>
      <row>0</row>
      <rowOff>115420</rowOff>
    </from>
    <to>
      <col>3</col>
      <colOff>201706</colOff>
      <row>1</row>
      <rowOff>298098</rowOff>
    </to>
    <pic>
      <nvPicPr>
        <cNvPr id="42"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21926" y="115420"/>
          <a:ext cx="1215839" cy="6309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2</col>
      <colOff>117663</colOff>
      <row>0</row>
      <rowOff>141754</rowOff>
    </from>
    <to>
      <col>12</col>
      <colOff>5481</colOff>
      <row>1</row>
      <rowOff>257734</rowOff>
    </to>
    <pic>
      <nvPicPr>
        <cNvPr id="4"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192" y="141754"/>
          <a:ext cx="1120465" cy="586627"/>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1</col>
      <colOff>15875</colOff>
      <row>0</row>
      <rowOff>155574</rowOff>
    </from>
    <to>
      <col>3</col>
      <colOff>327784</colOff>
      <row>1</row>
      <rowOff>333374</rowOff>
    </to>
    <pic>
      <nvPicPr>
        <cNvPr id="3"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92125" y="155574"/>
          <a:ext cx="1296159" cy="669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editAs="oneCell">
    <from>
      <col>1</col>
      <colOff>0</colOff>
      <row>0</row>
      <rowOff>47625</rowOff>
    </from>
    <to>
      <col>3</col>
      <colOff>571500</colOff>
      <row>0</row>
      <rowOff>638175</rowOff>
    </to>
    <pic>
      <nvPicPr>
        <cNvPr id="2"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14300" y="47625"/>
          <a:ext cx="1819275" cy="5905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from>
      <col>12</col>
      <colOff>323850</colOff>
      <row>48</row>
      <rowOff>0</rowOff>
    </from>
    <to>
      <col>21</col>
      <colOff>0</colOff>
      <row>48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12</col>
      <colOff>428625</colOff>
      <row>17</row>
      <rowOff>133350</rowOff>
    </from>
    <to>
      <col>28</col>
      <colOff>123825</colOff>
      <row>29</row>
      <rowOff>85725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12</col>
      <colOff>419100</colOff>
      <row>30</row>
      <rowOff>228600</rowOff>
    </from>
    <to>
      <col>28</col>
      <colOff>161925</colOff>
      <row>42</row>
      <rowOff>47625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12</col>
      <colOff>409575</colOff>
      <row>44</row>
      <rowOff>104775</rowOff>
    </from>
    <to>
      <col>28</col>
      <colOff>123825</colOff>
      <row>59</row>
      <rowOff>104775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874568</colOff>
      <row>0</row>
      <rowOff>297006</rowOff>
    </from>
    <to>
      <col>2</col>
      <colOff>782907</colOff>
      <row>1</row>
      <rowOff>554181</rowOff>
    </to>
    <pic>
      <nvPicPr>
        <cNvPr id="11"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874568" y="297006"/>
          <a:ext cx="1640157" cy="84599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A:\JUNG\W-CAR\96YEAR\W-100.XLS" TargetMode="External" Id="rId1"/></Relationships>
</file>

<file path=xl/externalLinks/_rels/externalLink2.xml.rels><Relationships xmlns="http://schemas.openxmlformats.org/package/2006/relationships"><Relationship Type="http://schemas.openxmlformats.org/officeDocument/2006/relationships/externalLinkPath" Target="file:///A:\DHP\HPMLGJN.XLS" TargetMode="External" Id="rId1"/></Relationships>
</file>

<file path=xl/externalLinks/_rels/externalLink3.xml.rels><Relationships xmlns="http://schemas.openxmlformats.org/package/2006/relationships"><Relationship Type="http://schemas.openxmlformats.org/officeDocument/2006/relationships/externalLinkPath" Target="file:///\\8986843\c\KANG\CDOWN\97&#44228;&#54925;\&#44228;&#54925;&#54801;&#51204;.XLS" TargetMode="External" Id="rId1"/></Relationships>
</file>

<file path=xl/externalLinks/_rels/externalLink4.xml.rels><Relationships xmlns="http://schemas.openxmlformats.org/package/2006/relationships"><Relationship Type="http://schemas.openxmlformats.org/officeDocument/2006/relationships/externalLinkPath" Target="file:///A:\KSB\ACTION\PJH\HP-1\&#50896;&#44032;\NIX\&#50896;&#45800;&#50948;.xls" TargetMode="External" Id="rId1"/></Relationships>
</file>

<file path=xl/externalLinks/_rels/externalLink5.xml.rels><Relationships xmlns="http://schemas.openxmlformats.org/package/2006/relationships"><Relationship Type="http://schemas.openxmlformats.org/officeDocument/2006/relationships/externalLinkPath" Target="file:///\\8986843\c\LINE\96&#45380;&#49324;&#50629;.XLS" TargetMode="External" Id="rId1"/></Relationships>
</file>

<file path=xl/externalLinks/_rels/externalLink6.xml.rels><Relationships xmlns="http://schemas.openxmlformats.org/package/2006/relationships"><Relationship Type="http://schemas.openxmlformats.org/officeDocument/2006/relationships/externalLinkPath" Target="file:///\\SOCE105\&#44608;&#48372;&#49885;\HDPIC\DOCUMENT\1RYK\&#50696;&#49328;\PJH\HP-1\&#50896;&#44032;\&#53804;&#51088;&#48516;&#48176;.XLS" TargetMode="External" Id="rId1"/></Relationships>
</file>

<file path=xl/externalLinks/_rels/externalLink7.xml.rels><Relationships xmlns="http://schemas.openxmlformats.org/package/2006/relationships"><Relationship Type="http://schemas.openxmlformats.org/officeDocument/2006/relationships/externalLinkPath" Target="file:///\\&#51204;&#48337;&#52384;\10.%20T200%20&#44288;\&#44288;&#47532;\PROJECT&#50896;&#44032;&#44288;&#47532;\PROJECT&#48324;%20&#50896;&#44032;&#44288;&#47532;\V220\COSTBOM\2000&#45380;12&#50900;\Book2.xls" TargetMode="External" Id="rId1"/></Relationships>
</file>

<file path=xl/externalLinks/_rels/externalLink8.xml.rels><Relationships xmlns="http://schemas.openxmlformats.org/package/2006/relationships"><Relationship Type="http://schemas.openxmlformats.org/officeDocument/2006/relationships/externalLinkPath" Target="file:///\\Soce105\kbs\kbs\&#54924;&#51109;&#45784;&#48372;&#44256;(1124)\PJH\HP-1\&#50896;&#44032;\&#53804;&#51088;&#48516;&#48176;.XLS" TargetMode="External" Id="rId1"/></Relationships>
</file>

<file path=xl/externalLinks/_rels/externalLink9.xml.rels><Relationships xmlns="http://schemas.openxmlformats.org/package/2006/relationships"><Relationship Type="http://schemas.microsoft.com/office/2006/relationships/xlExternalLinkPath/xlPathMissing" Target="&#51649;&#44036;&#53685;&#48372;.XLS" TargetMode="External" Id="rId1"/></Relationships>
</file>

<file path=xl/externalLinks/_rels/externalLink10.xml.rels><Relationships xmlns="http://schemas.openxmlformats.org/package/2006/relationships"><Relationship Type="http://schemas.microsoft.com/office/2006/relationships/xlExternalLinkPath/xlStartup" Target="BOOK1.XLS" TargetMode="External" Id="rId1"/></Relationships>
</file>

<file path=xl/externalLinks/_rels/externalLink11.xml.rels><Relationships xmlns="http://schemas.openxmlformats.org/package/2006/relationships"><Relationship Type="http://schemas.openxmlformats.org/officeDocument/2006/relationships/externalLinkPath" Target="file:///\\Tdd4\D\KIM%20DONG-HEE\DONG2\EXCEL\&#49849;&#51064;&#50896;\1.GMT-800\KIM%20DONG-HEE\DONG2\EXCEL\&#49849;&#51064;&#50896;\DMCA-M200\-m200-telltale.xls" TargetMode="External" Id="rId1"/></Relationships>
</file>

<file path=xl/externalLinks/_rels/externalLink12.xml.rels><Relationships xmlns="http://schemas.openxmlformats.org/package/2006/relationships"><Relationship Type="http://schemas.openxmlformats.org/officeDocument/2006/relationships/externalLinkPath" Target="file:///A:\&#50577;&#49885;.XLS" TargetMode="External" Id="rId1"/></Relationships>
</file>

<file path=xl/externalLinks/_rels/externalLink13.xml.rels><Relationships xmlns="http://schemas.openxmlformats.org/package/2006/relationships"><Relationship Type="http://schemas.openxmlformats.org/officeDocument/2006/relationships/externalLinkPath" Target="file:///\\Jeh\d\PPAP\CPK.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작성양식"/>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인원계획"/>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구동"/>
    </sheetNames>
    <sheetDataSet>
      <sheetData sheetId="0"/>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PK(1)"/>
      <sheetName val="CPK(2)"/>
      <sheetName val="ss2 lcd cover"/>
      <sheetName val="ss3 lcd cover"/>
      <sheetName val="ss2 bottom"/>
    </sheetNames>
    <sheetDataSet>
      <sheetData sheetId="0"/>
      <sheetData sheetId="1"/>
      <sheetData sheetId="2" refreshError="1">
        <row r="55">
          <cell r="K55">
            <v>169.72080000000003</v>
          </cell>
        </row>
        <row r="56">
          <cell r="K56">
            <v>169.74790000000002</v>
          </cell>
        </row>
        <row r="57">
          <cell r="K57">
            <v>169.77500000000001</v>
          </cell>
        </row>
        <row r="58">
          <cell r="K58">
            <v>169.8021</v>
          </cell>
        </row>
        <row r="59">
          <cell r="K59">
            <v>169.82919999999999</v>
          </cell>
        </row>
        <row r="60">
          <cell r="K60">
            <v>169.85629999999998</v>
          </cell>
        </row>
        <row r="61">
          <cell r="K61">
            <v>169.88339999999997</v>
          </cell>
        </row>
        <row r="62">
          <cell r="K62">
            <v>169.91049999999996</v>
          </cell>
        </row>
        <row r="63">
          <cell r="K63">
            <v>169.93759999999995</v>
          </cell>
        </row>
        <row r="64">
          <cell r="K64">
            <v>169.96469999999994</v>
          </cell>
        </row>
        <row r="65">
          <cell r="K65">
            <v>169.99179999999993</v>
          </cell>
        </row>
        <row r="66">
          <cell r="K66">
            <v>170.01889999999992</v>
          </cell>
        </row>
        <row r="67">
          <cell r="K67">
            <v>170.04599999999991</v>
          </cell>
        </row>
        <row r="68">
          <cell r="K68">
            <v>170.0730999999999</v>
          </cell>
        </row>
      </sheetData>
      <sheetData sheetId="3" refreshError="1"/>
      <sheetData sheetId="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317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317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N240"/>
  <sheetViews>
    <sheetView view="pageBreakPreview" topLeftCell="A25" zoomScale="115" zoomScaleNormal="70" zoomScaleSheetLayoutView="115" zoomScalePageLayoutView="70" workbookViewId="0">
      <selection activeCell="K34" sqref="A2:N34"/>
    </sheetView>
  </sheetViews>
  <sheetFormatPr baseColWidth="8" defaultRowHeight="13.5"/>
  <cols>
    <col width="8.88671875" customWidth="1" min="8" max="8"/>
    <col width="8.88671875" customWidth="1" min="10" max="14"/>
  </cols>
  <sheetData>
    <row r="1" ht="14.25" customHeight="1" thickBot="1"/>
    <row r="2" ht="22.5" customHeight="1">
      <c r="A2" s="584" t="n"/>
      <c r="B2" s="614" t="n"/>
      <c r="C2" s="615" t="n"/>
      <c r="D2" s="586" t="inlineStr">
        <is>
          <t xml:space="preserve">M&amp;C ELECTRONICS VINA CO., LTD
</t>
        </is>
      </c>
      <c r="E2" s="614" t="n"/>
      <c r="F2" s="614" t="n"/>
      <c r="G2" s="614" t="n"/>
      <c r="H2" s="614" t="n"/>
      <c r="I2" s="614" t="n"/>
      <c r="J2" s="615" t="n"/>
      <c r="K2" s="616" t="inlineStr">
        <is>
          <t>문서 코드 (Doc code)</t>
        </is>
      </c>
      <c r="L2" s="617" t="n"/>
      <c r="M2" s="618" t="inlineStr">
        <is>
          <t>R&amp;D.02.02.06</t>
        </is>
      </c>
      <c r="N2" s="619" t="n"/>
    </row>
    <row r="3" ht="24.75" customHeight="1">
      <c r="A3" s="620" t="n"/>
      <c r="C3" s="621" t="n"/>
      <c r="D3" s="622" t="n"/>
      <c r="J3" s="621" t="n"/>
      <c r="K3" s="623" t="inlineStr">
        <is>
          <t>발행일 (Issue date)</t>
        </is>
      </c>
      <c r="L3" s="624" t="n"/>
      <c r="M3" s="625" t="n">
        <v>43678</v>
      </c>
      <c r="N3" s="626" t="n"/>
    </row>
    <row r="4" ht="17.25" customHeight="1">
      <c r="A4" s="620" t="n"/>
      <c r="C4" s="621" t="n"/>
      <c r="D4" s="622" t="n"/>
      <c r="J4" s="621" t="n"/>
      <c r="K4" s="623" t="inlineStr">
        <is>
          <t>내용 (Content)</t>
        </is>
      </c>
      <c r="L4" s="624" t="n"/>
      <c r="M4" s="627" t="inlineStr">
        <is>
          <t>Update</t>
        </is>
      </c>
      <c r="N4" s="626" t="n"/>
    </row>
    <row r="5" ht="30" customHeight="1">
      <c r="A5" s="628" t="n"/>
      <c r="B5" s="629" t="n"/>
      <c r="C5" s="630" t="n"/>
      <c r="D5" s="631" t="n"/>
      <c r="E5" s="629" t="n"/>
      <c r="F5" s="629" t="n"/>
      <c r="G5" s="629" t="n"/>
      <c r="H5" s="629" t="n"/>
      <c r="I5" s="629" t="n"/>
      <c r="J5" s="630" t="n"/>
      <c r="K5" s="623" t="inlineStr">
        <is>
          <t>발급코드(Rev No)</t>
        </is>
      </c>
      <c r="L5" s="624" t="n"/>
      <c r="M5" s="632" t="inlineStr">
        <is>
          <t>02</t>
        </is>
      </c>
      <c r="N5" s="626" t="n"/>
    </row>
    <row r="6">
      <c r="A6" s="595" t="inlineStr">
        <is>
          <t>절차 SẢN XUẤT THỬ NGHIỆM
(TRIAL PRODUCTION PROCEDURE)</t>
        </is>
      </c>
      <c r="B6" s="633" t="n"/>
      <c r="C6" s="633" t="n"/>
      <c r="D6" s="633" t="n"/>
      <c r="E6" s="633" t="n"/>
      <c r="F6" s="633" t="n"/>
      <c r="G6" s="633" t="n"/>
      <c r="H6" s="633" t="n"/>
      <c r="I6" s="633" t="n"/>
      <c r="J6" s="633" t="n"/>
      <c r="K6" s="633" t="n"/>
      <c r="L6" s="633" t="n"/>
      <c r="M6" s="633" t="n"/>
      <c r="N6" s="634" t="n"/>
    </row>
    <row r="7">
      <c r="A7" s="620" t="n"/>
      <c r="N7" s="621" t="n"/>
    </row>
    <row r="8">
      <c r="A8" s="620" t="n"/>
      <c r="N8" s="621" t="n"/>
    </row>
    <row r="9">
      <c r="A9" s="620" t="n"/>
      <c r="N9" s="621" t="n"/>
    </row>
    <row r="10">
      <c r="A10" s="620" t="n"/>
      <c r="N10" s="621" t="n"/>
    </row>
    <row r="11">
      <c r="A11" s="620" t="n"/>
      <c r="N11" s="621" t="n"/>
    </row>
    <row r="12">
      <c r="A12" s="620" t="n"/>
      <c r="N12" s="621" t="n"/>
    </row>
    <row r="13">
      <c r="A13" s="620" t="n"/>
      <c r="N13" s="621" t="n"/>
    </row>
    <row r="14">
      <c r="A14" s="620" t="n"/>
      <c r="N14" s="621" t="n"/>
    </row>
    <row r="15">
      <c r="A15" s="620" t="n"/>
      <c r="N15" s="621" t="n"/>
    </row>
    <row r="16">
      <c r="A16" s="620" t="n"/>
      <c r="N16" s="621" t="n"/>
    </row>
    <row r="17">
      <c r="A17" s="620" t="n"/>
      <c r="N17" s="621" t="n"/>
    </row>
    <row r="18">
      <c r="A18" s="620" t="n"/>
      <c r="N18" s="621" t="n"/>
    </row>
    <row r="19">
      <c r="A19" s="620" t="n"/>
      <c r="N19" s="621" t="n"/>
    </row>
    <row r="20">
      <c r="A20" s="620" t="n"/>
      <c r="N20" s="621" t="n"/>
    </row>
    <row r="21">
      <c r="A21" s="628" t="n"/>
      <c r="B21" s="629" t="n"/>
      <c r="C21" s="629" t="n"/>
      <c r="D21" s="629" t="n"/>
      <c r="E21" s="629" t="n"/>
      <c r="F21" s="629" t="n"/>
      <c r="G21" s="629" t="n"/>
      <c r="H21" s="629" t="n"/>
      <c r="I21" s="629" t="n"/>
      <c r="J21" s="629" t="n"/>
      <c r="K21" s="629" t="n"/>
      <c r="L21" s="629" t="n"/>
      <c r="M21" s="629" t="n"/>
      <c r="N21" s="630" t="n"/>
    </row>
    <row r="22" ht="14.25" customHeight="1">
      <c r="A22" s="600" t="n"/>
      <c r="D22" s="302" t="inlineStr">
        <is>
          <t>랩</t>
        </is>
      </c>
      <c r="E22" s="624" t="n"/>
      <c r="F22" s="302" t="inlineStr">
        <is>
          <t>검사</t>
        </is>
      </c>
      <c r="G22" s="624" t="n"/>
      <c r="H22" s="635" t="inlineStr">
        <is>
          <t>승인</t>
        </is>
      </c>
      <c r="I22" s="624" t="n"/>
      <c r="J22" s="601" t="n"/>
      <c r="N22" s="636" t="n"/>
    </row>
    <row r="23" ht="31.5" customHeight="1">
      <c r="A23" s="620" t="n"/>
      <c r="D23" s="637" t="inlineStr">
        <is>
          <t>응웬 카크 단</t>
        </is>
      </c>
      <c r="E23" s="634" t="n"/>
      <c r="F23" s="302" t="n"/>
      <c r="G23" s="634" t="n"/>
      <c r="H23" s="638" t="inlineStr">
        <is>
          <t xml:space="preserve">
Lee Choong Jae</t>
        </is>
      </c>
      <c r="I23" s="634" t="n"/>
      <c r="N23" s="636" t="n"/>
    </row>
    <row r="24" ht="31.5" customHeight="1">
      <c r="A24" s="620" t="n"/>
      <c r="D24" s="631" t="n"/>
      <c r="E24" s="630" t="n"/>
      <c r="F24" s="631" t="n"/>
      <c r="G24" s="630" t="n"/>
      <c r="H24" s="631" t="n"/>
      <c r="I24" s="630" t="n"/>
      <c r="N24" s="636" t="n"/>
    </row>
    <row r="25" ht="14.25" customHeight="1">
      <c r="A25" s="639" t="n"/>
      <c r="B25" s="629" t="n"/>
      <c r="C25" s="629" t="n"/>
      <c r="D25" s="629" t="n"/>
      <c r="E25" s="629" t="n"/>
      <c r="F25" s="629" t="n"/>
      <c r="G25" s="629" t="n"/>
      <c r="H25" s="629" t="n"/>
      <c r="I25" s="629" t="n"/>
      <c r="J25" s="629" t="n"/>
      <c r="K25" s="629" t="n"/>
      <c r="L25" s="629" t="n"/>
      <c r="M25" s="629" t="n"/>
      <c r="N25" s="640" t="n"/>
    </row>
    <row r="26">
      <c r="A26" s="604" t="inlineStr">
        <is>
          <t>개정 내역 목록</t>
        </is>
      </c>
      <c r="B26" s="633" t="n"/>
      <c r="C26" s="633" t="n"/>
      <c r="D26" s="633" t="n"/>
      <c r="E26" s="633" t="n"/>
      <c r="F26" s="633" t="n"/>
      <c r="G26" s="633" t="n"/>
      <c r="H26" s="633" t="n"/>
      <c r="I26" s="633" t="n"/>
      <c r="J26" s="633" t="n"/>
      <c r="K26" s="633" t="n"/>
      <c r="L26" s="633" t="n"/>
      <c r="M26" s="633" t="n"/>
      <c r="N26" s="634" t="n"/>
    </row>
    <row r="27">
      <c r="A27" s="628" t="n"/>
      <c r="B27" s="629" t="n"/>
      <c r="C27" s="629" t="n"/>
      <c r="D27" s="629" t="n"/>
      <c r="E27" s="629" t="n"/>
      <c r="F27" s="629" t="n"/>
      <c r="G27" s="629" t="n"/>
      <c r="H27" s="629" t="n"/>
      <c r="I27" s="629" t="n"/>
      <c r="J27" s="629" t="n"/>
      <c r="K27" s="629" t="n"/>
      <c r="L27" s="629" t="n"/>
      <c r="M27" s="629" t="n"/>
      <c r="N27" s="630" t="n"/>
    </row>
    <row r="28" ht="28.5" customHeight="1">
      <c r="A28" s="607" t="inlineStr">
        <is>
          <t>TT 번호
(아니요)</t>
        </is>
      </c>
      <c r="B28" s="295" t="inlineStr">
        <is>
          <t>개정 번호
(개정 번호)</t>
        </is>
      </c>
      <c r="C28" s="295" t="inlineStr">
        <is>
          <t>제목 수정
(개정항목)</t>
        </is>
      </c>
      <c r="D28" s="641" t="n"/>
      <c r="E28" s="295" t="inlineStr">
        <is>
          <t>개정 내용 (Revised contents)</t>
        </is>
      </c>
      <c r="F28" s="642" t="n"/>
      <c r="G28" s="642" t="n"/>
      <c r="H28" s="642" t="n"/>
      <c r="I28" s="642" t="n"/>
      <c r="J28" s="641" t="n"/>
      <c r="K28" s="296" t="inlineStr">
        <is>
          <t>개정일 (Revised date)</t>
        </is>
      </c>
      <c r="L28" s="642" t="n"/>
      <c r="M28" s="642" t="n"/>
      <c r="N28" s="641" t="n"/>
    </row>
    <row r="29" ht="14.25" customHeight="1">
      <c r="A29" s="609" t="n"/>
      <c r="B29" s="274" t="inlineStr">
        <is>
          <t>01</t>
        </is>
      </c>
      <c r="C29" s="292" t="n">
        <v>0</v>
      </c>
      <c r="D29" s="643" t="n"/>
      <c r="E29" s="292" t="inlineStr">
        <is>
          <t>Updated</t>
        </is>
      </c>
      <c r="F29" s="644" t="n"/>
      <c r="G29" s="644" t="n"/>
      <c r="H29" s="644" t="n"/>
      <c r="I29" s="644" t="n"/>
      <c r="J29" s="643" t="n"/>
      <c r="K29" s="292" t="inlineStr">
        <is>
          <t>15/1/2018</t>
        </is>
      </c>
      <c r="L29" s="644" t="n"/>
      <c r="M29" s="644" t="n"/>
      <c r="N29" s="643" t="n"/>
    </row>
    <row r="30" ht="14.25" customHeight="1">
      <c r="A30" s="609" t="n"/>
      <c r="B30" s="274" t="inlineStr">
        <is>
          <t>02</t>
        </is>
      </c>
      <c r="C30" s="292" t="n">
        <v>0</v>
      </c>
      <c r="D30" s="643" t="n"/>
      <c r="E30" s="292" t="inlineStr">
        <is>
          <t>Updated</t>
        </is>
      </c>
      <c r="F30" s="644" t="n"/>
      <c r="G30" s="644" t="n"/>
      <c r="H30" s="644" t="n"/>
      <c r="I30" s="644" t="n"/>
      <c r="J30" s="643" t="n"/>
      <c r="K30" s="293" t="n">
        <v>43678</v>
      </c>
      <c r="L30" s="644" t="n"/>
      <c r="M30" s="644" t="n"/>
      <c r="N30" s="643" t="n"/>
    </row>
    <row r="31" ht="14.25" customHeight="1">
      <c r="A31" s="609" t="n"/>
      <c r="B31" s="101" t="n"/>
      <c r="C31" s="292" t="n"/>
      <c r="D31" s="643" t="n"/>
      <c r="E31" s="292" t="n"/>
      <c r="F31" s="644" t="n"/>
      <c r="G31" s="644" t="n"/>
      <c r="H31" s="644" t="n"/>
      <c r="I31" s="644" t="n"/>
      <c r="J31" s="643" t="n"/>
      <c r="K31" s="292" t="n"/>
      <c r="L31" s="644" t="n"/>
      <c r="M31" s="644" t="n"/>
      <c r="N31" s="643" t="n"/>
    </row>
    <row r="32" ht="14.25" customHeight="1">
      <c r="A32" s="609" t="n"/>
      <c r="B32" s="102" t="n"/>
      <c r="C32" s="292" t="n"/>
      <c r="D32" s="643" t="n"/>
      <c r="E32" s="292" t="n"/>
      <c r="F32" s="644" t="n"/>
      <c r="G32" s="644" t="n"/>
      <c r="H32" s="644" t="n"/>
      <c r="I32" s="644" t="n"/>
      <c r="J32" s="643" t="n"/>
      <c r="K32" s="292" t="n"/>
      <c r="L32" s="644" t="n"/>
      <c r="M32" s="644" t="n"/>
      <c r="N32" s="643" t="n"/>
    </row>
    <row r="33" ht="14.25" customHeight="1">
      <c r="A33" s="609" t="n"/>
      <c r="B33" s="101" t="n"/>
      <c r="C33" s="292" t="n"/>
      <c r="D33" s="643" t="n"/>
      <c r="E33" s="292" t="n"/>
      <c r="F33" s="644" t="n"/>
      <c r="G33" s="644" t="n"/>
      <c r="H33" s="644" t="n"/>
      <c r="I33" s="644" t="n"/>
      <c r="J33" s="643" t="n"/>
      <c r="K33" s="292" t="n"/>
      <c r="L33" s="644" t="n"/>
      <c r="M33" s="644" t="n"/>
      <c r="N33" s="643" t="n"/>
    </row>
    <row r="34" ht="15" customHeight="1" thickBot="1">
      <c r="A34" s="610" t="n"/>
      <c r="B34" s="611" t="n"/>
      <c r="C34" s="612" t="n"/>
      <c r="D34" s="645" t="n"/>
      <c r="E34" s="612" t="n"/>
      <c r="F34" s="646" t="n"/>
      <c r="G34" s="646" t="n"/>
      <c r="H34" s="646" t="n"/>
      <c r="I34" s="646" t="n"/>
      <c r="J34" s="645" t="n"/>
      <c r="K34" s="612" t="n"/>
      <c r="L34" s="646" t="n"/>
      <c r="M34" s="646" t="n"/>
      <c r="N34" s="645" t="n"/>
    </row>
    <row r="35" ht="14.25" customHeight="1">
      <c r="A35" s="103" t="n"/>
      <c r="B35" s="103" t="n"/>
      <c r="C35" s="103" t="n"/>
      <c r="D35" s="103" t="n"/>
      <c r="E35" s="103" t="n"/>
      <c r="F35" s="103" t="n"/>
      <c r="G35" s="103" t="n"/>
      <c r="H35" s="103" t="n"/>
      <c r="I35" s="103" t="n"/>
      <c r="J35" s="103" t="n"/>
      <c r="K35" s="103" t="n"/>
      <c r="L35" s="103" t="n"/>
      <c r="M35" s="103" t="n"/>
      <c r="N35" s="103" t="n"/>
    </row>
    <row r="36" ht="14.25" customHeight="1">
      <c r="A36" s="103" t="n"/>
      <c r="B36" s="103" t="n"/>
      <c r="C36" s="103" t="n"/>
      <c r="D36" s="103" t="n"/>
      <c r="E36" s="103" t="n"/>
      <c r="F36" s="103" t="n"/>
      <c r="G36" s="103" t="n"/>
      <c r="H36" s="103" t="n"/>
      <c r="I36" s="103" t="n"/>
      <c r="J36" s="103" t="n"/>
      <c r="K36" s="103" t="n"/>
      <c r="L36" s="103" t="n"/>
      <c r="M36" s="103" t="n"/>
      <c r="N36" s="103" t="n"/>
    </row>
    <row r="37" ht="14.25" customHeight="1">
      <c r="A37" s="103" t="n"/>
      <c r="B37" s="103" t="n"/>
      <c r="C37" s="103" t="n"/>
      <c r="D37" s="103" t="n"/>
      <c r="E37" s="103" t="n"/>
      <c r="F37" s="103" t="n"/>
      <c r="G37" s="103" t="n"/>
      <c r="H37" s="103" t="n"/>
      <c r="I37" s="103" t="n"/>
      <c r="J37" s="103" t="n"/>
      <c r="K37" s="103" t="n"/>
      <c r="L37" s="103" t="n"/>
      <c r="M37" s="103" t="n"/>
      <c r="N37" s="103" t="n"/>
    </row>
    <row r="38" ht="14.25" customHeight="1">
      <c r="A38" s="103" t="n"/>
      <c r="B38" s="103" t="n"/>
      <c r="C38" s="103" t="n"/>
      <c r="D38" s="103" t="n"/>
      <c r="E38" s="103" t="n"/>
      <c r="F38" s="103" t="n"/>
      <c r="G38" s="103" t="n"/>
      <c r="H38" s="103" t="n"/>
      <c r="I38" s="103" t="n"/>
      <c r="J38" s="103" t="n"/>
      <c r="K38" s="103" t="n"/>
      <c r="L38" s="103" t="n"/>
      <c r="M38" s="103" t="n"/>
      <c r="N38" s="103" t="n"/>
    </row>
    <row r="39" ht="14.25" customHeight="1">
      <c r="A39" s="103" t="n"/>
      <c r="B39" s="103" t="n"/>
      <c r="C39" s="103" t="n"/>
      <c r="D39" s="103" t="n"/>
      <c r="E39" s="103" t="n"/>
      <c r="F39" s="103" t="n"/>
      <c r="G39" s="103" t="n"/>
      <c r="H39" s="103" t="n"/>
      <c r="I39" s="103" t="n"/>
      <c r="J39" s="103" t="n"/>
      <c r="K39" s="103" t="n"/>
      <c r="L39" s="103" t="n"/>
      <c r="M39" s="103" t="n"/>
      <c r="N39" s="103" t="n"/>
    </row>
    <row r="40" ht="14.25" customHeight="1">
      <c r="A40" s="103" t="n"/>
      <c r="B40" s="103" t="n"/>
      <c r="C40" s="103" t="n"/>
      <c r="D40" s="103" t="n"/>
      <c r="E40" s="103" t="n"/>
      <c r="F40" s="103" t="n"/>
      <c r="G40" s="103" t="n"/>
      <c r="H40" s="103" t="n"/>
      <c r="I40" s="103" t="n"/>
      <c r="J40" s="103" t="n"/>
      <c r="K40" s="103" t="n"/>
      <c r="L40" s="103" t="n"/>
      <c r="M40" s="103" t="n"/>
      <c r="N40" s="103" t="n"/>
    </row>
    <row r="41" ht="14.25" customHeight="1">
      <c r="A41" s="103" t="n"/>
      <c r="B41" s="103" t="n"/>
      <c r="C41" s="103" t="n"/>
      <c r="D41" s="103" t="n"/>
      <c r="E41" s="103" t="n"/>
      <c r="F41" s="103" t="n"/>
      <c r="G41" s="103" t="n"/>
      <c r="H41" s="103" t="n"/>
      <c r="I41" s="103" t="n"/>
      <c r="J41" s="103" t="n"/>
      <c r="K41" s="103" t="n"/>
      <c r="L41" s="103" t="n"/>
      <c r="M41" s="103" t="n"/>
      <c r="N41" s="103" t="n"/>
    </row>
    <row r="42" ht="14.25" customHeight="1">
      <c r="A42" s="103" t="n"/>
      <c r="B42" s="103" t="n"/>
      <c r="C42" s="103" t="n"/>
      <c r="D42" s="103" t="n"/>
      <c r="E42" s="103" t="n"/>
      <c r="F42" s="103" t="n"/>
      <c r="G42" s="103" t="n"/>
      <c r="H42" s="103" t="n"/>
      <c r="I42" s="103" t="n"/>
      <c r="J42" s="103" t="n"/>
      <c r="K42" s="103" t="n"/>
      <c r="L42" s="103" t="n"/>
      <c r="M42" s="103" t="n"/>
      <c r="N42" s="103" t="n"/>
    </row>
    <row r="43" ht="14.25" customHeight="1">
      <c r="A43" s="103" t="n"/>
      <c r="B43" s="103" t="n"/>
      <c r="C43" s="103" t="n"/>
      <c r="D43" s="103" t="n"/>
      <c r="E43" s="103" t="n"/>
      <c r="F43" s="103" t="n"/>
      <c r="G43" s="103" t="n"/>
      <c r="H43" s="103" t="n"/>
      <c r="I43" s="103" t="n"/>
      <c r="J43" s="103" t="n"/>
      <c r="K43" s="103" t="n"/>
      <c r="L43" s="103" t="n"/>
      <c r="M43" s="103" t="n"/>
      <c r="N43" s="103" t="n"/>
    </row>
    <row r="44" ht="14.25" customHeight="1">
      <c r="A44" s="103" t="n"/>
      <c r="B44" s="103" t="n"/>
      <c r="C44" s="103" t="n"/>
      <c r="D44" s="103" t="n"/>
      <c r="E44" s="103" t="n"/>
      <c r="F44" s="103" t="n"/>
      <c r="G44" s="103" t="n"/>
      <c r="H44" s="103" t="n"/>
      <c r="I44" s="103" t="n"/>
      <c r="J44" s="103" t="n"/>
      <c r="K44" s="103" t="n"/>
      <c r="L44" s="103" t="n"/>
      <c r="M44" s="103" t="n"/>
      <c r="N44" s="103" t="n"/>
    </row>
    <row r="45" ht="14.25" customHeight="1">
      <c r="A45" s="103" t="n"/>
      <c r="B45" s="103" t="n"/>
      <c r="C45" s="103" t="n"/>
      <c r="D45" s="103" t="n"/>
      <c r="E45" s="103" t="n"/>
      <c r="F45" s="103" t="n"/>
      <c r="G45" s="103" t="n"/>
      <c r="H45" s="103" t="n"/>
      <c r="I45" s="103" t="n"/>
      <c r="J45" s="103" t="n"/>
      <c r="K45" s="103" t="n"/>
      <c r="L45" s="103" t="n"/>
      <c r="M45" s="103" t="n"/>
      <c r="N45" s="103" t="n"/>
    </row>
    <row r="46" ht="14.25" customHeight="1">
      <c r="A46" s="103" t="n"/>
      <c r="B46" s="103" t="n"/>
      <c r="C46" s="103" t="n"/>
      <c r="D46" s="103" t="n"/>
      <c r="E46" s="103" t="n"/>
      <c r="F46" s="103" t="n"/>
      <c r="G46" s="103" t="n"/>
      <c r="H46" s="103" t="n"/>
      <c r="I46" s="103" t="n"/>
      <c r="J46" s="103" t="n"/>
      <c r="K46" s="103" t="n"/>
      <c r="L46" s="103" t="n"/>
      <c r="M46" s="103" t="n"/>
      <c r="N46" s="103" t="n"/>
    </row>
    <row r="47" ht="14.25" customHeight="1">
      <c r="A47" s="103" t="n"/>
      <c r="B47" s="103" t="n"/>
      <c r="C47" s="103" t="n"/>
      <c r="D47" s="103" t="n"/>
      <c r="E47" s="103" t="n"/>
      <c r="F47" s="103" t="n"/>
      <c r="G47" s="103" t="n"/>
      <c r="H47" s="103" t="n"/>
      <c r="I47" s="103" t="n"/>
      <c r="J47" s="103" t="n"/>
      <c r="K47" s="103" t="n"/>
      <c r="L47" s="103" t="n"/>
      <c r="M47" s="103" t="n"/>
      <c r="N47" s="103" t="n"/>
    </row>
    <row r="48" ht="14.25" customHeight="1">
      <c r="A48" s="103" t="n"/>
      <c r="B48" s="103" t="n"/>
      <c r="C48" s="103" t="n"/>
      <c r="D48" s="103" t="n"/>
      <c r="E48" s="103" t="n"/>
      <c r="F48" s="103" t="n"/>
      <c r="G48" s="103" t="n"/>
      <c r="H48" s="103" t="n"/>
      <c r="I48" s="103" t="n"/>
      <c r="J48" s="103" t="n"/>
      <c r="K48" s="103" t="n"/>
      <c r="L48" s="103" t="n"/>
      <c r="M48" s="103" t="n"/>
      <c r="N48" s="103" t="n"/>
    </row>
    <row r="49" ht="14.25" customHeight="1">
      <c r="A49" s="103" t="n"/>
      <c r="B49" s="103" t="n"/>
      <c r="C49" s="103" t="n"/>
      <c r="D49" s="103" t="n"/>
      <c r="E49" s="103" t="n"/>
      <c r="F49" s="103" t="n"/>
      <c r="G49" s="103" t="n"/>
      <c r="H49" s="103" t="n"/>
      <c r="I49" s="103" t="n"/>
      <c r="J49" s="103" t="n"/>
      <c r="K49" s="103" t="n"/>
      <c r="L49" s="103" t="n"/>
      <c r="M49" s="103" t="n"/>
      <c r="N49" s="103" t="n"/>
    </row>
    <row r="50" ht="14.25" customHeight="1">
      <c r="A50" s="103" t="n"/>
      <c r="B50" s="103" t="n"/>
      <c r="C50" s="103" t="n"/>
      <c r="D50" s="103" t="n"/>
      <c r="E50" s="103" t="n"/>
      <c r="F50" s="103" t="n"/>
      <c r="G50" s="103" t="n"/>
      <c r="H50" s="103" t="n"/>
      <c r="I50" s="103" t="n"/>
      <c r="J50" s="103" t="n"/>
      <c r="K50" s="103" t="n"/>
      <c r="L50" s="103" t="n"/>
      <c r="M50" s="103" t="n"/>
      <c r="N50" s="103" t="n"/>
    </row>
    <row r="51" ht="14.25" customHeight="1">
      <c r="A51" s="103" t="n"/>
      <c r="B51" s="103" t="n"/>
      <c r="C51" s="103" t="n"/>
      <c r="D51" s="103" t="n"/>
      <c r="E51" s="103" t="n"/>
      <c r="F51" s="103" t="n"/>
      <c r="G51" s="103" t="n"/>
      <c r="H51" s="103" t="n"/>
      <c r="I51" s="103" t="n"/>
      <c r="J51" s="103" t="n"/>
      <c r="K51" s="103" t="n"/>
      <c r="L51" s="103" t="n"/>
      <c r="M51" s="103" t="n"/>
      <c r="N51" s="103" t="n"/>
    </row>
    <row r="52" ht="14.25" customHeight="1">
      <c r="A52" s="103" t="n"/>
      <c r="B52" s="103" t="n"/>
      <c r="C52" s="103" t="n"/>
      <c r="D52" s="103" t="n"/>
      <c r="E52" s="103" t="n"/>
      <c r="F52" s="103" t="n"/>
      <c r="G52" s="103" t="n"/>
      <c r="H52" s="103" t="n"/>
      <c r="I52" s="103" t="n"/>
      <c r="J52" s="103" t="n"/>
      <c r="K52" s="103" t="n"/>
      <c r="L52" s="103" t="n"/>
      <c r="M52" s="103" t="n"/>
      <c r="N52" s="103" t="n"/>
    </row>
    <row r="53" ht="14.25" customHeight="1">
      <c r="A53" s="103" t="n"/>
      <c r="B53" s="103" t="n"/>
      <c r="C53" s="103" t="n"/>
      <c r="D53" s="103" t="n"/>
      <c r="E53" s="103" t="n"/>
      <c r="F53" s="103" t="n"/>
      <c r="G53" s="103" t="n"/>
      <c r="H53" s="103" t="n"/>
      <c r="I53" s="103" t="n"/>
      <c r="J53" s="103" t="n"/>
      <c r="K53" s="103" t="n"/>
      <c r="L53" s="103" t="n"/>
      <c r="M53" s="103" t="n"/>
      <c r="N53" s="103" t="n"/>
    </row>
    <row r="54" ht="14.25" customHeight="1">
      <c r="A54" s="103" t="n"/>
      <c r="B54" s="103" t="n"/>
      <c r="C54" s="103" t="n"/>
      <c r="D54" s="103" t="n"/>
      <c r="E54" s="103" t="n"/>
      <c r="F54" s="103" t="n"/>
      <c r="G54" s="103" t="n"/>
      <c r="H54" s="103" t="n"/>
      <c r="I54" s="103" t="n"/>
      <c r="J54" s="103" t="n"/>
      <c r="K54" s="103" t="n"/>
      <c r="L54" s="103" t="n"/>
      <c r="M54" s="103" t="n"/>
      <c r="N54" s="103" t="n"/>
    </row>
    <row r="55" ht="14.25" customHeight="1">
      <c r="A55" s="103" t="n"/>
      <c r="B55" s="103" t="n"/>
      <c r="C55" s="103" t="n"/>
      <c r="D55" s="103" t="n"/>
      <c r="E55" s="103" t="n"/>
      <c r="F55" s="103" t="n"/>
      <c r="G55" s="103" t="n"/>
      <c r="H55" s="103" t="n"/>
      <c r="I55" s="103" t="n"/>
      <c r="J55" s="103" t="n"/>
      <c r="K55" s="103" t="n"/>
      <c r="L55" s="103" t="n"/>
      <c r="M55" s="103" t="n"/>
      <c r="N55" s="103" t="n"/>
    </row>
    <row r="56" ht="14.25" customHeight="1">
      <c r="A56" s="103" t="n"/>
      <c r="B56" s="103" t="n"/>
      <c r="C56" s="103" t="n"/>
      <c r="D56" s="103" t="n"/>
      <c r="E56" s="103" t="n"/>
      <c r="F56" s="103" t="n"/>
      <c r="G56" s="103" t="n"/>
      <c r="H56" s="103" t="n"/>
      <c r="I56" s="103" t="n"/>
      <c r="J56" s="103" t="n"/>
      <c r="K56" s="103" t="n"/>
      <c r="L56" s="103" t="n"/>
      <c r="M56" s="103" t="n"/>
      <c r="N56" s="103" t="n"/>
    </row>
    <row r="57" ht="14.25" customHeight="1">
      <c r="A57" s="103" t="n"/>
      <c r="B57" s="103" t="n"/>
      <c r="C57" s="103" t="n"/>
      <c r="D57" s="103" t="n"/>
      <c r="E57" s="103" t="n"/>
      <c r="F57" s="103" t="n"/>
      <c r="G57" s="103" t="n"/>
      <c r="H57" s="103" t="n"/>
      <c r="I57" s="103" t="n"/>
      <c r="J57" s="103" t="n"/>
      <c r="K57" s="103" t="n"/>
      <c r="L57" s="103" t="n"/>
      <c r="M57" s="103" t="n"/>
      <c r="N57" s="103" t="n"/>
    </row>
    <row r="58" ht="14.25" customHeight="1">
      <c r="A58" s="103" t="n"/>
      <c r="B58" s="103" t="n"/>
      <c r="C58" s="103" t="n"/>
      <c r="D58" s="103" t="n"/>
      <c r="E58" s="103" t="n"/>
      <c r="F58" s="103" t="n"/>
      <c r="G58" s="103" t="n"/>
      <c r="H58" s="103" t="n"/>
      <c r="I58" s="103" t="n"/>
      <c r="J58" s="103" t="n"/>
      <c r="K58" s="103" t="n"/>
      <c r="L58" s="103" t="n"/>
      <c r="M58" s="103" t="n"/>
      <c r="N58" s="103" t="n"/>
    </row>
    <row r="59" ht="14.25" customHeight="1">
      <c r="A59" s="103" t="n"/>
      <c r="B59" s="103" t="n"/>
      <c r="C59" s="103" t="n"/>
      <c r="D59" s="103" t="n"/>
      <c r="E59" s="103" t="n"/>
      <c r="F59" s="103" t="n"/>
      <c r="G59" s="103" t="n"/>
      <c r="H59" s="103" t="n"/>
      <c r="I59" s="103" t="n"/>
      <c r="J59" s="103" t="n"/>
      <c r="K59" s="103" t="n"/>
      <c r="L59" s="103" t="n"/>
      <c r="M59" s="103" t="n"/>
      <c r="N59" s="103" t="n"/>
    </row>
    <row r="60" ht="14.25" customHeight="1">
      <c r="A60" s="103" t="n"/>
      <c r="B60" s="103" t="n"/>
      <c r="C60" s="103" t="n"/>
      <c r="D60" s="103" t="n"/>
      <c r="E60" s="103" t="n"/>
      <c r="F60" s="103" t="n"/>
      <c r="G60" s="103" t="n"/>
      <c r="H60" s="103" t="n"/>
      <c r="I60" s="103" t="n"/>
      <c r="J60" s="103" t="n"/>
      <c r="K60" s="103" t="n"/>
      <c r="L60" s="103" t="n"/>
      <c r="M60" s="103" t="n"/>
      <c r="N60" s="103" t="n"/>
    </row>
    <row r="61" ht="14.25" customHeight="1">
      <c r="A61" s="103" t="n"/>
      <c r="B61" s="103" t="n"/>
      <c r="C61" s="103" t="n"/>
      <c r="D61" s="103" t="n"/>
      <c r="E61" s="103" t="n"/>
      <c r="F61" s="103" t="n"/>
      <c r="G61" s="103" t="n"/>
      <c r="H61" s="103" t="n"/>
      <c r="I61" s="103" t="n"/>
      <c r="J61" s="103" t="n"/>
      <c r="K61" s="103" t="n"/>
      <c r="L61" s="103" t="n"/>
      <c r="M61" s="103" t="n"/>
      <c r="N61" s="103" t="n"/>
    </row>
    <row r="62" ht="14.25" customHeight="1">
      <c r="A62" s="103" t="n"/>
      <c r="B62" s="103" t="n"/>
      <c r="C62" s="103" t="n"/>
      <c r="D62" s="103" t="n"/>
      <c r="E62" s="103" t="n"/>
      <c r="F62" s="103" t="n"/>
      <c r="G62" s="103" t="n"/>
      <c r="H62" s="103" t="n"/>
      <c r="I62" s="103" t="n"/>
      <c r="J62" s="103" t="n"/>
      <c r="K62" s="103" t="n"/>
      <c r="L62" s="103" t="n"/>
      <c r="M62" s="103" t="n"/>
      <c r="N62" s="103" t="n"/>
    </row>
    <row r="63" ht="14.25" customHeight="1">
      <c r="A63" s="103" t="n"/>
      <c r="B63" s="103" t="n"/>
      <c r="C63" s="103" t="n"/>
      <c r="D63" s="103" t="n"/>
      <c r="E63" s="103" t="n"/>
      <c r="F63" s="103" t="n"/>
      <c r="G63" s="103" t="n"/>
      <c r="H63" s="103" t="n"/>
      <c r="I63" s="103" t="n"/>
      <c r="J63" s="103" t="n"/>
      <c r="K63" s="103" t="n"/>
      <c r="L63" s="103" t="n"/>
      <c r="M63" s="103" t="n"/>
      <c r="N63" s="103" t="n"/>
    </row>
    <row r="64" ht="14.25" customHeight="1">
      <c r="A64" s="103" t="n"/>
      <c r="B64" s="103" t="n"/>
      <c r="C64" s="103" t="n"/>
      <c r="D64" s="103" t="n"/>
      <c r="E64" s="103" t="n"/>
      <c r="F64" s="103" t="n"/>
      <c r="G64" s="103" t="n"/>
      <c r="H64" s="103" t="n"/>
      <c r="I64" s="103" t="n"/>
      <c r="J64" s="103" t="n"/>
      <c r="K64" s="103" t="n"/>
      <c r="L64" s="103" t="n"/>
      <c r="M64" s="103" t="n"/>
      <c r="N64" s="103" t="n"/>
    </row>
    <row r="65" ht="14.25" customHeight="1">
      <c r="A65" s="103" t="n"/>
      <c r="B65" s="103" t="n"/>
      <c r="C65" s="103" t="n"/>
      <c r="D65" s="103" t="n"/>
      <c r="E65" s="103" t="n"/>
      <c r="F65" s="103" t="n"/>
      <c r="G65" s="103" t="n"/>
      <c r="H65" s="103" t="n"/>
      <c r="I65" s="103" t="n"/>
      <c r="J65" s="103" t="n"/>
      <c r="K65" s="103" t="n"/>
      <c r="L65" s="103" t="n"/>
      <c r="M65" s="103" t="n"/>
      <c r="N65" s="103" t="n"/>
    </row>
    <row r="66" ht="14.25" customHeight="1">
      <c r="A66" s="103" t="n"/>
      <c r="B66" s="103" t="n"/>
      <c r="C66" s="103" t="n"/>
      <c r="D66" s="103" t="n"/>
      <c r="E66" s="103" t="n"/>
      <c r="F66" s="103" t="n"/>
      <c r="G66" s="103" t="n"/>
      <c r="H66" s="103" t="n"/>
      <c r="I66" s="103" t="n"/>
      <c r="J66" s="103" t="n"/>
      <c r="K66" s="103" t="n"/>
      <c r="L66" s="103" t="n"/>
      <c r="M66" s="103" t="n"/>
      <c r="N66" s="103" t="n"/>
    </row>
    <row r="67" ht="14.25" customHeight="1">
      <c r="A67" s="103" t="n"/>
      <c r="B67" s="103" t="n"/>
      <c r="C67" s="103" t="n"/>
      <c r="D67" s="103" t="n"/>
      <c r="E67" s="103" t="n"/>
      <c r="F67" s="103" t="n"/>
      <c r="G67" s="103" t="n"/>
      <c r="H67" s="103" t="n"/>
      <c r="I67" s="103" t="n"/>
      <c r="J67" s="103" t="n"/>
      <c r="K67" s="103" t="n"/>
      <c r="L67" s="103" t="n"/>
      <c r="M67" s="103" t="n"/>
      <c r="N67" s="103" t="n"/>
    </row>
    <row r="68" ht="14.25" customHeight="1">
      <c r="A68" s="103" t="n"/>
      <c r="B68" s="103" t="n"/>
      <c r="C68" s="103" t="n"/>
      <c r="D68" s="103" t="n"/>
      <c r="E68" s="103" t="n"/>
      <c r="F68" s="103" t="n"/>
      <c r="G68" s="103" t="n"/>
      <c r="H68" s="103" t="n"/>
      <c r="I68" s="103" t="n"/>
      <c r="J68" s="103" t="n"/>
      <c r="K68" s="103" t="n"/>
      <c r="L68" s="103" t="n"/>
      <c r="M68" s="103" t="n"/>
      <c r="N68" s="103" t="n"/>
    </row>
    <row r="69" ht="14.25" customHeight="1">
      <c r="A69" s="103" t="n"/>
      <c r="B69" s="103" t="n"/>
      <c r="C69" s="103" t="n"/>
      <c r="D69" s="103" t="n"/>
      <c r="E69" s="103" t="n"/>
      <c r="F69" s="103" t="n"/>
      <c r="G69" s="103" t="n"/>
      <c r="H69" s="103" t="n"/>
      <c r="I69" s="103" t="n"/>
      <c r="J69" s="103" t="n"/>
      <c r="K69" s="103" t="n"/>
      <c r="L69" s="103" t="n"/>
      <c r="M69" s="103" t="n"/>
      <c r="N69" s="103" t="n"/>
    </row>
    <row r="70" ht="14.25" customHeight="1">
      <c r="A70" s="103" t="n"/>
      <c r="B70" s="103" t="n"/>
      <c r="C70" s="103" t="n"/>
      <c r="D70" s="103" t="n"/>
      <c r="E70" s="103" t="n"/>
      <c r="F70" s="103" t="n"/>
      <c r="G70" s="103" t="n"/>
      <c r="H70" s="103" t="n"/>
      <c r="I70" s="103" t="n"/>
      <c r="J70" s="103" t="n"/>
      <c r="K70" s="103" t="n"/>
      <c r="L70" s="103" t="n"/>
      <c r="M70" s="103" t="n"/>
      <c r="N70" s="103" t="n"/>
    </row>
    <row r="71" ht="14.25" customHeight="1">
      <c r="A71" s="103" t="n"/>
      <c r="B71" s="103" t="n"/>
      <c r="C71" s="103" t="n"/>
      <c r="D71" s="103" t="n"/>
      <c r="E71" s="103" t="n"/>
      <c r="F71" s="103" t="n"/>
      <c r="G71" s="103" t="n"/>
      <c r="H71" s="103" t="n"/>
      <c r="I71" s="103" t="n"/>
      <c r="J71" s="103" t="n"/>
      <c r="K71" s="103" t="n"/>
      <c r="L71" s="103" t="n"/>
      <c r="M71" s="103" t="n"/>
      <c r="N71" s="103" t="n"/>
    </row>
    <row r="72" ht="14.25" customHeight="1">
      <c r="A72" s="103" t="n"/>
      <c r="B72" s="103" t="n"/>
      <c r="C72" s="103" t="n"/>
      <c r="D72" s="103" t="n"/>
      <c r="E72" s="103" t="n"/>
      <c r="F72" s="103" t="n"/>
      <c r="G72" s="103" t="n"/>
      <c r="H72" s="103" t="n"/>
      <c r="I72" s="103" t="n"/>
      <c r="J72" s="103" t="n"/>
      <c r="K72" s="103" t="n"/>
      <c r="L72" s="103" t="n"/>
      <c r="M72" s="103" t="n"/>
      <c r="N72" s="103" t="n"/>
    </row>
    <row r="73" ht="14.25" customHeight="1">
      <c r="A73" s="103" t="n"/>
      <c r="B73" s="103" t="n"/>
      <c r="C73" s="103" t="n"/>
      <c r="D73" s="103" t="n"/>
      <c r="E73" s="103" t="n"/>
      <c r="F73" s="103" t="n"/>
      <c r="G73" s="103" t="n"/>
      <c r="H73" s="103" t="n"/>
      <c r="I73" s="103" t="n"/>
      <c r="J73" s="103" t="n"/>
      <c r="K73" s="103" t="n"/>
      <c r="L73" s="103" t="n"/>
      <c r="M73" s="103" t="n"/>
      <c r="N73" s="103" t="n"/>
    </row>
    <row r="74" ht="14.25" customHeight="1">
      <c r="A74" s="103" t="n"/>
      <c r="B74" s="103" t="n"/>
      <c r="C74" s="103" t="n"/>
      <c r="D74" s="103" t="n"/>
      <c r="E74" s="103" t="n"/>
      <c r="F74" s="103" t="n"/>
      <c r="G74" s="103" t="n"/>
      <c r="H74" s="103" t="n"/>
      <c r="I74" s="103" t="n"/>
      <c r="J74" s="103" t="n"/>
      <c r="K74" s="103" t="n"/>
      <c r="L74" s="103" t="n"/>
      <c r="M74" s="103" t="n"/>
      <c r="N74" s="103" t="n"/>
    </row>
    <row r="75" ht="14.25" customHeight="1">
      <c r="A75" s="103" t="n"/>
      <c r="B75" s="103" t="n"/>
      <c r="C75" s="103" t="n"/>
      <c r="D75" s="103" t="n"/>
      <c r="E75" s="103" t="n"/>
      <c r="F75" s="103" t="n"/>
      <c r="G75" s="103" t="n"/>
      <c r="H75" s="103" t="n"/>
      <c r="I75" s="103" t="n"/>
      <c r="J75" s="103" t="n"/>
      <c r="K75" s="103" t="n"/>
      <c r="L75" s="103" t="n"/>
      <c r="M75" s="103" t="n"/>
      <c r="N75" s="103" t="n"/>
    </row>
    <row r="76" ht="14.25" customHeight="1">
      <c r="A76" s="103" t="n"/>
      <c r="B76" s="103" t="n"/>
      <c r="C76" s="103" t="n"/>
      <c r="D76" s="103" t="n"/>
      <c r="E76" s="103" t="n"/>
      <c r="F76" s="103" t="n"/>
      <c r="G76" s="103" t="n"/>
      <c r="H76" s="103" t="n"/>
      <c r="I76" s="103" t="n"/>
      <c r="J76" s="103" t="n"/>
      <c r="K76" s="103" t="n"/>
      <c r="L76" s="103" t="n"/>
      <c r="M76" s="103" t="n"/>
      <c r="N76" s="103" t="n"/>
    </row>
    <row r="77" ht="14.25" customHeight="1">
      <c r="A77" s="103" t="n"/>
      <c r="B77" s="103" t="n"/>
      <c r="C77" s="103" t="n"/>
      <c r="D77" s="103" t="n"/>
      <c r="E77" s="103" t="n"/>
      <c r="F77" s="103" t="n"/>
      <c r="G77" s="103" t="n"/>
      <c r="H77" s="103" t="n"/>
      <c r="I77" s="103" t="n"/>
      <c r="J77" s="103" t="n"/>
      <c r="K77" s="103" t="n"/>
      <c r="L77" s="103" t="n"/>
      <c r="M77" s="103" t="n"/>
      <c r="N77" s="103" t="n"/>
    </row>
    <row r="78" ht="14.25" customHeight="1">
      <c r="A78" s="103" t="n"/>
      <c r="B78" s="103" t="n"/>
      <c r="C78" s="103" t="n"/>
      <c r="D78" s="103" t="n"/>
      <c r="E78" s="103" t="n"/>
      <c r="F78" s="103" t="n"/>
      <c r="G78" s="103" t="n"/>
      <c r="H78" s="103" t="n"/>
      <c r="I78" s="103" t="n"/>
      <c r="J78" s="103" t="n"/>
      <c r="K78" s="103" t="n"/>
      <c r="L78" s="103" t="n"/>
      <c r="M78" s="103" t="n"/>
      <c r="N78" s="103" t="n"/>
    </row>
    <row r="79" ht="14.25" customHeight="1">
      <c r="A79" s="103" t="n"/>
      <c r="B79" s="103" t="n"/>
      <c r="C79" s="103" t="n"/>
      <c r="D79" s="103" t="n"/>
      <c r="E79" s="103" t="n"/>
      <c r="F79" s="103" t="n"/>
      <c r="G79" s="103" t="n"/>
      <c r="H79" s="103" t="n"/>
      <c r="I79" s="103" t="n"/>
      <c r="J79" s="103" t="n"/>
      <c r="K79" s="103" t="n"/>
      <c r="L79" s="103" t="n"/>
      <c r="M79" s="103" t="n"/>
      <c r="N79" s="103" t="n"/>
    </row>
    <row r="80" ht="14.25" customHeight="1">
      <c r="A80" s="103" t="n"/>
      <c r="B80" s="103" t="n"/>
      <c r="C80" s="103" t="n"/>
      <c r="D80" s="103" t="n"/>
      <c r="E80" s="103" t="n"/>
      <c r="F80" s="103" t="n"/>
      <c r="G80" s="103" t="n"/>
      <c r="H80" s="103" t="n"/>
      <c r="I80" s="103" t="n"/>
      <c r="J80" s="103" t="n"/>
      <c r="K80" s="103" t="n"/>
      <c r="L80" s="103" t="n"/>
      <c r="M80" s="103" t="n"/>
      <c r="N80" s="103" t="n"/>
    </row>
    <row r="81" ht="14.25" customHeight="1">
      <c r="A81" s="103" t="n"/>
      <c r="B81" s="103" t="n"/>
      <c r="C81" s="103" t="n"/>
      <c r="D81" s="103" t="n"/>
      <c r="E81" s="103" t="n"/>
      <c r="F81" s="103" t="n"/>
      <c r="G81" s="103" t="n"/>
      <c r="H81" s="103" t="n"/>
      <c r="I81" s="103" t="n"/>
      <c r="J81" s="103" t="n"/>
      <c r="K81" s="103" t="n"/>
      <c r="L81" s="103" t="n"/>
      <c r="M81" s="103" t="n"/>
      <c r="N81" s="103" t="n"/>
    </row>
    <row r="82" ht="14.25" customHeight="1">
      <c r="A82" s="103" t="n"/>
      <c r="B82" s="103" t="n"/>
      <c r="C82" s="103" t="n"/>
      <c r="D82" s="103" t="n"/>
      <c r="E82" s="103" t="n"/>
      <c r="F82" s="103" t="n"/>
      <c r="G82" s="103" t="n"/>
      <c r="H82" s="103" t="n"/>
      <c r="I82" s="103" t="n"/>
      <c r="J82" s="103" t="n"/>
      <c r="K82" s="103" t="n"/>
      <c r="L82" s="103" t="n"/>
      <c r="M82" s="103" t="n"/>
      <c r="N82" s="103" t="n"/>
    </row>
    <row r="83" ht="14.25" customHeight="1">
      <c r="A83" s="103" t="n"/>
      <c r="B83" s="103" t="n"/>
      <c r="C83" s="103" t="n"/>
      <c r="D83" s="103" t="n"/>
      <c r="E83" s="103" t="n"/>
      <c r="F83" s="103" t="n"/>
      <c r="G83" s="103" t="n"/>
      <c r="H83" s="103" t="n"/>
      <c r="I83" s="103" t="n"/>
      <c r="J83" s="103" t="n"/>
      <c r="K83" s="103" t="n"/>
      <c r="L83" s="103" t="n"/>
      <c r="M83" s="103" t="n"/>
      <c r="N83" s="103" t="n"/>
    </row>
    <row r="84" ht="14.25" customHeight="1">
      <c r="A84" s="103" t="n"/>
      <c r="B84" s="103" t="n"/>
      <c r="C84" s="103" t="n"/>
      <c r="D84" s="103" t="n"/>
      <c r="E84" s="103" t="n"/>
      <c r="F84" s="103" t="n"/>
      <c r="G84" s="103" t="n"/>
      <c r="H84" s="103" t="n"/>
      <c r="I84" s="103" t="n"/>
      <c r="J84" s="103" t="n"/>
      <c r="K84" s="103" t="n"/>
      <c r="L84" s="103" t="n"/>
      <c r="M84" s="103" t="n"/>
      <c r="N84" s="103" t="n"/>
    </row>
    <row r="85" ht="14.25" customHeight="1">
      <c r="A85" s="103" t="n"/>
      <c r="B85" s="103" t="n"/>
      <c r="C85" s="103" t="n"/>
      <c r="D85" s="103" t="n"/>
      <c r="E85" s="103" t="n"/>
      <c r="F85" s="103" t="n"/>
      <c r="G85" s="103" t="n"/>
      <c r="H85" s="103" t="n"/>
      <c r="I85" s="103" t="n"/>
      <c r="J85" s="103" t="n"/>
      <c r="K85" s="103" t="n"/>
      <c r="L85" s="103" t="n"/>
      <c r="M85" s="103" t="n"/>
      <c r="N85" s="103" t="n"/>
    </row>
    <row r="86" ht="14.25" customHeight="1">
      <c r="A86" s="103" t="n"/>
      <c r="B86" s="103" t="n"/>
      <c r="C86" s="103" t="n"/>
      <c r="D86" s="103" t="n"/>
      <c r="E86" s="103" t="n"/>
      <c r="F86" s="103" t="n"/>
      <c r="G86" s="103" t="n"/>
      <c r="H86" s="103" t="n"/>
      <c r="I86" s="103" t="n"/>
      <c r="J86" s="103" t="n"/>
      <c r="K86" s="103" t="n"/>
      <c r="L86" s="103" t="n"/>
      <c r="M86" s="103" t="n"/>
      <c r="N86" s="103" t="n"/>
    </row>
    <row r="87" ht="14.25" customHeight="1">
      <c r="A87" s="103" t="n"/>
      <c r="B87" s="103" t="n"/>
      <c r="C87" s="103" t="n"/>
      <c r="D87" s="103" t="n"/>
      <c r="E87" s="103" t="n"/>
      <c r="F87" s="103" t="n"/>
      <c r="G87" s="103" t="n"/>
      <c r="H87" s="103" t="n"/>
      <c r="I87" s="103" t="n"/>
      <c r="J87" s="103" t="n"/>
      <c r="K87" s="103" t="n"/>
      <c r="L87" s="103" t="n"/>
      <c r="M87" s="103" t="n"/>
      <c r="N87" s="103" t="n"/>
    </row>
    <row r="88" ht="14.25" customHeight="1">
      <c r="A88" s="103" t="n"/>
      <c r="B88" s="103" t="n"/>
      <c r="C88" s="103" t="n"/>
      <c r="D88" s="103" t="n"/>
      <c r="E88" s="103" t="n"/>
      <c r="F88" s="103" t="n"/>
      <c r="G88" s="103" t="n"/>
      <c r="H88" s="103" t="n"/>
      <c r="I88" s="103" t="n"/>
      <c r="J88" s="103" t="n"/>
      <c r="K88" s="103" t="n"/>
      <c r="L88" s="103" t="n"/>
      <c r="M88" s="103" t="n"/>
      <c r="N88" s="103" t="n"/>
    </row>
    <row r="89" ht="14.25" customHeight="1">
      <c r="A89" s="103" t="n"/>
      <c r="B89" s="103" t="n"/>
      <c r="C89" s="103" t="n"/>
      <c r="D89" s="103" t="n"/>
      <c r="E89" s="103" t="n"/>
      <c r="F89" s="103" t="n"/>
      <c r="G89" s="103" t="n"/>
      <c r="H89" s="103" t="n"/>
      <c r="I89" s="103" t="n"/>
      <c r="J89" s="103" t="n"/>
      <c r="K89" s="103" t="n"/>
      <c r="L89" s="103" t="n"/>
      <c r="M89" s="103" t="n"/>
      <c r="N89" s="103" t="n"/>
    </row>
    <row r="90" ht="14.25" customHeight="1">
      <c r="A90" s="103" t="n"/>
      <c r="B90" s="103" t="n"/>
      <c r="C90" s="103" t="n"/>
      <c r="D90" s="103" t="n"/>
      <c r="E90" s="103" t="n"/>
      <c r="F90" s="103" t="n"/>
      <c r="G90" s="103" t="n"/>
      <c r="H90" s="103" t="n"/>
      <c r="I90" s="103" t="n"/>
      <c r="J90" s="103" t="n"/>
      <c r="K90" s="103" t="n"/>
      <c r="L90" s="103" t="n"/>
      <c r="M90" s="103" t="n"/>
      <c r="N90" s="103" t="n"/>
    </row>
    <row r="91" ht="14.25" customHeight="1">
      <c r="A91" s="103" t="n"/>
      <c r="B91" s="103" t="n"/>
      <c r="C91" s="103" t="n"/>
      <c r="D91" s="103" t="n"/>
      <c r="E91" s="103" t="n"/>
      <c r="F91" s="103" t="n"/>
      <c r="G91" s="103" t="n"/>
      <c r="H91" s="103" t="n"/>
      <c r="I91" s="103" t="n"/>
      <c r="J91" s="103" t="n"/>
      <c r="K91" s="103" t="n"/>
      <c r="L91" s="103" t="n"/>
      <c r="M91" s="103" t="n"/>
      <c r="N91" s="103" t="n"/>
    </row>
    <row r="92" ht="14.25" customHeight="1">
      <c r="A92" s="103" t="n"/>
      <c r="B92" s="103" t="n"/>
      <c r="C92" s="103" t="n"/>
      <c r="D92" s="103" t="n"/>
      <c r="E92" s="103" t="n"/>
      <c r="F92" s="103" t="n"/>
      <c r="G92" s="103" t="n"/>
      <c r="H92" s="103" t="n"/>
      <c r="I92" s="103" t="n"/>
      <c r="J92" s="103" t="n"/>
      <c r="K92" s="103" t="n"/>
      <c r="L92" s="103" t="n"/>
      <c r="M92" s="103" t="n"/>
      <c r="N92" s="103" t="n"/>
    </row>
    <row r="93" ht="14.25" customHeight="1">
      <c r="A93" s="103" t="n"/>
      <c r="B93" s="103" t="n"/>
      <c r="C93" s="103" t="n"/>
      <c r="D93" s="103" t="n"/>
      <c r="E93" s="103" t="n"/>
      <c r="F93" s="103" t="n"/>
      <c r="G93" s="103" t="n"/>
      <c r="H93" s="103" t="n"/>
      <c r="I93" s="103" t="n"/>
      <c r="J93" s="103" t="n"/>
      <c r="K93" s="103" t="n"/>
      <c r="L93" s="103" t="n"/>
      <c r="M93" s="103" t="n"/>
      <c r="N93" s="103" t="n"/>
    </row>
    <row r="94" ht="14.25" customHeight="1">
      <c r="A94" s="103" t="n"/>
      <c r="B94" s="103" t="n"/>
      <c r="C94" s="103" t="n"/>
      <c r="D94" s="103" t="n"/>
      <c r="E94" s="103" t="n"/>
      <c r="F94" s="103" t="n"/>
      <c r="G94" s="103" t="n"/>
      <c r="H94" s="103" t="n"/>
      <c r="I94" s="103" t="n"/>
      <c r="J94" s="103" t="n"/>
      <c r="K94" s="103" t="n"/>
      <c r="L94" s="103" t="n"/>
      <c r="M94" s="103" t="n"/>
      <c r="N94" s="103" t="n"/>
    </row>
    <row r="95" ht="14.25" customHeight="1">
      <c r="A95" s="103" t="n"/>
      <c r="B95" s="103" t="n"/>
      <c r="C95" s="103" t="n"/>
      <c r="D95" s="103" t="n"/>
      <c r="E95" s="103" t="n"/>
      <c r="F95" s="103" t="n"/>
      <c r="G95" s="103" t="n"/>
      <c r="H95" s="103" t="n"/>
      <c r="I95" s="103" t="n"/>
      <c r="J95" s="103" t="n"/>
      <c r="K95" s="103" t="n"/>
      <c r="L95" s="103" t="n"/>
      <c r="M95" s="103" t="n"/>
      <c r="N95" s="103" t="n"/>
    </row>
    <row r="96" ht="14.25" customHeight="1">
      <c r="A96" s="103" t="n"/>
      <c r="B96" s="103" t="n"/>
      <c r="C96" s="103" t="n"/>
      <c r="D96" s="103" t="n"/>
      <c r="E96" s="103" t="n"/>
      <c r="F96" s="103" t="n"/>
      <c r="G96" s="103" t="n"/>
      <c r="H96" s="103" t="n"/>
      <c r="I96" s="103" t="n"/>
      <c r="J96" s="103" t="n"/>
      <c r="K96" s="103" t="n"/>
      <c r="L96" s="103" t="n"/>
      <c r="M96" s="103" t="n"/>
      <c r="N96" s="103" t="n"/>
    </row>
    <row r="97" ht="14.25" customHeight="1">
      <c r="A97" s="103" t="n"/>
      <c r="B97" s="103" t="n"/>
      <c r="C97" s="103" t="n"/>
      <c r="D97" s="103" t="n"/>
      <c r="E97" s="103" t="n"/>
      <c r="F97" s="103" t="n"/>
      <c r="G97" s="103" t="n"/>
      <c r="H97" s="103" t="n"/>
      <c r="I97" s="103" t="n"/>
      <c r="J97" s="103" t="n"/>
      <c r="K97" s="103" t="n"/>
      <c r="L97" s="103" t="n"/>
      <c r="M97" s="103" t="n"/>
      <c r="N97" s="103" t="n"/>
    </row>
    <row r="98" ht="14.25" customHeight="1">
      <c r="A98" s="103" t="n"/>
      <c r="B98" s="103" t="n"/>
      <c r="C98" s="103" t="n"/>
      <c r="D98" s="103" t="n"/>
      <c r="E98" s="103" t="n"/>
      <c r="F98" s="103" t="n"/>
      <c r="G98" s="103" t="n"/>
      <c r="H98" s="103" t="n"/>
      <c r="I98" s="103" t="n"/>
      <c r="J98" s="103" t="n"/>
      <c r="K98" s="103" t="n"/>
      <c r="L98" s="103" t="n"/>
      <c r="M98" s="103" t="n"/>
      <c r="N98" s="103" t="n"/>
    </row>
    <row r="99" ht="14.25" customHeight="1">
      <c r="A99" s="103" t="n"/>
      <c r="B99" s="103" t="n"/>
      <c r="C99" s="103" t="n"/>
      <c r="D99" s="103" t="n"/>
      <c r="E99" s="103" t="n"/>
      <c r="F99" s="103" t="n"/>
      <c r="G99" s="103" t="n"/>
      <c r="H99" s="103" t="n"/>
      <c r="I99" s="103" t="n"/>
      <c r="J99" s="103" t="n"/>
      <c r="K99" s="103" t="n"/>
      <c r="L99" s="103" t="n"/>
      <c r="M99" s="103" t="n"/>
      <c r="N99" s="103" t="n"/>
    </row>
    <row r="100" ht="14.25" customHeight="1">
      <c r="A100" s="103" t="n"/>
      <c r="B100" s="103" t="n"/>
      <c r="C100" s="103" t="n"/>
      <c r="D100" s="103" t="n"/>
      <c r="E100" s="103" t="n"/>
      <c r="F100" s="103" t="n"/>
      <c r="G100" s="103" t="n"/>
      <c r="H100" s="103" t="n"/>
      <c r="I100" s="103" t="n"/>
      <c r="J100" s="103" t="n"/>
      <c r="K100" s="103" t="n"/>
      <c r="L100" s="103" t="n"/>
      <c r="M100" s="103" t="n"/>
      <c r="N100" s="103" t="n"/>
    </row>
    <row r="101" ht="14.25" customHeight="1">
      <c r="A101" s="103" t="n"/>
      <c r="B101" s="103" t="n"/>
      <c r="C101" s="103" t="n"/>
      <c r="D101" s="103" t="n"/>
      <c r="E101" s="103" t="n"/>
      <c r="F101" s="103" t="n"/>
      <c r="G101" s="103" t="n"/>
      <c r="H101" s="103" t="n"/>
      <c r="I101" s="103" t="n"/>
      <c r="J101" s="103" t="n"/>
      <c r="K101" s="103" t="n"/>
      <c r="L101" s="103" t="n"/>
      <c r="M101" s="103" t="n"/>
      <c r="N101" s="103" t="n"/>
    </row>
    <row r="102" ht="14.25" customHeight="1">
      <c r="A102" s="103" t="n"/>
      <c r="B102" s="103" t="n"/>
      <c r="C102" s="103" t="n"/>
      <c r="D102" s="103" t="n"/>
      <c r="E102" s="103" t="n"/>
      <c r="F102" s="103" t="n"/>
      <c r="G102" s="103" t="n"/>
      <c r="H102" s="103" t="n"/>
      <c r="I102" s="103" t="n"/>
      <c r="J102" s="103" t="n"/>
      <c r="K102" s="103" t="n"/>
      <c r="L102" s="103" t="n"/>
      <c r="M102" s="103" t="n"/>
      <c r="N102" s="103" t="n"/>
    </row>
    <row r="103" ht="14.25" customHeight="1">
      <c r="A103" s="103" t="n"/>
      <c r="B103" s="103" t="n"/>
      <c r="C103" s="103" t="n"/>
      <c r="D103" s="103" t="n"/>
      <c r="E103" s="103" t="n"/>
      <c r="F103" s="103" t="n"/>
      <c r="G103" s="103" t="n"/>
      <c r="H103" s="103" t="n"/>
      <c r="I103" s="103" t="n"/>
      <c r="J103" s="103" t="n"/>
      <c r="K103" s="103" t="n"/>
      <c r="L103" s="103" t="n"/>
      <c r="M103" s="103" t="n"/>
      <c r="N103" s="103" t="n"/>
    </row>
    <row r="104" ht="14.25" customHeight="1">
      <c r="A104" s="103" t="n"/>
      <c r="B104" s="103" t="n"/>
      <c r="C104" s="103" t="n"/>
      <c r="D104" s="103" t="n"/>
      <c r="E104" s="103" t="n"/>
      <c r="F104" s="103" t="n"/>
      <c r="G104" s="103" t="n"/>
      <c r="H104" s="103" t="n"/>
      <c r="I104" s="103" t="n"/>
      <c r="J104" s="103" t="n"/>
      <c r="K104" s="103" t="n"/>
      <c r="L104" s="103" t="n"/>
      <c r="M104" s="103" t="n"/>
      <c r="N104" s="103" t="n"/>
    </row>
    <row r="105" ht="14.25" customHeight="1">
      <c r="A105" s="103" t="n"/>
      <c r="B105" s="103" t="n"/>
      <c r="C105" s="103" t="n"/>
      <c r="D105" s="103" t="n"/>
      <c r="E105" s="103" t="n"/>
      <c r="F105" s="103" t="n"/>
      <c r="G105" s="103" t="n"/>
      <c r="H105" s="103" t="n"/>
      <c r="I105" s="103" t="n"/>
      <c r="J105" s="103" t="n"/>
      <c r="K105" s="103" t="n"/>
      <c r="L105" s="103" t="n"/>
      <c r="M105" s="103" t="n"/>
      <c r="N105" s="103" t="n"/>
    </row>
    <row r="106" ht="14.25" customHeight="1">
      <c r="A106" s="103" t="n"/>
      <c r="B106" s="103" t="n"/>
      <c r="C106" s="103" t="n"/>
      <c r="D106" s="103" t="n"/>
      <c r="E106" s="103" t="n"/>
      <c r="F106" s="103" t="n"/>
      <c r="G106" s="103" t="n"/>
      <c r="H106" s="103" t="n"/>
      <c r="I106" s="103" t="n"/>
      <c r="J106" s="103" t="n"/>
      <c r="K106" s="103" t="n"/>
      <c r="L106" s="103" t="n"/>
      <c r="M106" s="103" t="n"/>
      <c r="N106" s="103" t="n"/>
    </row>
    <row r="107" ht="14.25" customHeight="1">
      <c r="A107" s="103" t="n"/>
      <c r="B107" s="103" t="n"/>
      <c r="C107" s="103" t="n"/>
      <c r="D107" s="103" t="n"/>
      <c r="E107" s="103" t="n"/>
      <c r="F107" s="103" t="n"/>
      <c r="G107" s="103" t="n"/>
      <c r="H107" s="103" t="n"/>
      <c r="I107" s="103" t="n"/>
      <c r="J107" s="103" t="n"/>
      <c r="K107" s="103" t="n"/>
      <c r="L107" s="103" t="n"/>
      <c r="M107" s="103" t="n"/>
      <c r="N107" s="103" t="n"/>
    </row>
    <row r="108" ht="14.25" customHeight="1">
      <c r="A108" s="103" t="n"/>
      <c r="B108" s="103" t="n"/>
      <c r="C108" s="103" t="n"/>
      <c r="D108" s="103" t="n"/>
      <c r="E108" s="103" t="n"/>
      <c r="F108" s="103" t="n"/>
      <c r="G108" s="103" t="n"/>
      <c r="H108" s="103" t="n"/>
      <c r="I108" s="103" t="n"/>
      <c r="J108" s="103" t="n"/>
      <c r="K108" s="103" t="n"/>
      <c r="L108" s="103" t="n"/>
      <c r="M108" s="103" t="n"/>
      <c r="N108" s="103" t="n"/>
    </row>
    <row r="109" ht="14.25" customHeight="1">
      <c r="A109" s="103" t="n"/>
      <c r="B109" s="103" t="n"/>
      <c r="C109" s="103" t="n"/>
      <c r="D109" s="103" t="n"/>
      <c r="E109" s="103" t="n"/>
      <c r="F109" s="103" t="n"/>
      <c r="G109" s="103" t="n"/>
      <c r="H109" s="103" t="n"/>
      <c r="I109" s="103" t="n"/>
      <c r="J109" s="103" t="n"/>
      <c r="K109" s="103" t="n"/>
      <c r="L109" s="103" t="n"/>
      <c r="M109" s="103" t="n"/>
      <c r="N109" s="103" t="n"/>
    </row>
    <row r="110" ht="14.25" customHeight="1">
      <c r="A110" s="103" t="n"/>
      <c r="B110" s="103" t="n"/>
      <c r="C110" s="103" t="n"/>
      <c r="D110" s="103" t="n"/>
      <c r="E110" s="103" t="n"/>
      <c r="F110" s="103" t="n"/>
      <c r="G110" s="103" t="n"/>
      <c r="H110" s="103" t="n"/>
      <c r="I110" s="103" t="n"/>
      <c r="J110" s="103" t="n"/>
      <c r="K110" s="103" t="n"/>
      <c r="L110" s="103" t="n"/>
      <c r="M110" s="103" t="n"/>
      <c r="N110" s="103" t="n"/>
    </row>
    <row r="111" ht="14.25" customHeight="1">
      <c r="A111" s="103" t="n"/>
      <c r="B111" s="103" t="n"/>
      <c r="C111" s="103" t="n"/>
      <c r="D111" s="103" t="n"/>
      <c r="E111" s="103" t="n"/>
      <c r="F111" s="103" t="n"/>
      <c r="G111" s="103" t="n"/>
      <c r="H111" s="103" t="n"/>
      <c r="I111" s="103" t="n"/>
      <c r="J111" s="103" t="n"/>
      <c r="K111" s="103" t="n"/>
      <c r="L111" s="103" t="n"/>
      <c r="M111" s="103" t="n"/>
      <c r="N111" s="103" t="n"/>
    </row>
    <row r="112" ht="14.25" customHeight="1">
      <c r="A112" s="103" t="n"/>
      <c r="B112" s="103" t="n"/>
      <c r="C112" s="103" t="n"/>
      <c r="D112" s="103" t="n"/>
      <c r="E112" s="103" t="n"/>
      <c r="F112" s="103" t="n"/>
      <c r="G112" s="103" t="n"/>
      <c r="H112" s="103" t="n"/>
      <c r="I112" s="103" t="n"/>
      <c r="J112" s="103" t="n"/>
      <c r="K112" s="103" t="n"/>
      <c r="L112" s="103" t="n"/>
      <c r="M112" s="103" t="n"/>
      <c r="N112" s="103" t="n"/>
    </row>
    <row r="113" ht="14.25" customHeight="1">
      <c r="A113" s="103" t="n"/>
      <c r="B113" s="103" t="n"/>
      <c r="C113" s="103" t="n"/>
      <c r="D113" s="103" t="n"/>
      <c r="E113" s="103" t="n"/>
      <c r="F113" s="103" t="n"/>
      <c r="G113" s="103" t="n"/>
      <c r="H113" s="103" t="n"/>
      <c r="I113" s="103" t="n"/>
      <c r="J113" s="103" t="n"/>
      <c r="K113" s="103" t="n"/>
      <c r="L113" s="103" t="n"/>
      <c r="M113" s="103" t="n"/>
      <c r="N113" s="103" t="n"/>
    </row>
    <row r="114" ht="14.25" customHeight="1">
      <c r="A114" s="103" t="n"/>
      <c r="B114" s="103" t="n"/>
      <c r="C114" s="103" t="n"/>
      <c r="D114" s="103" t="n"/>
      <c r="E114" s="103" t="n"/>
      <c r="F114" s="103" t="n"/>
      <c r="G114" s="103" t="n"/>
      <c r="H114" s="103" t="n"/>
      <c r="I114" s="103" t="n"/>
      <c r="J114" s="103" t="n"/>
      <c r="K114" s="103" t="n"/>
      <c r="L114" s="103" t="n"/>
      <c r="M114" s="103" t="n"/>
      <c r="N114" s="103" t="n"/>
    </row>
    <row r="115" ht="14.25" customHeight="1">
      <c r="A115" s="103" t="n"/>
      <c r="B115" s="103" t="n"/>
      <c r="C115" s="103" t="n"/>
      <c r="D115" s="103" t="n"/>
      <c r="E115" s="103" t="n"/>
      <c r="F115" s="103" t="n"/>
      <c r="G115" s="103" t="n"/>
      <c r="H115" s="103" t="n"/>
      <c r="I115" s="103" t="n"/>
      <c r="J115" s="103" t="n"/>
      <c r="K115" s="103" t="n"/>
      <c r="L115" s="103" t="n"/>
      <c r="M115" s="103" t="n"/>
      <c r="N115" s="103" t="n"/>
    </row>
    <row r="116" ht="14.25" customHeight="1">
      <c r="A116" s="103" t="n"/>
      <c r="B116" s="103" t="n"/>
      <c r="C116" s="103" t="n"/>
      <c r="D116" s="103" t="n"/>
      <c r="E116" s="103" t="n"/>
      <c r="F116" s="103" t="n"/>
      <c r="G116" s="103" t="n"/>
      <c r="H116" s="103" t="n"/>
      <c r="I116" s="103" t="n"/>
      <c r="J116" s="103" t="n"/>
      <c r="K116" s="103" t="n"/>
      <c r="L116" s="103" t="n"/>
      <c r="M116" s="103" t="n"/>
      <c r="N116" s="103" t="n"/>
    </row>
    <row r="117" ht="14.25" customHeight="1">
      <c r="A117" s="103" t="n"/>
      <c r="B117" s="103" t="n"/>
      <c r="C117" s="103" t="n"/>
      <c r="D117" s="103" t="n"/>
      <c r="E117" s="103" t="n"/>
      <c r="F117" s="103" t="n"/>
      <c r="G117" s="103" t="n"/>
      <c r="H117" s="103" t="n"/>
      <c r="I117" s="103" t="n"/>
      <c r="J117" s="103" t="n"/>
      <c r="K117" s="103" t="n"/>
      <c r="L117" s="103" t="n"/>
      <c r="M117" s="103" t="n"/>
      <c r="N117" s="103" t="n"/>
    </row>
    <row r="118" ht="14.25" customHeight="1">
      <c r="A118" s="103" t="n"/>
      <c r="B118" s="103" t="n"/>
      <c r="C118" s="103" t="n"/>
      <c r="D118" s="103" t="n"/>
      <c r="E118" s="103" t="n"/>
      <c r="F118" s="103" t="n"/>
      <c r="G118" s="103" t="n"/>
      <c r="H118" s="103" t="n"/>
      <c r="I118" s="103" t="n"/>
      <c r="J118" s="103" t="n"/>
      <c r="K118" s="103" t="n"/>
      <c r="L118" s="103" t="n"/>
      <c r="M118" s="103" t="n"/>
      <c r="N118" s="103" t="n"/>
    </row>
    <row r="119" ht="14.25" customHeight="1">
      <c r="A119" s="103" t="n"/>
      <c r="B119" s="103" t="n"/>
      <c r="C119" s="103" t="n"/>
      <c r="D119" s="103" t="n"/>
      <c r="E119" s="103" t="n"/>
      <c r="F119" s="103" t="n"/>
      <c r="G119" s="103" t="n"/>
      <c r="H119" s="103" t="n"/>
      <c r="I119" s="103" t="n"/>
      <c r="J119" s="103" t="n"/>
      <c r="K119" s="103" t="n"/>
      <c r="L119" s="103" t="n"/>
      <c r="M119" s="103" t="n"/>
      <c r="N119" s="103" t="n"/>
    </row>
    <row r="120" ht="14.25" customHeight="1">
      <c r="A120" s="103" t="n"/>
      <c r="B120" s="103" t="n"/>
      <c r="C120" s="103" t="n"/>
      <c r="D120" s="103" t="n"/>
      <c r="E120" s="103" t="n"/>
      <c r="F120" s="103" t="n"/>
      <c r="G120" s="103" t="n"/>
      <c r="H120" s="103" t="n"/>
      <c r="I120" s="103" t="n"/>
      <c r="J120" s="103" t="n"/>
      <c r="K120" s="103" t="n"/>
      <c r="L120" s="103" t="n"/>
      <c r="M120" s="103" t="n"/>
      <c r="N120" s="103" t="n"/>
    </row>
    <row r="121" ht="14.25" customHeight="1">
      <c r="A121" s="103" t="n"/>
      <c r="B121" s="103" t="n"/>
      <c r="C121" s="103" t="n"/>
      <c r="D121" s="103" t="n"/>
      <c r="E121" s="103" t="n"/>
      <c r="F121" s="103" t="n"/>
      <c r="G121" s="103" t="n"/>
      <c r="H121" s="103" t="n"/>
      <c r="I121" s="103" t="n"/>
      <c r="J121" s="103" t="n"/>
      <c r="K121" s="103" t="n"/>
      <c r="L121" s="103" t="n"/>
      <c r="M121" s="103" t="n"/>
      <c r="N121" s="103" t="n"/>
    </row>
    <row r="122" ht="14.25" customHeight="1">
      <c r="A122" s="103" t="n"/>
      <c r="B122" s="103" t="n"/>
      <c r="C122" s="103" t="n"/>
      <c r="D122" s="103" t="n"/>
      <c r="E122" s="103" t="n"/>
      <c r="F122" s="103" t="n"/>
      <c r="G122" s="103" t="n"/>
      <c r="H122" s="103" t="n"/>
      <c r="I122" s="103" t="n"/>
      <c r="J122" s="103" t="n"/>
      <c r="K122" s="103" t="n"/>
      <c r="L122" s="103" t="n"/>
      <c r="M122" s="103" t="n"/>
      <c r="N122" s="103" t="n"/>
    </row>
    <row r="123" ht="14.25" customHeight="1">
      <c r="A123" s="103" t="n"/>
      <c r="B123" s="103" t="n"/>
      <c r="C123" s="103" t="n"/>
      <c r="D123" s="103" t="n"/>
      <c r="E123" s="103" t="n"/>
      <c r="F123" s="103" t="n"/>
      <c r="G123" s="103" t="n"/>
      <c r="H123" s="103" t="n"/>
      <c r="I123" s="103" t="n"/>
      <c r="J123" s="103" t="n"/>
      <c r="K123" s="103" t="n"/>
      <c r="L123" s="103" t="n"/>
      <c r="M123" s="103" t="n"/>
      <c r="N123" s="103" t="n"/>
    </row>
    <row r="124" ht="14.25" customHeight="1">
      <c r="A124" s="103" t="n"/>
      <c r="B124" s="103" t="n"/>
      <c r="C124" s="103" t="n"/>
      <c r="D124" s="103" t="n"/>
      <c r="E124" s="103" t="n"/>
      <c r="F124" s="103" t="n"/>
      <c r="G124" s="103" t="n"/>
      <c r="H124" s="103" t="n"/>
      <c r="I124" s="103" t="n"/>
      <c r="J124" s="103" t="n"/>
      <c r="K124" s="103" t="n"/>
      <c r="L124" s="103" t="n"/>
      <c r="M124" s="103" t="n"/>
      <c r="N124" s="103" t="n"/>
    </row>
    <row r="125" ht="14.25" customHeight="1">
      <c r="A125" s="103" t="n"/>
      <c r="B125" s="103" t="n"/>
      <c r="C125" s="103" t="n"/>
      <c r="D125" s="103" t="n"/>
      <c r="E125" s="103" t="n"/>
      <c r="F125" s="103" t="n"/>
      <c r="G125" s="103" t="n"/>
      <c r="H125" s="103" t="n"/>
      <c r="I125" s="103" t="n"/>
      <c r="J125" s="103" t="n"/>
      <c r="K125" s="103" t="n"/>
      <c r="L125" s="103" t="n"/>
      <c r="M125" s="103" t="n"/>
      <c r="N125" s="103" t="n"/>
    </row>
    <row r="126" ht="14.25" customHeight="1">
      <c r="A126" s="103" t="n"/>
      <c r="B126" s="103" t="n"/>
      <c r="C126" s="103" t="n"/>
      <c r="D126" s="103" t="n"/>
      <c r="E126" s="103" t="n"/>
      <c r="F126" s="103" t="n"/>
      <c r="G126" s="103" t="n"/>
      <c r="H126" s="103" t="n"/>
      <c r="I126" s="103" t="n"/>
      <c r="J126" s="103" t="n"/>
      <c r="K126" s="103" t="n"/>
      <c r="L126" s="103" t="n"/>
      <c r="M126" s="103" t="n"/>
      <c r="N126" s="103" t="n"/>
    </row>
    <row r="127" ht="14.25" customHeight="1">
      <c r="A127" s="103" t="n"/>
      <c r="B127" s="103" t="n"/>
      <c r="C127" s="103" t="n"/>
      <c r="D127" s="103" t="n"/>
      <c r="E127" s="103" t="n"/>
      <c r="F127" s="103" t="n"/>
      <c r="G127" s="103" t="n"/>
      <c r="H127" s="103" t="n"/>
      <c r="I127" s="103" t="n"/>
      <c r="J127" s="103" t="n"/>
      <c r="K127" s="103" t="n"/>
      <c r="L127" s="103" t="n"/>
      <c r="M127" s="103" t="n"/>
      <c r="N127" s="103" t="n"/>
    </row>
    <row r="128" ht="14.25" customHeight="1">
      <c r="A128" s="103" t="n"/>
      <c r="B128" s="103" t="n"/>
      <c r="C128" s="103" t="n"/>
      <c r="D128" s="103" t="n"/>
      <c r="E128" s="103" t="n"/>
      <c r="F128" s="103" t="n"/>
      <c r="G128" s="103" t="n"/>
      <c r="H128" s="103" t="n"/>
      <c r="I128" s="103" t="n"/>
      <c r="J128" s="103" t="n"/>
      <c r="K128" s="103" t="n"/>
      <c r="L128" s="103" t="n"/>
      <c r="M128" s="103" t="n"/>
      <c r="N128" s="103" t="n"/>
    </row>
    <row r="129" ht="14.25" customHeight="1">
      <c r="A129" s="103" t="n"/>
      <c r="B129" s="103" t="n"/>
      <c r="C129" s="103" t="n"/>
      <c r="D129" s="103" t="n"/>
      <c r="E129" s="103" t="n"/>
      <c r="F129" s="103" t="n"/>
      <c r="G129" s="103" t="n"/>
      <c r="H129" s="103" t="n"/>
      <c r="I129" s="103" t="n"/>
      <c r="J129" s="103" t="n"/>
      <c r="K129" s="103" t="n"/>
      <c r="L129" s="103" t="n"/>
      <c r="M129" s="103" t="n"/>
      <c r="N129" s="103" t="n"/>
    </row>
    <row r="130" ht="14.25" customHeight="1">
      <c r="A130" s="103" t="n"/>
      <c r="B130" s="103" t="n"/>
      <c r="C130" s="103" t="n"/>
      <c r="D130" s="103" t="n"/>
      <c r="E130" s="103" t="n"/>
      <c r="F130" s="103" t="n"/>
      <c r="G130" s="103" t="n"/>
      <c r="H130" s="103" t="n"/>
      <c r="I130" s="103" t="n"/>
      <c r="J130" s="103" t="n"/>
      <c r="K130" s="103" t="n"/>
      <c r="L130" s="103" t="n"/>
      <c r="M130" s="103" t="n"/>
      <c r="N130" s="103" t="n"/>
    </row>
    <row r="131" ht="14.25" customHeight="1">
      <c r="A131" s="103" t="n"/>
      <c r="B131" s="103" t="n"/>
      <c r="C131" s="103" t="n"/>
      <c r="D131" s="103" t="n"/>
      <c r="E131" s="103" t="n"/>
      <c r="F131" s="103" t="n"/>
      <c r="G131" s="103" t="n"/>
      <c r="H131" s="103" t="n"/>
      <c r="I131" s="103" t="n"/>
      <c r="J131" s="103" t="n"/>
      <c r="K131" s="103" t="n"/>
      <c r="L131" s="103" t="n"/>
      <c r="M131" s="103" t="n"/>
      <c r="N131" s="103" t="n"/>
    </row>
    <row r="132" ht="14.25" customHeight="1">
      <c r="A132" s="103" t="n"/>
      <c r="B132" s="103" t="n"/>
      <c r="C132" s="103" t="n"/>
      <c r="D132" s="103" t="n"/>
      <c r="E132" s="103" t="n"/>
      <c r="F132" s="103" t="n"/>
      <c r="G132" s="103" t="n"/>
      <c r="H132" s="103" t="n"/>
      <c r="I132" s="103" t="n"/>
      <c r="J132" s="103" t="n"/>
      <c r="K132" s="103" t="n"/>
      <c r="L132" s="103" t="n"/>
      <c r="M132" s="103" t="n"/>
      <c r="N132" s="103" t="n"/>
    </row>
    <row r="133" ht="14.25" customHeight="1">
      <c r="A133" s="103" t="n"/>
      <c r="B133" s="103" t="n"/>
      <c r="C133" s="103" t="n"/>
      <c r="D133" s="103" t="n"/>
      <c r="E133" s="103" t="n"/>
      <c r="F133" s="103" t="n"/>
      <c r="G133" s="103" t="n"/>
      <c r="H133" s="103" t="n"/>
      <c r="I133" s="103" t="n"/>
      <c r="J133" s="103" t="n"/>
      <c r="K133" s="103" t="n"/>
      <c r="L133" s="103" t="n"/>
      <c r="M133" s="103" t="n"/>
      <c r="N133" s="103" t="n"/>
    </row>
    <row r="134" ht="14.25" customHeight="1">
      <c r="A134" s="103" t="n"/>
      <c r="B134" s="103" t="n"/>
      <c r="C134" s="103" t="n"/>
      <c r="D134" s="103" t="n"/>
      <c r="E134" s="103" t="n"/>
      <c r="F134" s="103" t="n"/>
      <c r="G134" s="103" t="n"/>
      <c r="H134" s="103" t="n"/>
      <c r="I134" s="103" t="n"/>
      <c r="J134" s="103" t="n"/>
      <c r="K134" s="103" t="n"/>
      <c r="L134" s="103" t="n"/>
      <c r="M134" s="103" t="n"/>
      <c r="N134" s="103" t="n"/>
    </row>
    <row r="135" ht="14.25" customHeight="1">
      <c r="A135" s="103" t="n"/>
      <c r="B135" s="103" t="n"/>
      <c r="C135" s="103" t="n"/>
      <c r="D135" s="103" t="n"/>
      <c r="E135" s="103" t="n"/>
      <c r="F135" s="103" t="n"/>
      <c r="G135" s="103" t="n"/>
      <c r="H135" s="103" t="n"/>
      <c r="I135" s="103" t="n"/>
      <c r="J135" s="103" t="n"/>
      <c r="K135" s="103" t="n"/>
      <c r="L135" s="103" t="n"/>
      <c r="M135" s="103" t="n"/>
      <c r="N135" s="103" t="n"/>
    </row>
    <row r="136" ht="14.25" customHeight="1">
      <c r="A136" s="103" t="n"/>
      <c r="B136" s="103" t="n"/>
      <c r="C136" s="103" t="n"/>
      <c r="D136" s="103" t="n"/>
      <c r="E136" s="103" t="n"/>
      <c r="F136" s="103" t="n"/>
      <c r="G136" s="103" t="n"/>
      <c r="H136" s="103" t="n"/>
      <c r="I136" s="103" t="n"/>
      <c r="J136" s="103" t="n"/>
      <c r="K136" s="103" t="n"/>
      <c r="L136" s="103" t="n"/>
      <c r="M136" s="103" t="n"/>
      <c r="N136" s="103" t="n"/>
    </row>
    <row r="137" ht="14.25" customHeight="1">
      <c r="A137" s="103" t="n"/>
      <c r="B137" s="103" t="n"/>
      <c r="C137" s="103" t="n"/>
      <c r="D137" s="103" t="n"/>
      <c r="E137" s="103" t="n"/>
      <c r="F137" s="103" t="n"/>
      <c r="G137" s="103" t="n"/>
      <c r="H137" s="103" t="n"/>
      <c r="I137" s="103" t="n"/>
      <c r="J137" s="103" t="n"/>
      <c r="K137" s="103" t="n"/>
      <c r="L137" s="103" t="n"/>
      <c r="M137" s="103" t="n"/>
      <c r="N137" s="103" t="n"/>
    </row>
    <row r="138" ht="14.25" customHeight="1">
      <c r="A138" s="103" t="n"/>
      <c r="B138" s="103" t="n"/>
      <c r="C138" s="103" t="n"/>
      <c r="D138" s="103" t="n"/>
      <c r="E138" s="103" t="n"/>
      <c r="F138" s="103" t="n"/>
      <c r="G138" s="103" t="n"/>
      <c r="H138" s="103" t="n"/>
      <c r="I138" s="103" t="n"/>
      <c r="J138" s="103" t="n"/>
      <c r="K138" s="103" t="n"/>
      <c r="L138" s="103" t="n"/>
      <c r="M138" s="103" t="n"/>
      <c r="N138" s="103" t="n"/>
    </row>
    <row r="139" ht="14.25" customHeight="1">
      <c r="A139" s="103" t="n"/>
      <c r="B139" s="103" t="n"/>
      <c r="C139" s="103" t="n"/>
      <c r="D139" s="103" t="n"/>
      <c r="E139" s="103" t="n"/>
      <c r="F139" s="103" t="n"/>
      <c r="G139" s="103" t="n"/>
      <c r="H139" s="103" t="n"/>
      <c r="I139" s="103" t="n"/>
      <c r="J139" s="103" t="n"/>
      <c r="K139" s="103" t="n"/>
      <c r="L139" s="103" t="n"/>
      <c r="M139" s="103" t="n"/>
      <c r="N139" s="103" t="n"/>
    </row>
    <row r="140" ht="14.25" customHeight="1">
      <c r="A140" s="103" t="n"/>
      <c r="B140" s="103" t="n"/>
      <c r="C140" s="103" t="n"/>
      <c r="D140" s="103" t="n"/>
      <c r="E140" s="103" t="n"/>
      <c r="F140" s="103" t="n"/>
      <c r="G140" s="103" t="n"/>
      <c r="H140" s="103" t="n"/>
      <c r="I140" s="103" t="n"/>
      <c r="J140" s="103" t="n"/>
      <c r="K140" s="103" t="n"/>
      <c r="L140" s="103" t="n"/>
      <c r="M140" s="103" t="n"/>
      <c r="N140" s="103" t="n"/>
    </row>
    <row r="141" ht="14.25" customHeight="1">
      <c r="A141" s="103" t="n"/>
      <c r="B141" s="103" t="n"/>
      <c r="C141" s="103" t="n"/>
      <c r="D141" s="103" t="n"/>
      <c r="E141" s="103" t="n"/>
      <c r="F141" s="103" t="n"/>
      <c r="G141" s="103" t="n"/>
      <c r="H141" s="103" t="n"/>
      <c r="I141" s="103" t="n"/>
      <c r="J141" s="103" t="n"/>
      <c r="K141" s="103" t="n"/>
      <c r="L141" s="103" t="n"/>
      <c r="M141" s="103" t="n"/>
      <c r="N141" s="103" t="n"/>
    </row>
    <row r="142" ht="14.25" customHeight="1">
      <c r="A142" s="103" t="n"/>
      <c r="B142" s="103" t="n"/>
      <c r="C142" s="103" t="n"/>
      <c r="D142" s="103" t="n"/>
      <c r="E142" s="103" t="n"/>
      <c r="F142" s="103" t="n"/>
      <c r="G142" s="103" t="n"/>
      <c r="H142" s="103" t="n"/>
      <c r="I142" s="103" t="n"/>
      <c r="J142" s="103" t="n"/>
      <c r="K142" s="103" t="n"/>
      <c r="L142" s="103" t="n"/>
      <c r="M142" s="103" t="n"/>
      <c r="N142" s="103" t="n"/>
    </row>
    <row r="143" ht="14.25" customHeight="1">
      <c r="A143" s="103" t="n"/>
      <c r="B143" s="103" t="n"/>
      <c r="C143" s="103" t="n"/>
      <c r="D143" s="103" t="n"/>
      <c r="E143" s="103" t="n"/>
      <c r="F143" s="103" t="n"/>
      <c r="G143" s="103" t="n"/>
      <c r="H143" s="103" t="n"/>
      <c r="I143" s="103" t="n"/>
      <c r="J143" s="103" t="n"/>
      <c r="K143" s="103" t="n"/>
      <c r="L143" s="103" t="n"/>
      <c r="M143" s="103" t="n"/>
      <c r="N143" s="103" t="n"/>
    </row>
    <row r="144" ht="14.25" customHeight="1">
      <c r="A144" s="103" t="n"/>
      <c r="B144" s="103" t="n"/>
      <c r="C144" s="103" t="n"/>
      <c r="D144" s="103" t="n"/>
      <c r="E144" s="103" t="n"/>
      <c r="F144" s="103" t="n"/>
      <c r="G144" s="103" t="n"/>
      <c r="H144" s="103" t="n"/>
      <c r="I144" s="103" t="n"/>
      <c r="J144" s="103" t="n"/>
      <c r="K144" s="103" t="n"/>
      <c r="L144" s="103" t="n"/>
      <c r="M144" s="103" t="n"/>
      <c r="N144" s="103" t="n"/>
    </row>
    <row r="145" ht="14.25" customHeight="1">
      <c r="A145" s="103" t="n"/>
      <c r="B145" s="103" t="n"/>
      <c r="C145" s="103" t="n"/>
      <c r="D145" s="103" t="n"/>
      <c r="E145" s="103" t="n"/>
      <c r="F145" s="103" t="n"/>
      <c r="G145" s="103" t="n"/>
      <c r="H145" s="103" t="n"/>
      <c r="I145" s="103" t="n"/>
      <c r="J145" s="103" t="n"/>
      <c r="K145" s="103" t="n"/>
      <c r="L145" s="103" t="n"/>
      <c r="M145" s="103" t="n"/>
      <c r="N145" s="103" t="n"/>
    </row>
    <row r="146" ht="14.25" customHeight="1">
      <c r="A146" s="103" t="n"/>
      <c r="B146" s="103" t="n"/>
      <c r="C146" s="103" t="n"/>
      <c r="D146" s="103" t="n"/>
      <c r="E146" s="103" t="n"/>
      <c r="F146" s="103" t="n"/>
      <c r="G146" s="103" t="n"/>
      <c r="H146" s="103" t="n"/>
      <c r="I146" s="103" t="n"/>
      <c r="J146" s="103" t="n"/>
      <c r="K146" s="103" t="n"/>
      <c r="L146" s="103" t="n"/>
      <c r="M146" s="103" t="n"/>
      <c r="N146" s="103" t="n"/>
    </row>
    <row r="147" ht="14.25" customHeight="1">
      <c r="A147" s="103" t="n"/>
      <c r="B147" s="103" t="n"/>
      <c r="C147" s="103" t="n"/>
      <c r="D147" s="103" t="n"/>
      <c r="E147" s="103" t="n"/>
      <c r="F147" s="103" t="n"/>
      <c r="G147" s="103" t="n"/>
      <c r="H147" s="103" t="n"/>
      <c r="I147" s="103" t="n"/>
      <c r="J147" s="103" t="n"/>
      <c r="K147" s="103" t="n"/>
      <c r="L147" s="103" t="n"/>
      <c r="M147" s="103" t="n"/>
      <c r="N147" s="103" t="n"/>
    </row>
    <row r="148" ht="14.25" customHeight="1">
      <c r="A148" s="103" t="n"/>
      <c r="B148" s="103" t="n"/>
      <c r="C148" s="103" t="n"/>
      <c r="D148" s="103" t="n"/>
      <c r="E148" s="103" t="n"/>
      <c r="F148" s="103" t="n"/>
      <c r="G148" s="103" t="n"/>
      <c r="H148" s="103" t="n"/>
      <c r="I148" s="103" t="n"/>
      <c r="J148" s="103" t="n"/>
      <c r="K148" s="103" t="n"/>
      <c r="L148" s="103" t="n"/>
      <c r="M148" s="103" t="n"/>
      <c r="N148" s="103" t="n"/>
    </row>
    <row r="149" ht="14.25" customHeight="1">
      <c r="A149" s="103" t="n"/>
      <c r="B149" s="103" t="n"/>
      <c r="C149" s="103" t="n"/>
      <c r="D149" s="103" t="n"/>
      <c r="E149" s="103" t="n"/>
      <c r="F149" s="103" t="n"/>
      <c r="G149" s="103" t="n"/>
      <c r="H149" s="103" t="n"/>
      <c r="I149" s="103" t="n"/>
      <c r="J149" s="103" t="n"/>
      <c r="K149" s="103" t="n"/>
      <c r="L149" s="103" t="n"/>
      <c r="M149" s="103" t="n"/>
      <c r="N149" s="103" t="n"/>
    </row>
    <row r="150" ht="14.25" customHeight="1">
      <c r="A150" s="103" t="n"/>
      <c r="B150" s="103" t="n"/>
      <c r="C150" s="103" t="n"/>
      <c r="D150" s="103" t="n"/>
      <c r="E150" s="103" t="n"/>
      <c r="F150" s="103" t="n"/>
      <c r="G150" s="103" t="n"/>
      <c r="H150" s="103" t="n"/>
      <c r="I150" s="103" t="n"/>
      <c r="J150" s="103" t="n"/>
      <c r="K150" s="103" t="n"/>
      <c r="L150" s="103" t="n"/>
      <c r="M150" s="103" t="n"/>
      <c r="N150" s="103" t="n"/>
    </row>
    <row r="151" ht="14.25" customHeight="1">
      <c r="A151" s="103" t="n"/>
      <c r="B151" s="103" t="n"/>
      <c r="C151" s="103" t="n"/>
      <c r="D151" s="103" t="n"/>
      <c r="E151" s="103" t="n"/>
      <c r="F151" s="103" t="n"/>
      <c r="G151" s="103" t="n"/>
      <c r="H151" s="103" t="n"/>
      <c r="I151" s="103" t="n"/>
      <c r="J151" s="103" t="n"/>
      <c r="K151" s="103" t="n"/>
      <c r="L151" s="103" t="n"/>
      <c r="M151" s="103" t="n"/>
      <c r="N151" s="103" t="n"/>
    </row>
    <row r="152" ht="14.25" customHeight="1">
      <c r="A152" s="103" t="n"/>
      <c r="B152" s="103" t="n"/>
      <c r="C152" s="103" t="n"/>
      <c r="D152" s="103" t="n"/>
      <c r="E152" s="103" t="n"/>
      <c r="F152" s="103" t="n"/>
      <c r="G152" s="103" t="n"/>
      <c r="H152" s="103" t="n"/>
      <c r="I152" s="103" t="n"/>
      <c r="J152" s="103" t="n"/>
      <c r="K152" s="103" t="n"/>
      <c r="L152" s="103" t="n"/>
      <c r="M152" s="103" t="n"/>
      <c r="N152" s="103" t="n"/>
    </row>
    <row r="153" ht="14.25" customHeight="1">
      <c r="A153" s="103" t="n"/>
      <c r="B153" s="103" t="n"/>
      <c r="C153" s="103" t="n"/>
      <c r="D153" s="103" t="n"/>
      <c r="E153" s="103" t="n"/>
      <c r="F153" s="103" t="n"/>
      <c r="G153" s="103" t="n"/>
      <c r="H153" s="103" t="n"/>
      <c r="I153" s="103" t="n"/>
      <c r="J153" s="103" t="n"/>
      <c r="K153" s="103" t="n"/>
      <c r="L153" s="103" t="n"/>
      <c r="M153" s="103" t="n"/>
      <c r="N153" s="103" t="n"/>
    </row>
    <row r="154" ht="14.25" customHeight="1">
      <c r="A154" s="103" t="n"/>
      <c r="B154" s="103" t="n"/>
      <c r="C154" s="103" t="n"/>
      <c r="D154" s="103" t="n"/>
      <c r="E154" s="103" t="n"/>
      <c r="F154" s="103" t="n"/>
      <c r="G154" s="103" t="n"/>
      <c r="H154" s="103" t="n"/>
      <c r="I154" s="103" t="n"/>
      <c r="J154" s="103" t="n"/>
      <c r="K154" s="103" t="n"/>
      <c r="L154" s="103" t="n"/>
      <c r="M154" s="103" t="n"/>
      <c r="N154" s="103" t="n"/>
    </row>
    <row r="155" ht="14.25" customHeight="1">
      <c r="A155" s="103" t="n"/>
      <c r="B155" s="103" t="n"/>
      <c r="C155" s="103" t="n"/>
      <c r="D155" s="103" t="n"/>
      <c r="E155" s="103" t="n"/>
      <c r="F155" s="103" t="n"/>
      <c r="G155" s="103" t="n"/>
      <c r="H155" s="103" t="n"/>
      <c r="I155" s="103" t="n"/>
      <c r="J155" s="103" t="n"/>
      <c r="K155" s="103" t="n"/>
      <c r="L155" s="103" t="n"/>
      <c r="M155" s="103" t="n"/>
      <c r="N155" s="103" t="n"/>
    </row>
    <row r="156" ht="14.25" customHeight="1">
      <c r="A156" s="103" t="n"/>
      <c r="B156" s="103" t="n"/>
      <c r="C156" s="103" t="n"/>
      <c r="D156" s="103" t="n"/>
      <c r="E156" s="103" t="n"/>
      <c r="F156" s="103" t="n"/>
      <c r="G156" s="103" t="n"/>
      <c r="H156" s="103" t="n"/>
      <c r="I156" s="103" t="n"/>
      <c r="J156" s="103" t="n"/>
      <c r="K156" s="103" t="n"/>
      <c r="L156" s="103" t="n"/>
      <c r="M156" s="103" t="n"/>
      <c r="N156" s="103" t="n"/>
    </row>
    <row r="157" ht="14.25" customHeight="1">
      <c r="A157" s="103" t="n"/>
      <c r="B157" s="103" t="n"/>
      <c r="C157" s="103" t="n"/>
      <c r="D157" s="103" t="n"/>
      <c r="E157" s="103" t="n"/>
      <c r="F157" s="103" t="n"/>
      <c r="G157" s="103" t="n"/>
      <c r="H157" s="103" t="n"/>
      <c r="I157" s="103" t="n"/>
      <c r="J157" s="103" t="n"/>
      <c r="K157" s="103" t="n"/>
      <c r="L157" s="103" t="n"/>
      <c r="M157" s="103" t="n"/>
      <c r="N157" s="103" t="n"/>
    </row>
    <row r="158" ht="14.25" customHeight="1">
      <c r="A158" s="103" t="n"/>
      <c r="B158" s="103" t="n"/>
      <c r="C158" s="103" t="n"/>
      <c r="D158" s="103" t="n"/>
      <c r="E158" s="103" t="n"/>
      <c r="F158" s="103" t="n"/>
      <c r="G158" s="103" t="n"/>
      <c r="H158" s="103" t="n"/>
      <c r="I158" s="103" t="n"/>
      <c r="J158" s="103" t="n"/>
      <c r="K158" s="103" t="n"/>
      <c r="L158" s="103" t="n"/>
      <c r="M158" s="103" t="n"/>
      <c r="N158" s="103" t="n"/>
    </row>
    <row r="159" ht="14.25" customHeight="1">
      <c r="A159" s="103" t="n"/>
      <c r="B159" s="103" t="n"/>
      <c r="C159" s="103" t="n"/>
      <c r="D159" s="103" t="n"/>
      <c r="E159" s="103" t="n"/>
      <c r="F159" s="103" t="n"/>
      <c r="G159" s="103" t="n"/>
      <c r="H159" s="103" t="n"/>
      <c r="I159" s="103" t="n"/>
      <c r="J159" s="103" t="n"/>
      <c r="K159" s="103" t="n"/>
      <c r="L159" s="103" t="n"/>
      <c r="M159" s="103" t="n"/>
      <c r="N159" s="103" t="n"/>
    </row>
    <row r="160" ht="14.25" customHeight="1">
      <c r="A160" s="103" t="n"/>
      <c r="B160" s="103" t="n"/>
      <c r="C160" s="103" t="n"/>
      <c r="D160" s="103" t="n"/>
      <c r="E160" s="103" t="n"/>
      <c r="F160" s="103" t="n"/>
      <c r="G160" s="103" t="n"/>
      <c r="H160" s="103" t="n"/>
      <c r="I160" s="103" t="n"/>
      <c r="J160" s="103" t="n"/>
      <c r="K160" s="103" t="n"/>
      <c r="L160" s="103" t="n"/>
      <c r="M160" s="103" t="n"/>
      <c r="N160" s="103" t="n"/>
    </row>
    <row r="161" ht="14.25" customHeight="1">
      <c r="A161" s="103" t="n"/>
      <c r="B161" s="103" t="n"/>
      <c r="C161" s="103" t="n"/>
      <c r="D161" s="103" t="n"/>
      <c r="E161" s="103" t="n"/>
      <c r="F161" s="103" t="n"/>
      <c r="G161" s="103" t="n"/>
      <c r="H161" s="103" t="n"/>
      <c r="I161" s="103" t="n"/>
      <c r="J161" s="103" t="n"/>
      <c r="K161" s="103" t="n"/>
      <c r="L161" s="103" t="n"/>
      <c r="M161" s="103" t="n"/>
      <c r="N161" s="103" t="n"/>
    </row>
    <row r="162" ht="14.25" customHeight="1">
      <c r="A162" s="103" t="n"/>
      <c r="B162" s="103" t="n"/>
      <c r="C162" s="103" t="n"/>
      <c r="D162" s="103" t="n"/>
      <c r="E162" s="103" t="n"/>
      <c r="F162" s="103" t="n"/>
      <c r="G162" s="103" t="n"/>
      <c r="H162" s="103" t="n"/>
      <c r="I162" s="103" t="n"/>
      <c r="J162" s="103" t="n"/>
      <c r="K162" s="103" t="n"/>
      <c r="L162" s="103" t="n"/>
      <c r="M162" s="103" t="n"/>
      <c r="N162" s="103" t="n"/>
    </row>
    <row r="163" ht="14.25" customHeight="1">
      <c r="A163" s="103" t="n"/>
      <c r="B163" s="103" t="n"/>
      <c r="C163" s="103" t="n"/>
      <c r="D163" s="103" t="n"/>
      <c r="E163" s="103" t="n"/>
      <c r="F163" s="103" t="n"/>
      <c r="G163" s="103" t="n"/>
      <c r="H163" s="103" t="n"/>
      <c r="I163" s="103" t="n"/>
      <c r="J163" s="103" t="n"/>
      <c r="K163" s="103" t="n"/>
      <c r="L163" s="103" t="n"/>
      <c r="M163" s="103" t="n"/>
      <c r="N163" s="103" t="n"/>
    </row>
    <row r="164" ht="14.25" customHeight="1">
      <c r="A164" s="103" t="n"/>
      <c r="B164" s="103" t="n"/>
      <c r="C164" s="103" t="n"/>
      <c r="D164" s="103" t="n"/>
      <c r="E164" s="103" t="n"/>
      <c r="F164" s="103" t="n"/>
      <c r="G164" s="103" t="n"/>
      <c r="H164" s="103" t="n"/>
      <c r="I164" s="103" t="n"/>
      <c r="J164" s="103" t="n"/>
      <c r="K164" s="103" t="n"/>
      <c r="L164" s="103" t="n"/>
      <c r="M164" s="103" t="n"/>
      <c r="N164" s="103" t="n"/>
    </row>
    <row r="165" ht="14.25" customHeight="1">
      <c r="A165" s="103" t="n"/>
      <c r="B165" s="103" t="n"/>
      <c r="C165" s="103" t="n"/>
      <c r="D165" s="103" t="n"/>
      <c r="E165" s="103" t="n"/>
      <c r="F165" s="103" t="n"/>
      <c r="G165" s="103" t="n"/>
      <c r="H165" s="103" t="n"/>
      <c r="I165" s="103" t="n"/>
      <c r="J165" s="103" t="n"/>
      <c r="K165" s="103" t="n"/>
      <c r="L165" s="103" t="n"/>
      <c r="M165" s="103" t="n"/>
      <c r="N165" s="103" t="n"/>
    </row>
    <row r="166" ht="14.25" customHeight="1">
      <c r="A166" s="103" t="n"/>
      <c r="B166" s="103" t="n"/>
      <c r="C166" s="103" t="n"/>
      <c r="D166" s="103" t="n"/>
      <c r="E166" s="103" t="n"/>
      <c r="F166" s="103" t="n"/>
      <c r="G166" s="103" t="n"/>
      <c r="H166" s="103" t="n"/>
      <c r="I166" s="103" t="n"/>
      <c r="J166" s="103" t="n"/>
      <c r="K166" s="103" t="n"/>
      <c r="L166" s="103" t="n"/>
      <c r="M166" s="103" t="n"/>
      <c r="N166" s="103" t="n"/>
    </row>
    <row r="167" ht="14.25" customHeight="1">
      <c r="A167" s="103" t="n"/>
      <c r="B167" s="103" t="n"/>
      <c r="C167" s="103" t="n"/>
      <c r="D167" s="103" t="n"/>
      <c r="E167" s="103" t="n"/>
      <c r="F167" s="103" t="n"/>
      <c r="G167" s="103" t="n"/>
      <c r="H167" s="103" t="n"/>
      <c r="I167" s="103" t="n"/>
      <c r="J167" s="103" t="n"/>
      <c r="K167" s="103" t="n"/>
      <c r="L167" s="103" t="n"/>
      <c r="M167" s="103" t="n"/>
      <c r="N167" s="103" t="n"/>
    </row>
    <row r="168" ht="14.25" customHeight="1">
      <c r="A168" s="103" t="n"/>
      <c r="B168" s="103" t="n"/>
      <c r="C168" s="103" t="n"/>
      <c r="D168" s="103" t="n"/>
      <c r="E168" s="103" t="n"/>
      <c r="F168" s="103" t="n"/>
      <c r="G168" s="103" t="n"/>
      <c r="H168" s="103" t="n"/>
      <c r="I168" s="103" t="n"/>
      <c r="J168" s="103" t="n"/>
      <c r="K168" s="103" t="n"/>
      <c r="L168" s="103" t="n"/>
      <c r="M168" s="103" t="n"/>
      <c r="N168" s="103" t="n"/>
    </row>
    <row r="169" ht="14.25" customHeight="1">
      <c r="A169" s="103" t="n"/>
      <c r="B169" s="103" t="n"/>
      <c r="C169" s="103" t="n"/>
      <c r="D169" s="103" t="n"/>
      <c r="E169" s="103" t="n"/>
      <c r="F169" s="103" t="n"/>
      <c r="G169" s="103" t="n"/>
      <c r="H169" s="103" t="n"/>
      <c r="I169" s="103" t="n"/>
      <c r="J169" s="103" t="n"/>
      <c r="K169" s="103" t="n"/>
      <c r="L169" s="103" t="n"/>
      <c r="M169" s="103" t="n"/>
      <c r="N169" s="103" t="n"/>
    </row>
    <row r="170" ht="14.25" customHeight="1">
      <c r="A170" s="103" t="n"/>
      <c r="B170" s="103" t="n"/>
      <c r="C170" s="103" t="n"/>
      <c r="D170" s="103" t="n"/>
      <c r="E170" s="103" t="n"/>
      <c r="F170" s="103" t="n"/>
      <c r="G170" s="103" t="n"/>
      <c r="H170" s="103" t="n"/>
      <c r="I170" s="103" t="n"/>
      <c r="J170" s="103" t="n"/>
      <c r="K170" s="103" t="n"/>
      <c r="L170" s="103" t="n"/>
      <c r="M170" s="103" t="n"/>
      <c r="N170" s="103" t="n"/>
    </row>
    <row r="171" ht="14.25" customHeight="1">
      <c r="A171" s="103" t="n"/>
      <c r="B171" s="103" t="n"/>
      <c r="C171" s="103" t="n"/>
      <c r="D171" s="103" t="n"/>
      <c r="E171" s="103" t="n"/>
      <c r="F171" s="103" t="n"/>
      <c r="G171" s="103" t="n"/>
      <c r="H171" s="103" t="n"/>
      <c r="I171" s="103" t="n"/>
      <c r="J171" s="103" t="n"/>
      <c r="K171" s="103" t="n"/>
      <c r="L171" s="103" t="n"/>
      <c r="M171" s="103" t="n"/>
      <c r="N171" s="103" t="n"/>
    </row>
    <row r="172" ht="14.25" customHeight="1">
      <c r="A172" s="103" t="n"/>
      <c r="B172" s="103" t="n"/>
      <c r="C172" s="103" t="n"/>
      <c r="D172" s="103" t="n"/>
      <c r="E172" s="103" t="n"/>
      <c r="F172" s="103" t="n"/>
      <c r="G172" s="103" t="n"/>
      <c r="H172" s="103" t="n"/>
      <c r="I172" s="103" t="n"/>
      <c r="J172" s="103" t="n"/>
      <c r="K172" s="103" t="n"/>
      <c r="L172" s="103" t="n"/>
      <c r="M172" s="103" t="n"/>
      <c r="N172" s="103" t="n"/>
    </row>
    <row r="173" ht="14.25" customHeight="1">
      <c r="A173" s="103" t="n"/>
      <c r="B173" s="103" t="n"/>
      <c r="C173" s="103" t="n"/>
      <c r="D173" s="103" t="n"/>
      <c r="E173" s="103" t="n"/>
      <c r="F173" s="103" t="n"/>
      <c r="G173" s="103" t="n"/>
      <c r="H173" s="103" t="n"/>
      <c r="I173" s="103" t="n"/>
      <c r="J173" s="103" t="n"/>
      <c r="K173" s="103" t="n"/>
      <c r="L173" s="103" t="n"/>
      <c r="M173" s="103" t="n"/>
      <c r="N173" s="103" t="n"/>
    </row>
    <row r="174" ht="14.25" customHeight="1">
      <c r="A174" s="103" t="n"/>
      <c r="B174" s="103" t="n"/>
      <c r="C174" s="103" t="n"/>
      <c r="D174" s="103" t="n"/>
      <c r="E174" s="103" t="n"/>
      <c r="F174" s="103" t="n"/>
      <c r="G174" s="103" t="n"/>
      <c r="H174" s="103" t="n"/>
      <c r="I174" s="103" t="n"/>
      <c r="J174" s="103" t="n"/>
      <c r="K174" s="103" t="n"/>
      <c r="L174" s="103" t="n"/>
      <c r="M174" s="103" t="n"/>
      <c r="N174" s="103" t="n"/>
    </row>
    <row r="175" ht="14.25" customHeight="1">
      <c r="A175" s="103" t="n"/>
      <c r="B175" s="103" t="n"/>
      <c r="C175" s="103" t="n"/>
      <c r="D175" s="103" t="n"/>
      <c r="E175" s="103" t="n"/>
      <c r="F175" s="103" t="n"/>
      <c r="G175" s="103" t="n"/>
      <c r="H175" s="103" t="n"/>
      <c r="I175" s="103" t="n"/>
      <c r="J175" s="103" t="n"/>
      <c r="K175" s="103" t="n"/>
      <c r="L175" s="103" t="n"/>
      <c r="M175" s="103" t="n"/>
      <c r="N175" s="103" t="n"/>
    </row>
    <row r="176" ht="14.25" customHeight="1">
      <c r="A176" s="103" t="n"/>
      <c r="B176" s="103" t="n"/>
      <c r="C176" s="103" t="n"/>
      <c r="D176" s="103" t="n"/>
      <c r="E176" s="103" t="n"/>
      <c r="F176" s="103" t="n"/>
      <c r="G176" s="103" t="n"/>
      <c r="H176" s="103" t="n"/>
      <c r="I176" s="103" t="n"/>
      <c r="J176" s="103" t="n"/>
      <c r="K176" s="103" t="n"/>
      <c r="L176" s="103" t="n"/>
      <c r="M176" s="103" t="n"/>
      <c r="N176" s="103" t="n"/>
    </row>
    <row r="177" ht="14.25" customHeight="1">
      <c r="A177" s="103" t="n"/>
      <c r="B177" s="103" t="n"/>
      <c r="C177" s="103" t="n"/>
      <c r="D177" s="103" t="n"/>
      <c r="E177" s="103" t="n"/>
      <c r="F177" s="103" t="n"/>
      <c r="G177" s="103" t="n"/>
      <c r="H177" s="103" t="n"/>
      <c r="I177" s="103" t="n"/>
      <c r="J177" s="103" t="n"/>
      <c r="K177" s="103" t="n"/>
      <c r="L177" s="103" t="n"/>
      <c r="M177" s="103" t="n"/>
      <c r="N177" s="103" t="n"/>
    </row>
    <row r="178" ht="14.25" customHeight="1">
      <c r="A178" s="103" t="n"/>
      <c r="B178" s="103" t="n"/>
      <c r="C178" s="103" t="n"/>
      <c r="D178" s="103" t="n"/>
      <c r="E178" s="103" t="n"/>
      <c r="F178" s="103" t="n"/>
      <c r="G178" s="103" t="n"/>
      <c r="H178" s="103" t="n"/>
      <c r="I178" s="103" t="n"/>
      <c r="J178" s="103" t="n"/>
      <c r="K178" s="103" t="n"/>
      <c r="L178" s="103" t="n"/>
      <c r="M178" s="103" t="n"/>
      <c r="N178" s="103" t="n"/>
    </row>
    <row r="179" ht="14.25" customHeight="1">
      <c r="A179" s="103" t="n"/>
      <c r="B179" s="103" t="n"/>
      <c r="C179" s="103" t="n"/>
      <c r="D179" s="103" t="n"/>
      <c r="E179" s="103" t="n"/>
      <c r="F179" s="103" t="n"/>
      <c r="G179" s="103" t="n"/>
      <c r="H179" s="103" t="n"/>
      <c r="I179" s="103" t="n"/>
      <c r="J179" s="103" t="n"/>
      <c r="K179" s="103" t="n"/>
      <c r="L179" s="103" t="n"/>
      <c r="M179" s="103" t="n"/>
      <c r="N179" s="103" t="n"/>
    </row>
    <row r="180" ht="14.25" customHeight="1">
      <c r="A180" s="103" t="n"/>
      <c r="B180" s="103" t="n"/>
      <c r="C180" s="103" t="n"/>
      <c r="D180" s="103" t="n"/>
      <c r="E180" s="103" t="n"/>
      <c r="F180" s="103" t="n"/>
      <c r="G180" s="103" t="n"/>
      <c r="H180" s="103" t="n"/>
      <c r="I180" s="103" t="n"/>
      <c r="J180" s="103" t="n"/>
      <c r="K180" s="103" t="n"/>
      <c r="L180" s="103" t="n"/>
      <c r="M180" s="103" t="n"/>
      <c r="N180" s="103" t="n"/>
    </row>
    <row r="181" ht="14.25" customHeight="1">
      <c r="A181" s="103" t="n"/>
      <c r="B181" s="103" t="n"/>
      <c r="C181" s="103" t="n"/>
      <c r="D181" s="103" t="n"/>
      <c r="E181" s="103" t="n"/>
      <c r="F181" s="103" t="n"/>
      <c r="G181" s="103" t="n"/>
      <c r="H181" s="103" t="n"/>
      <c r="I181" s="103" t="n"/>
      <c r="J181" s="103" t="n"/>
      <c r="K181" s="103" t="n"/>
      <c r="L181" s="103" t="n"/>
      <c r="M181" s="103" t="n"/>
      <c r="N181" s="103" t="n"/>
    </row>
    <row r="182" ht="14.25" customHeight="1">
      <c r="A182" s="103" t="n"/>
      <c r="B182" s="103" t="n"/>
      <c r="C182" s="103" t="n"/>
      <c r="D182" s="103" t="n"/>
      <c r="E182" s="103" t="n"/>
      <c r="F182" s="103" t="n"/>
      <c r="G182" s="103" t="n"/>
      <c r="H182" s="103" t="n"/>
      <c r="I182" s="103" t="n"/>
      <c r="J182" s="103" t="n"/>
      <c r="K182" s="103" t="n"/>
      <c r="L182" s="103" t="n"/>
      <c r="M182" s="103" t="n"/>
      <c r="N182" s="103" t="n"/>
    </row>
    <row r="183" ht="14.25" customHeight="1">
      <c r="A183" s="103" t="n"/>
      <c r="B183" s="103" t="n"/>
      <c r="C183" s="103" t="n"/>
      <c r="D183" s="103" t="n"/>
      <c r="E183" s="103" t="n"/>
      <c r="F183" s="103" t="n"/>
      <c r="G183" s="103" t="n"/>
      <c r="H183" s="103" t="n"/>
      <c r="I183" s="103" t="n"/>
      <c r="J183" s="103" t="n"/>
      <c r="K183" s="103" t="n"/>
      <c r="L183" s="103" t="n"/>
      <c r="M183" s="103" t="n"/>
      <c r="N183" s="103" t="n"/>
    </row>
    <row r="184" ht="14.25" customHeight="1">
      <c r="A184" s="103" t="n"/>
      <c r="B184" s="103" t="n"/>
      <c r="C184" s="103" t="n"/>
      <c r="D184" s="103" t="n"/>
      <c r="E184" s="103" t="n"/>
      <c r="F184" s="103" t="n"/>
      <c r="G184" s="103" t="n"/>
      <c r="H184" s="103" t="n"/>
      <c r="I184" s="103" t="n"/>
      <c r="J184" s="103" t="n"/>
      <c r="K184" s="103" t="n"/>
      <c r="L184" s="103" t="n"/>
      <c r="M184" s="103" t="n"/>
      <c r="N184" s="103" t="n"/>
    </row>
    <row r="185" ht="14.25" customHeight="1">
      <c r="A185" s="103" t="n"/>
      <c r="B185" s="103" t="n"/>
      <c r="C185" s="103" t="n"/>
      <c r="D185" s="103" t="n"/>
      <c r="E185" s="103" t="n"/>
      <c r="F185" s="103" t="n"/>
      <c r="G185" s="103" t="n"/>
      <c r="H185" s="103" t="n"/>
      <c r="I185" s="103" t="n"/>
      <c r="J185" s="103" t="n"/>
      <c r="K185" s="103" t="n"/>
      <c r="L185" s="103" t="n"/>
      <c r="M185" s="103" t="n"/>
      <c r="N185" s="103" t="n"/>
    </row>
    <row r="186" ht="14.25" customHeight="1">
      <c r="A186" s="103" t="n"/>
      <c r="B186" s="103" t="n"/>
      <c r="C186" s="103" t="n"/>
      <c r="D186" s="103" t="n"/>
      <c r="E186" s="103" t="n"/>
      <c r="F186" s="103" t="n"/>
      <c r="G186" s="103" t="n"/>
      <c r="H186" s="103" t="n"/>
      <c r="I186" s="103" t="n"/>
      <c r="J186" s="103" t="n"/>
      <c r="K186" s="103" t="n"/>
      <c r="L186" s="103" t="n"/>
      <c r="M186" s="103" t="n"/>
      <c r="N186" s="103" t="n"/>
    </row>
    <row r="187" ht="14.25" customHeight="1">
      <c r="A187" s="103" t="n"/>
      <c r="B187" s="103" t="n"/>
      <c r="C187" s="103" t="n"/>
      <c r="D187" s="103" t="n"/>
      <c r="E187" s="103" t="n"/>
      <c r="F187" s="103" t="n"/>
      <c r="G187" s="103" t="n"/>
      <c r="H187" s="103" t="n"/>
      <c r="I187" s="103" t="n"/>
      <c r="J187" s="103" t="n"/>
      <c r="K187" s="103" t="n"/>
      <c r="L187" s="103" t="n"/>
      <c r="M187" s="103" t="n"/>
      <c r="N187" s="103" t="n"/>
    </row>
    <row r="188" ht="14.25" customHeight="1">
      <c r="A188" s="103" t="n"/>
      <c r="B188" s="103" t="n"/>
      <c r="C188" s="103" t="n"/>
      <c r="D188" s="103" t="n"/>
      <c r="E188" s="103" t="n"/>
      <c r="F188" s="103" t="n"/>
      <c r="G188" s="103" t="n"/>
      <c r="H188" s="103" t="n"/>
      <c r="I188" s="103" t="n"/>
      <c r="J188" s="103" t="n"/>
      <c r="K188" s="103" t="n"/>
      <c r="L188" s="103" t="n"/>
      <c r="M188" s="103" t="n"/>
      <c r="N188" s="103" t="n"/>
    </row>
    <row r="189" ht="14.25" customHeight="1">
      <c r="A189" s="103" t="n"/>
      <c r="B189" s="103" t="n"/>
      <c r="C189" s="103" t="n"/>
      <c r="D189" s="103" t="n"/>
      <c r="E189" s="103" t="n"/>
      <c r="F189" s="103" t="n"/>
      <c r="G189" s="103" t="n"/>
      <c r="H189" s="103" t="n"/>
      <c r="I189" s="103" t="n"/>
      <c r="J189" s="103" t="n"/>
      <c r="K189" s="103" t="n"/>
      <c r="L189" s="103" t="n"/>
      <c r="M189" s="103" t="n"/>
      <c r="N189" s="103" t="n"/>
    </row>
    <row r="190" ht="14.25" customHeight="1">
      <c r="A190" s="103" t="n"/>
      <c r="B190" s="103" t="n"/>
      <c r="C190" s="103" t="n"/>
      <c r="D190" s="103" t="n"/>
      <c r="E190" s="103" t="n"/>
      <c r="F190" s="103" t="n"/>
      <c r="G190" s="103" t="n"/>
      <c r="H190" s="103" t="n"/>
      <c r="I190" s="103" t="n"/>
      <c r="J190" s="103" t="n"/>
      <c r="K190" s="103" t="n"/>
      <c r="L190" s="103" t="n"/>
      <c r="M190" s="103" t="n"/>
      <c r="N190" s="103" t="n"/>
    </row>
    <row r="191" ht="14.25" customHeight="1">
      <c r="A191" s="103" t="n"/>
      <c r="B191" s="103" t="n"/>
      <c r="C191" s="103" t="n"/>
      <c r="D191" s="103" t="n"/>
      <c r="E191" s="103" t="n"/>
      <c r="F191" s="103" t="n"/>
      <c r="G191" s="103" t="n"/>
      <c r="H191" s="103" t="n"/>
      <c r="I191" s="103" t="n"/>
      <c r="J191" s="103" t="n"/>
      <c r="K191" s="103" t="n"/>
      <c r="L191" s="103" t="n"/>
      <c r="M191" s="103" t="n"/>
      <c r="N191" s="103" t="n"/>
    </row>
    <row r="192" ht="14.25" customHeight="1">
      <c r="A192" s="103" t="n"/>
      <c r="B192" s="103" t="n"/>
      <c r="C192" s="103" t="n"/>
      <c r="D192" s="103" t="n"/>
      <c r="E192" s="103" t="n"/>
      <c r="F192" s="103" t="n"/>
      <c r="G192" s="103" t="n"/>
      <c r="H192" s="103" t="n"/>
      <c r="I192" s="103" t="n"/>
      <c r="J192" s="103" t="n"/>
      <c r="K192" s="103" t="n"/>
      <c r="L192" s="103" t="n"/>
      <c r="M192" s="103" t="n"/>
      <c r="N192" s="103" t="n"/>
    </row>
    <row r="193" ht="14.25" customHeight="1">
      <c r="A193" s="103" t="n"/>
      <c r="B193" s="103" t="n"/>
      <c r="C193" s="103" t="n"/>
      <c r="D193" s="103" t="n"/>
      <c r="E193" s="103" t="n"/>
      <c r="F193" s="103" t="n"/>
      <c r="G193" s="103" t="n"/>
      <c r="H193" s="103" t="n"/>
      <c r="I193" s="103" t="n"/>
      <c r="J193" s="103" t="n"/>
      <c r="K193" s="103" t="n"/>
      <c r="L193" s="103" t="n"/>
      <c r="M193" s="103" t="n"/>
      <c r="N193" s="103" t="n"/>
    </row>
    <row r="194" ht="14.25" customHeight="1">
      <c r="A194" s="103" t="n"/>
      <c r="B194" s="103" t="n"/>
      <c r="C194" s="103" t="n"/>
      <c r="D194" s="103" t="n"/>
      <c r="E194" s="103" t="n"/>
      <c r="F194" s="103" t="n"/>
      <c r="G194" s="103" t="n"/>
      <c r="H194" s="103" t="n"/>
      <c r="I194" s="103" t="n"/>
      <c r="J194" s="103" t="n"/>
      <c r="K194" s="103" t="n"/>
      <c r="L194" s="103" t="n"/>
      <c r="M194" s="103" t="n"/>
      <c r="N194" s="103" t="n"/>
    </row>
    <row r="195" ht="14.25" customHeight="1">
      <c r="A195" s="103" t="n"/>
      <c r="B195" s="103" t="n"/>
      <c r="C195" s="103" t="n"/>
      <c r="D195" s="103" t="n"/>
      <c r="E195" s="103" t="n"/>
      <c r="F195" s="103" t="n"/>
      <c r="G195" s="103" t="n"/>
      <c r="H195" s="103" t="n"/>
      <c r="I195" s="103" t="n"/>
      <c r="J195" s="103" t="n"/>
      <c r="K195" s="103" t="n"/>
      <c r="L195" s="103" t="n"/>
      <c r="M195" s="103" t="n"/>
      <c r="N195" s="103" t="n"/>
    </row>
    <row r="196" ht="14.25" customHeight="1">
      <c r="A196" s="103" t="n"/>
      <c r="B196" s="103" t="n"/>
      <c r="C196" s="103" t="n"/>
      <c r="D196" s="103" t="n"/>
      <c r="E196" s="103" t="n"/>
      <c r="F196" s="103" t="n"/>
      <c r="G196" s="103" t="n"/>
      <c r="H196" s="103" t="n"/>
      <c r="I196" s="103" t="n"/>
      <c r="J196" s="103" t="n"/>
      <c r="K196" s="103" t="n"/>
      <c r="L196" s="103" t="n"/>
      <c r="M196" s="103" t="n"/>
      <c r="N196" s="103" t="n"/>
    </row>
    <row r="197" ht="14.25" customHeight="1">
      <c r="A197" s="103" t="n"/>
      <c r="B197" s="103" t="n"/>
      <c r="C197" s="103" t="n"/>
      <c r="D197" s="103" t="n"/>
      <c r="E197" s="103" t="n"/>
      <c r="F197" s="103" t="n"/>
      <c r="G197" s="103" t="n"/>
      <c r="H197" s="103" t="n"/>
      <c r="I197" s="103" t="n"/>
      <c r="J197" s="103" t="n"/>
      <c r="K197" s="103" t="n"/>
      <c r="L197" s="103" t="n"/>
      <c r="M197" s="103" t="n"/>
      <c r="N197" s="103" t="n"/>
    </row>
    <row r="198" ht="14.25" customHeight="1">
      <c r="A198" s="103" t="n"/>
      <c r="B198" s="103" t="n"/>
      <c r="C198" s="103" t="n"/>
      <c r="D198" s="103" t="n"/>
      <c r="E198" s="103" t="n"/>
      <c r="F198" s="103" t="n"/>
      <c r="G198" s="103" t="n"/>
      <c r="H198" s="103" t="n"/>
      <c r="I198" s="103" t="n"/>
      <c r="J198" s="103" t="n"/>
      <c r="K198" s="103" t="n"/>
      <c r="L198" s="103" t="n"/>
      <c r="M198" s="103" t="n"/>
      <c r="N198" s="103" t="n"/>
    </row>
    <row r="199" ht="14.25" customHeight="1">
      <c r="A199" s="103" t="n"/>
      <c r="B199" s="103" t="n"/>
      <c r="C199" s="103" t="n"/>
      <c r="D199" s="103" t="n"/>
      <c r="E199" s="103" t="n"/>
      <c r="F199" s="103" t="n"/>
      <c r="G199" s="103" t="n"/>
      <c r="H199" s="103" t="n"/>
      <c r="I199" s="103" t="n"/>
      <c r="J199" s="103" t="n"/>
      <c r="K199" s="103" t="n"/>
      <c r="L199" s="103" t="n"/>
      <c r="M199" s="103" t="n"/>
      <c r="N199" s="103" t="n"/>
    </row>
    <row r="200" ht="14.25" customHeight="1">
      <c r="A200" s="103" t="n"/>
      <c r="B200" s="103" t="n"/>
      <c r="C200" s="103" t="n"/>
      <c r="D200" s="103" t="n"/>
      <c r="E200" s="103" t="n"/>
      <c r="F200" s="103" t="n"/>
      <c r="G200" s="103" t="n"/>
      <c r="H200" s="103" t="n"/>
      <c r="I200" s="103" t="n"/>
      <c r="J200" s="103" t="n"/>
      <c r="K200" s="103" t="n"/>
      <c r="L200" s="103" t="n"/>
      <c r="M200" s="103" t="n"/>
      <c r="N200" s="103" t="n"/>
    </row>
    <row r="201" ht="14.25" customHeight="1">
      <c r="A201" s="103" t="n"/>
      <c r="B201" s="103" t="n"/>
      <c r="C201" s="103" t="n"/>
      <c r="D201" s="103" t="n"/>
      <c r="E201" s="103" t="n"/>
      <c r="F201" s="103" t="n"/>
      <c r="G201" s="103" t="n"/>
      <c r="H201" s="103" t="n"/>
      <c r="I201" s="103" t="n"/>
      <c r="J201" s="103" t="n"/>
      <c r="K201" s="103" t="n"/>
      <c r="L201" s="103" t="n"/>
      <c r="M201" s="103" t="n"/>
      <c r="N201" s="103" t="n"/>
    </row>
    <row r="202" ht="14.25" customHeight="1">
      <c r="A202" s="103" t="n"/>
      <c r="B202" s="103" t="n"/>
      <c r="C202" s="103" t="n"/>
      <c r="D202" s="103" t="n"/>
      <c r="E202" s="103" t="n"/>
      <c r="F202" s="103" t="n"/>
      <c r="G202" s="103" t="n"/>
      <c r="H202" s="103" t="n"/>
      <c r="I202" s="103" t="n"/>
      <c r="J202" s="103" t="n"/>
      <c r="K202" s="103" t="n"/>
      <c r="L202" s="103" t="n"/>
      <c r="M202" s="103" t="n"/>
      <c r="N202" s="103" t="n"/>
    </row>
    <row r="203" ht="14.25" customHeight="1">
      <c r="A203" s="103" t="n"/>
      <c r="B203" s="103" t="n"/>
      <c r="C203" s="103" t="n"/>
      <c r="D203" s="103" t="n"/>
      <c r="E203" s="103" t="n"/>
      <c r="F203" s="103" t="n"/>
      <c r="G203" s="103" t="n"/>
      <c r="H203" s="103" t="n"/>
      <c r="I203" s="103" t="n"/>
      <c r="J203" s="103" t="n"/>
      <c r="K203" s="103" t="n"/>
      <c r="L203" s="103" t="n"/>
      <c r="M203" s="103" t="n"/>
      <c r="N203" s="103" t="n"/>
    </row>
    <row r="204" ht="14.25" customHeight="1">
      <c r="A204" s="103" t="n"/>
      <c r="B204" s="103" t="n"/>
      <c r="C204" s="103" t="n"/>
      <c r="D204" s="103" t="n"/>
      <c r="E204" s="103" t="n"/>
      <c r="F204" s="103" t="n"/>
      <c r="G204" s="103" t="n"/>
      <c r="H204" s="103" t="n"/>
      <c r="I204" s="103" t="n"/>
      <c r="J204" s="103" t="n"/>
      <c r="K204" s="103" t="n"/>
      <c r="L204" s="103" t="n"/>
      <c r="M204" s="103" t="n"/>
      <c r="N204" s="103" t="n"/>
    </row>
    <row r="205" ht="14.25" customHeight="1">
      <c r="A205" s="103" t="n"/>
      <c r="B205" s="103" t="n"/>
      <c r="C205" s="103" t="n"/>
      <c r="D205" s="103" t="n"/>
      <c r="E205" s="103" t="n"/>
      <c r="F205" s="103" t="n"/>
      <c r="G205" s="103" t="n"/>
      <c r="H205" s="103" t="n"/>
      <c r="I205" s="103" t="n"/>
      <c r="J205" s="103" t="n"/>
      <c r="K205" s="103" t="n"/>
      <c r="L205" s="103" t="n"/>
      <c r="M205" s="103" t="n"/>
      <c r="N205" s="103" t="n"/>
    </row>
    <row r="206" ht="14.25" customHeight="1">
      <c r="A206" s="103" t="n"/>
      <c r="B206" s="103" t="n"/>
      <c r="C206" s="103" t="n"/>
      <c r="D206" s="103" t="n"/>
      <c r="E206" s="103" t="n"/>
      <c r="F206" s="103" t="n"/>
      <c r="G206" s="103" t="n"/>
      <c r="H206" s="103" t="n"/>
      <c r="I206" s="103" t="n"/>
      <c r="J206" s="103" t="n"/>
      <c r="K206" s="103" t="n"/>
      <c r="L206" s="103" t="n"/>
      <c r="M206" s="103" t="n"/>
      <c r="N206" s="103" t="n"/>
    </row>
    <row r="207" ht="14.25" customHeight="1">
      <c r="A207" s="103" t="n"/>
      <c r="B207" s="103" t="n"/>
      <c r="C207" s="103" t="n"/>
      <c r="D207" s="103" t="n"/>
      <c r="E207" s="103" t="n"/>
      <c r="F207" s="103" t="n"/>
      <c r="G207" s="103" t="n"/>
      <c r="H207" s="103" t="n"/>
      <c r="I207" s="103" t="n"/>
      <c r="J207" s="103" t="n"/>
      <c r="K207" s="103" t="n"/>
      <c r="L207" s="103" t="n"/>
      <c r="M207" s="103" t="n"/>
      <c r="N207" s="103" t="n"/>
    </row>
    <row r="208" ht="14.25" customHeight="1">
      <c r="A208" s="103" t="n"/>
      <c r="B208" s="103" t="n"/>
      <c r="C208" s="103" t="n"/>
      <c r="D208" s="103" t="n"/>
      <c r="E208" s="103" t="n"/>
      <c r="F208" s="103" t="n"/>
      <c r="G208" s="103" t="n"/>
      <c r="H208" s="103" t="n"/>
      <c r="I208" s="103" t="n"/>
      <c r="J208" s="103" t="n"/>
      <c r="K208" s="103" t="n"/>
      <c r="L208" s="103" t="n"/>
      <c r="M208" s="103" t="n"/>
      <c r="N208" s="103" t="n"/>
    </row>
    <row r="209" ht="14.25" customHeight="1">
      <c r="A209" s="103" t="n"/>
      <c r="B209" s="103" t="n"/>
      <c r="C209" s="103" t="n"/>
      <c r="D209" s="103" t="n"/>
      <c r="E209" s="103" t="n"/>
      <c r="F209" s="103" t="n"/>
      <c r="G209" s="103" t="n"/>
      <c r="H209" s="103" t="n"/>
      <c r="I209" s="103" t="n"/>
      <c r="J209" s="103" t="n"/>
      <c r="K209" s="103" t="n"/>
      <c r="L209" s="103" t="n"/>
      <c r="M209" s="103" t="n"/>
      <c r="N209" s="103" t="n"/>
    </row>
    <row r="210" ht="14.25" customHeight="1">
      <c r="A210" s="103" t="n"/>
      <c r="B210" s="103" t="n"/>
      <c r="C210" s="103" t="n"/>
      <c r="D210" s="103" t="n"/>
      <c r="E210" s="103" t="n"/>
      <c r="F210" s="103" t="n"/>
      <c r="G210" s="103" t="n"/>
      <c r="H210" s="103" t="n"/>
      <c r="I210" s="103" t="n"/>
      <c r="J210" s="103" t="n"/>
      <c r="K210" s="103" t="n"/>
      <c r="L210" s="103" t="n"/>
      <c r="M210" s="103" t="n"/>
      <c r="N210" s="103" t="n"/>
    </row>
    <row r="211" ht="14.25" customHeight="1">
      <c r="A211" s="103" t="n"/>
      <c r="B211" s="103" t="n"/>
      <c r="C211" s="103" t="n"/>
      <c r="D211" s="103" t="n"/>
      <c r="E211" s="103" t="n"/>
      <c r="F211" s="103" t="n"/>
      <c r="G211" s="103" t="n"/>
      <c r="H211" s="103" t="n"/>
      <c r="I211" s="103" t="n"/>
      <c r="J211" s="103" t="n"/>
      <c r="K211" s="103" t="n"/>
      <c r="L211" s="103" t="n"/>
      <c r="M211" s="103" t="n"/>
      <c r="N211" s="103" t="n"/>
    </row>
    <row r="212" ht="14.25" customHeight="1">
      <c r="A212" s="103" t="n"/>
      <c r="B212" s="103" t="n"/>
      <c r="C212" s="103" t="n"/>
      <c r="D212" s="103" t="n"/>
      <c r="E212" s="103" t="n"/>
      <c r="F212" s="103" t="n"/>
      <c r="G212" s="103" t="n"/>
      <c r="H212" s="103" t="n"/>
      <c r="I212" s="103" t="n"/>
      <c r="J212" s="103" t="n"/>
      <c r="K212" s="103" t="n"/>
      <c r="L212" s="103" t="n"/>
      <c r="M212" s="103" t="n"/>
      <c r="N212" s="103" t="n"/>
    </row>
    <row r="213" ht="14.25" customHeight="1">
      <c r="A213" s="103" t="n"/>
      <c r="B213" s="103" t="n"/>
      <c r="C213" s="103" t="n"/>
      <c r="D213" s="103" t="n"/>
      <c r="E213" s="103" t="n"/>
      <c r="F213" s="103" t="n"/>
      <c r="G213" s="103" t="n"/>
      <c r="H213" s="103" t="n"/>
      <c r="I213" s="103" t="n"/>
      <c r="J213" s="103" t="n"/>
      <c r="K213" s="103" t="n"/>
      <c r="L213" s="103" t="n"/>
      <c r="M213" s="103" t="n"/>
      <c r="N213" s="103" t="n"/>
    </row>
    <row r="214" ht="14.25" customHeight="1">
      <c r="A214" s="103" t="n"/>
      <c r="B214" s="103" t="n"/>
      <c r="C214" s="103" t="n"/>
      <c r="D214" s="103" t="n"/>
      <c r="E214" s="103" t="n"/>
      <c r="F214" s="103" t="n"/>
      <c r="G214" s="103" t="n"/>
      <c r="H214" s="103" t="n"/>
      <c r="I214" s="103" t="n"/>
      <c r="J214" s="103" t="n"/>
      <c r="K214" s="103" t="n"/>
      <c r="L214" s="103" t="n"/>
      <c r="M214" s="103" t="n"/>
      <c r="N214" s="103" t="n"/>
    </row>
    <row r="215" ht="14.25" customHeight="1">
      <c r="A215" s="103" t="n"/>
      <c r="B215" s="103" t="n"/>
      <c r="C215" s="103" t="n"/>
      <c r="D215" s="103" t="n"/>
      <c r="E215" s="103" t="n"/>
      <c r="F215" s="103" t="n"/>
      <c r="G215" s="103" t="n"/>
      <c r="H215" s="103" t="n"/>
      <c r="I215" s="103" t="n"/>
      <c r="J215" s="103" t="n"/>
      <c r="K215" s="103" t="n"/>
      <c r="L215" s="103" t="n"/>
      <c r="M215" s="103" t="n"/>
      <c r="N215" s="103" t="n"/>
    </row>
    <row r="216" ht="14.25" customHeight="1">
      <c r="A216" s="103" t="n"/>
      <c r="B216" s="103" t="n"/>
      <c r="C216" s="103" t="n"/>
      <c r="D216" s="103" t="n"/>
      <c r="E216" s="103" t="n"/>
      <c r="F216" s="103" t="n"/>
      <c r="G216" s="103" t="n"/>
      <c r="H216" s="103" t="n"/>
      <c r="I216" s="103" t="n"/>
      <c r="J216" s="103" t="n"/>
      <c r="K216" s="103" t="n"/>
      <c r="L216" s="103" t="n"/>
      <c r="M216" s="103" t="n"/>
      <c r="N216" s="103" t="n"/>
    </row>
    <row r="217" ht="14.25" customHeight="1">
      <c r="A217" s="103" t="n"/>
      <c r="B217" s="103" t="n"/>
      <c r="C217" s="103" t="n"/>
      <c r="D217" s="103" t="n"/>
      <c r="E217" s="103" t="n"/>
      <c r="F217" s="103" t="n"/>
      <c r="G217" s="103" t="n"/>
      <c r="H217" s="103" t="n"/>
      <c r="I217" s="103" t="n"/>
      <c r="J217" s="103" t="n"/>
      <c r="K217" s="103" t="n"/>
      <c r="L217" s="103" t="n"/>
      <c r="M217" s="103" t="n"/>
      <c r="N217" s="103" t="n"/>
    </row>
    <row r="218" ht="14.25" customHeight="1">
      <c r="A218" s="103" t="n"/>
      <c r="B218" s="103" t="n"/>
      <c r="C218" s="103" t="n"/>
      <c r="D218" s="103" t="n"/>
      <c r="E218" s="103" t="n"/>
      <c r="F218" s="103" t="n"/>
      <c r="G218" s="103" t="n"/>
      <c r="H218" s="103" t="n"/>
      <c r="I218" s="103" t="n"/>
      <c r="J218" s="103" t="n"/>
      <c r="K218" s="103" t="n"/>
      <c r="L218" s="103" t="n"/>
      <c r="M218" s="103" t="n"/>
      <c r="N218" s="103" t="n"/>
    </row>
    <row r="219" ht="14.25" customHeight="1">
      <c r="A219" s="103" t="n"/>
      <c r="B219" s="103" t="n"/>
      <c r="C219" s="103" t="n"/>
      <c r="D219" s="103" t="n"/>
      <c r="E219" s="103" t="n"/>
      <c r="F219" s="103" t="n"/>
      <c r="G219" s="103" t="n"/>
      <c r="H219" s="103" t="n"/>
      <c r="I219" s="103" t="n"/>
      <c r="J219" s="103" t="n"/>
      <c r="K219" s="103" t="n"/>
      <c r="L219" s="103" t="n"/>
      <c r="M219" s="103" t="n"/>
      <c r="N219" s="103" t="n"/>
    </row>
    <row r="220" ht="14.25" customHeight="1">
      <c r="A220" s="103" t="n"/>
      <c r="B220" s="103" t="n"/>
      <c r="C220" s="103" t="n"/>
      <c r="D220" s="103" t="n"/>
      <c r="E220" s="103" t="n"/>
      <c r="F220" s="103" t="n"/>
      <c r="G220" s="103" t="n"/>
      <c r="H220" s="103" t="n"/>
      <c r="I220" s="103" t="n"/>
      <c r="J220" s="103" t="n"/>
      <c r="K220" s="103" t="n"/>
      <c r="L220" s="103" t="n"/>
      <c r="M220" s="103" t="n"/>
      <c r="N220" s="103" t="n"/>
    </row>
    <row r="221" ht="14.25" customHeight="1">
      <c r="A221" s="103" t="n"/>
      <c r="B221" s="103" t="n"/>
      <c r="C221" s="103" t="n"/>
      <c r="D221" s="103" t="n"/>
      <c r="E221" s="103" t="n"/>
      <c r="F221" s="103" t="n"/>
      <c r="G221" s="103" t="n"/>
      <c r="H221" s="103" t="n"/>
      <c r="I221" s="103" t="n"/>
      <c r="J221" s="103" t="n"/>
      <c r="K221" s="103" t="n"/>
      <c r="L221" s="103" t="n"/>
      <c r="M221" s="103" t="n"/>
      <c r="N221" s="103" t="n"/>
    </row>
    <row r="222" ht="14.25" customHeight="1">
      <c r="A222" s="103" t="n"/>
      <c r="B222" s="103" t="n"/>
      <c r="C222" s="103" t="n"/>
      <c r="D222" s="103" t="n"/>
      <c r="E222" s="103" t="n"/>
      <c r="F222" s="103" t="n"/>
      <c r="G222" s="103" t="n"/>
      <c r="H222" s="103" t="n"/>
      <c r="I222" s="103" t="n"/>
      <c r="J222" s="103" t="n"/>
      <c r="K222" s="103" t="n"/>
      <c r="L222" s="103" t="n"/>
      <c r="M222" s="103" t="n"/>
      <c r="N222" s="103" t="n"/>
    </row>
    <row r="223" ht="14.25" customHeight="1">
      <c r="A223" s="103" t="n"/>
      <c r="B223" s="103" t="n"/>
      <c r="C223" s="103" t="n"/>
      <c r="D223" s="103" t="n"/>
      <c r="E223" s="103" t="n"/>
      <c r="F223" s="103" t="n"/>
      <c r="G223" s="103" t="n"/>
      <c r="H223" s="103" t="n"/>
      <c r="I223" s="103" t="n"/>
      <c r="J223" s="103" t="n"/>
      <c r="K223" s="103" t="n"/>
      <c r="L223" s="103" t="n"/>
      <c r="M223" s="103" t="n"/>
      <c r="N223" s="103" t="n"/>
    </row>
    <row r="224" ht="14.25" customHeight="1">
      <c r="A224" s="103" t="n"/>
      <c r="B224" s="103" t="n"/>
      <c r="C224" s="103" t="n"/>
      <c r="D224" s="103" t="n"/>
      <c r="E224" s="103" t="n"/>
      <c r="F224" s="103" t="n"/>
      <c r="G224" s="103" t="n"/>
      <c r="H224" s="103" t="n"/>
      <c r="I224" s="103" t="n"/>
      <c r="J224" s="103" t="n"/>
      <c r="K224" s="103" t="n"/>
      <c r="L224" s="103" t="n"/>
      <c r="M224" s="103" t="n"/>
      <c r="N224" s="103" t="n"/>
    </row>
    <row r="225" ht="14.25" customHeight="1">
      <c r="A225" s="103" t="n"/>
      <c r="B225" s="103" t="n"/>
      <c r="C225" s="103" t="n"/>
      <c r="D225" s="103" t="n"/>
      <c r="E225" s="103" t="n"/>
      <c r="F225" s="103" t="n"/>
      <c r="G225" s="103" t="n"/>
      <c r="H225" s="103" t="n"/>
      <c r="I225" s="103" t="n"/>
      <c r="J225" s="103" t="n"/>
      <c r="K225" s="103" t="n"/>
      <c r="L225" s="103" t="n"/>
      <c r="M225" s="103" t="n"/>
      <c r="N225" s="103" t="n"/>
    </row>
    <row r="226" ht="14.25" customHeight="1">
      <c r="A226" s="103" t="n"/>
      <c r="B226" s="103" t="n"/>
      <c r="C226" s="103" t="n"/>
      <c r="D226" s="103" t="n"/>
      <c r="E226" s="103" t="n"/>
      <c r="F226" s="103" t="n"/>
      <c r="G226" s="103" t="n"/>
      <c r="H226" s="103" t="n"/>
      <c r="I226" s="103" t="n"/>
      <c r="J226" s="103" t="n"/>
      <c r="K226" s="103" t="n"/>
      <c r="L226" s="103" t="n"/>
      <c r="M226" s="103" t="n"/>
      <c r="N226" s="103" t="n"/>
    </row>
    <row r="227" ht="14.25" customHeight="1">
      <c r="A227" s="103" t="n"/>
      <c r="B227" s="103" t="n"/>
      <c r="C227" s="103" t="n"/>
      <c r="D227" s="103" t="n"/>
      <c r="E227" s="103" t="n"/>
      <c r="F227" s="103" t="n"/>
      <c r="G227" s="103" t="n"/>
      <c r="H227" s="103" t="n"/>
      <c r="I227" s="103" t="n"/>
      <c r="J227" s="103" t="n"/>
      <c r="K227" s="103" t="n"/>
      <c r="L227" s="103" t="n"/>
      <c r="M227" s="103" t="n"/>
      <c r="N227" s="103" t="n"/>
    </row>
    <row r="228" ht="14.25" customHeight="1">
      <c r="A228" s="103" t="n"/>
      <c r="B228" s="103" t="n"/>
      <c r="C228" s="103" t="n"/>
      <c r="D228" s="103" t="n"/>
      <c r="E228" s="103" t="n"/>
      <c r="F228" s="103" t="n"/>
      <c r="G228" s="103" t="n"/>
      <c r="H228" s="103" t="n"/>
      <c r="I228" s="103" t="n"/>
      <c r="J228" s="103" t="n"/>
      <c r="K228" s="103" t="n"/>
      <c r="L228" s="103" t="n"/>
      <c r="M228" s="103" t="n"/>
      <c r="N228" s="103" t="n"/>
    </row>
    <row r="229" ht="14.25" customHeight="1">
      <c r="A229" s="103" t="n"/>
      <c r="B229" s="103" t="n"/>
      <c r="C229" s="103" t="n"/>
      <c r="D229" s="103" t="n"/>
      <c r="E229" s="103" t="n"/>
      <c r="F229" s="103" t="n"/>
      <c r="G229" s="103" t="n"/>
      <c r="H229" s="103" t="n"/>
      <c r="I229" s="103" t="n"/>
      <c r="J229" s="103" t="n"/>
      <c r="K229" s="103" t="n"/>
      <c r="L229" s="103" t="n"/>
      <c r="M229" s="103" t="n"/>
      <c r="N229" s="103" t="n"/>
    </row>
    <row r="230" ht="14.25" customHeight="1">
      <c r="A230" s="103" t="n"/>
      <c r="B230" s="103" t="n"/>
      <c r="C230" s="103" t="n"/>
      <c r="D230" s="103" t="n"/>
      <c r="E230" s="103" t="n"/>
      <c r="F230" s="103" t="n"/>
      <c r="G230" s="103" t="n"/>
      <c r="H230" s="103" t="n"/>
      <c r="I230" s="103" t="n"/>
      <c r="J230" s="103" t="n"/>
      <c r="K230" s="103" t="n"/>
      <c r="L230" s="103" t="n"/>
      <c r="M230" s="103" t="n"/>
      <c r="N230" s="103" t="n"/>
    </row>
    <row r="231" ht="14.25" customHeight="1">
      <c r="A231" s="103" t="n"/>
      <c r="B231" s="103" t="n"/>
      <c r="C231" s="103" t="n"/>
      <c r="D231" s="103" t="n"/>
      <c r="E231" s="103" t="n"/>
      <c r="F231" s="103" t="n"/>
      <c r="G231" s="103" t="n"/>
      <c r="H231" s="103" t="n"/>
      <c r="I231" s="103" t="n"/>
      <c r="J231" s="103" t="n"/>
      <c r="K231" s="103" t="n"/>
      <c r="L231" s="103" t="n"/>
      <c r="M231" s="103" t="n"/>
      <c r="N231" s="103" t="n"/>
    </row>
    <row r="232" ht="14.25" customHeight="1">
      <c r="A232" s="103" t="n"/>
      <c r="B232" s="103" t="n"/>
      <c r="C232" s="103" t="n"/>
      <c r="D232" s="103" t="n"/>
      <c r="E232" s="103" t="n"/>
      <c r="F232" s="103" t="n"/>
      <c r="G232" s="103" t="n"/>
      <c r="H232" s="103" t="n"/>
      <c r="I232" s="103" t="n"/>
      <c r="J232" s="103" t="n"/>
      <c r="K232" s="103" t="n"/>
      <c r="L232" s="103" t="n"/>
      <c r="M232" s="103" t="n"/>
      <c r="N232" s="103" t="n"/>
    </row>
    <row r="233" ht="14.25" customHeight="1">
      <c r="A233" s="103" t="n"/>
      <c r="B233" s="103" t="n"/>
      <c r="C233" s="103" t="n"/>
      <c r="D233" s="103" t="n"/>
      <c r="E233" s="103" t="n"/>
      <c r="F233" s="103" t="n"/>
      <c r="G233" s="103" t="n"/>
      <c r="H233" s="103" t="n"/>
      <c r="I233" s="103" t="n"/>
      <c r="J233" s="103" t="n"/>
      <c r="K233" s="103" t="n"/>
      <c r="L233" s="103" t="n"/>
      <c r="M233" s="103" t="n"/>
      <c r="N233" s="103" t="n"/>
    </row>
    <row r="234" ht="14.25" customHeight="1">
      <c r="A234" s="103" t="n"/>
      <c r="B234" s="103" t="n"/>
      <c r="C234" s="103" t="n"/>
      <c r="D234" s="103" t="n"/>
      <c r="E234" s="103" t="n"/>
      <c r="F234" s="103" t="n"/>
      <c r="G234" s="103" t="n"/>
      <c r="H234" s="103" t="n"/>
      <c r="I234" s="103" t="n"/>
      <c r="J234" s="103" t="n"/>
      <c r="K234" s="103" t="n"/>
      <c r="L234" s="103" t="n"/>
      <c r="M234" s="103" t="n"/>
      <c r="N234" s="103" t="n"/>
    </row>
    <row r="235" ht="14.25" customHeight="1">
      <c r="A235" s="103" t="n"/>
      <c r="B235" s="103" t="n"/>
      <c r="C235" s="103" t="n"/>
      <c r="D235" s="103" t="n"/>
      <c r="E235" s="103" t="n"/>
      <c r="F235" s="103" t="n"/>
      <c r="G235" s="103" t="n"/>
      <c r="H235" s="103" t="n"/>
      <c r="I235" s="103" t="n"/>
      <c r="J235" s="103" t="n"/>
      <c r="K235" s="103" t="n"/>
      <c r="L235" s="103" t="n"/>
      <c r="M235" s="103" t="n"/>
      <c r="N235" s="103" t="n"/>
    </row>
    <row r="236" ht="14.25" customHeight="1">
      <c r="A236" s="103" t="n"/>
      <c r="B236" s="103" t="n"/>
      <c r="C236" s="103" t="n"/>
      <c r="D236" s="103" t="n"/>
      <c r="E236" s="103" t="n"/>
      <c r="F236" s="103" t="n"/>
      <c r="G236" s="103" t="n"/>
      <c r="H236" s="103" t="n"/>
      <c r="I236" s="103" t="n"/>
      <c r="J236" s="103" t="n"/>
      <c r="K236" s="103" t="n"/>
      <c r="L236" s="103" t="n"/>
      <c r="M236" s="103" t="n"/>
      <c r="N236" s="103" t="n"/>
    </row>
    <row r="237" ht="14.25" customHeight="1">
      <c r="A237" s="103" t="n"/>
      <c r="B237" s="103" t="n"/>
      <c r="C237" s="103" t="n"/>
      <c r="D237" s="103" t="n"/>
      <c r="E237" s="103" t="n"/>
      <c r="F237" s="103" t="n"/>
      <c r="G237" s="103" t="n"/>
      <c r="H237" s="103" t="n"/>
      <c r="I237" s="103" t="n"/>
      <c r="J237" s="103" t="n"/>
      <c r="K237" s="103" t="n"/>
      <c r="L237" s="103" t="n"/>
      <c r="M237" s="103" t="n"/>
      <c r="N237" s="103" t="n"/>
    </row>
    <row r="238" ht="14.25" customHeight="1">
      <c r="A238" s="103" t="n"/>
      <c r="B238" s="103" t="n"/>
      <c r="C238" s="103" t="n"/>
      <c r="D238" s="103" t="n"/>
      <c r="E238" s="103" t="n"/>
      <c r="F238" s="103" t="n"/>
      <c r="G238" s="103" t="n"/>
      <c r="H238" s="103" t="n"/>
      <c r="I238" s="103" t="n"/>
      <c r="J238" s="103" t="n"/>
      <c r="K238" s="103" t="n"/>
      <c r="L238" s="103" t="n"/>
      <c r="M238" s="103" t="n"/>
      <c r="N238" s="103" t="n"/>
    </row>
    <row r="239" ht="14.25" customHeight="1">
      <c r="A239" s="103" t="n"/>
      <c r="B239" s="103" t="n"/>
      <c r="C239" s="103" t="n"/>
      <c r="D239" s="103" t="n"/>
      <c r="E239" s="103" t="n"/>
      <c r="F239" s="103" t="n"/>
      <c r="G239" s="103" t="n"/>
      <c r="H239" s="103" t="n"/>
      <c r="I239" s="103" t="n"/>
      <c r="J239" s="103" t="n"/>
      <c r="K239" s="103" t="n"/>
      <c r="L239" s="103" t="n"/>
      <c r="M239" s="103" t="n"/>
      <c r="N239" s="103" t="n"/>
    </row>
    <row r="240" ht="14.25" customHeight="1">
      <c r="A240" s="103" t="n"/>
      <c r="B240" s="103" t="n"/>
      <c r="C240" s="103" t="n"/>
      <c r="D240" s="103" t="n"/>
      <c r="E240" s="103" t="n"/>
      <c r="F240" s="103" t="n"/>
      <c r="G240" s="103" t="n"/>
      <c r="H240" s="103" t="n"/>
      <c r="I240" s="103" t="n"/>
      <c r="J240" s="103" t="n"/>
      <c r="K240" s="103" t="n"/>
      <c r="L240" s="103" t="n"/>
      <c r="M240" s="103" t="n"/>
      <c r="N240" s="103" t="n"/>
    </row>
  </sheetData>
  <mergeCells count="42">
    <mergeCell ref="C34:D34"/>
    <mergeCell ref="C30:D30"/>
    <mergeCell ref="E28:J28"/>
    <mergeCell ref="C33:D33"/>
    <mergeCell ref="A26:N27"/>
    <mergeCell ref="K3:L3"/>
    <mergeCell ref="F23:G24"/>
    <mergeCell ref="K5:L5"/>
    <mergeCell ref="E31:J31"/>
    <mergeCell ref="M5:N5"/>
    <mergeCell ref="D22:E22"/>
    <mergeCell ref="E34:J34"/>
    <mergeCell ref="E30:J30"/>
    <mergeCell ref="D2:J5"/>
    <mergeCell ref="K28:N28"/>
    <mergeCell ref="M2:N2"/>
    <mergeCell ref="C29:D29"/>
    <mergeCell ref="K34:N34"/>
    <mergeCell ref="A25:N25"/>
    <mergeCell ref="K30:N30"/>
    <mergeCell ref="C31:D31"/>
    <mergeCell ref="K33:N33"/>
    <mergeCell ref="E32:J32"/>
    <mergeCell ref="A22:C24"/>
    <mergeCell ref="D23:E24"/>
    <mergeCell ref="K2:L2"/>
    <mergeCell ref="K29:N29"/>
    <mergeCell ref="H23:I24"/>
    <mergeCell ref="A6:N21"/>
    <mergeCell ref="F22:G22"/>
    <mergeCell ref="M3:N3"/>
    <mergeCell ref="H22:I22"/>
    <mergeCell ref="K32:N32"/>
    <mergeCell ref="K31:N31"/>
    <mergeCell ref="E33:J33"/>
    <mergeCell ref="C32:D32"/>
    <mergeCell ref="C28:D28"/>
    <mergeCell ref="J22:N24"/>
    <mergeCell ref="A2:C5"/>
    <mergeCell ref="K4:L4"/>
    <mergeCell ref="M4:N4"/>
    <mergeCell ref="E29:J29"/>
  </mergeCells>
  <printOptions horizontalCentered="1"/>
  <pageMargins left="0" right="0" top="0.25" bottom="0" header="0" footer="0"/>
  <pageSetup orientation="landscape" paperSize="9" scale="90"/>
  <headerFooter>
    <oddHeader>&amp;C&amp;G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FFFF0000"/>
    <outlinePr summaryBelow="1" summaryRight="1"/>
    <pageSetUpPr/>
  </sheetPr>
  <dimension ref="A1:S29"/>
  <sheetViews>
    <sheetView showGridLines="0" view="pageBreakPreview" topLeftCell="C19" zoomScale="160" zoomScaleSheetLayoutView="160" workbookViewId="0">
      <selection activeCell="D6" sqref="D6:I10"/>
    </sheetView>
  </sheetViews>
  <sheetFormatPr baseColWidth="8" defaultRowHeight="15"/>
  <cols>
    <col width="0.77734375" customWidth="1" style="2" min="1" max="1"/>
    <col width="6.77734375" customWidth="1" style="2" min="2" max="2"/>
    <col width="10" bestFit="1" customWidth="1" style="2" min="3" max="3"/>
    <col width="6.21875" customWidth="1" style="2" min="4" max="4"/>
    <col width="7.21875" customWidth="1" style="2" min="5" max="5"/>
    <col width="8.21875" customWidth="1" style="2" min="6" max="7"/>
    <col width="6.77734375" customWidth="1" style="2" min="8" max="8"/>
    <col width="8.6640625" customWidth="1" style="2" min="9" max="9"/>
    <col width="0.88671875" customWidth="1" style="2" min="10" max="10"/>
    <col width="3.88671875" customWidth="1" style="2" min="11" max="11"/>
    <col width="8.44140625" customWidth="1" style="2" min="12" max="12"/>
    <col width="8" customWidth="1" style="2" min="13" max="13"/>
    <col width="13" customWidth="1" style="2" min="14" max="14"/>
    <col width="10.77734375" customWidth="1" style="2" min="15" max="15"/>
    <col width="12.44140625" bestFit="1" customWidth="1" style="2" min="16" max="16"/>
    <col width="7.44140625" customWidth="1" style="2" min="17" max="17"/>
    <col width="3.77734375" customWidth="1" style="2" min="18" max="18"/>
    <col width="0.6640625" customWidth="1" style="2" min="19" max="19"/>
    <col width="8.88671875" customWidth="1" style="2" min="20" max="256"/>
    <col width="0.77734375" customWidth="1" style="2" min="257" max="257"/>
    <col width="6.77734375" customWidth="1" style="2" min="258" max="258"/>
    <col width="10" bestFit="1" customWidth="1" style="2" min="259" max="259"/>
    <col width="4.44140625" customWidth="1" style="2" min="260" max="261"/>
    <col width="7.88671875" customWidth="1" style="2" min="262" max="262"/>
    <col width="10.6640625" bestFit="1" customWidth="1" style="2" min="263" max="263"/>
    <col width="6.77734375" customWidth="1" style="2" min="264" max="265"/>
    <col width="0.88671875" customWidth="1" style="2" min="266" max="266"/>
    <col width="3.88671875" customWidth="1" style="2" min="267" max="267"/>
    <col width="8.44140625" customWidth="1" style="2" min="268" max="268"/>
    <col width="8" customWidth="1" style="2" min="269" max="269"/>
    <col width="14.77734375" customWidth="1" style="2" min="270" max="270"/>
    <col width="10.77734375" customWidth="1" style="2" min="271" max="271"/>
    <col width="12.44140625" bestFit="1" customWidth="1" style="2" min="272" max="272"/>
    <col width="7.44140625" customWidth="1" style="2" min="273" max="273"/>
    <col width="3.77734375" customWidth="1" style="2" min="274" max="274"/>
    <col width="0.6640625" customWidth="1" style="2" min="275" max="275"/>
    <col width="8.88671875" customWidth="1" style="2" min="276" max="512"/>
    <col width="0.77734375" customWidth="1" style="2" min="513" max="513"/>
    <col width="6.77734375" customWidth="1" style="2" min="514" max="514"/>
    <col width="10" bestFit="1" customWidth="1" style="2" min="515" max="515"/>
    <col width="4.44140625" customWidth="1" style="2" min="516" max="517"/>
    <col width="7.88671875" customWidth="1" style="2" min="518" max="518"/>
    <col width="10.6640625" bestFit="1" customWidth="1" style="2" min="519" max="519"/>
    <col width="6.77734375" customWidth="1" style="2" min="520" max="521"/>
    <col width="0.88671875" customWidth="1" style="2" min="522" max="522"/>
    <col width="3.88671875" customWidth="1" style="2" min="523" max="523"/>
    <col width="8.44140625" customWidth="1" style="2" min="524" max="524"/>
    <col width="8" customWidth="1" style="2" min="525" max="525"/>
    <col width="14.77734375" customWidth="1" style="2" min="526" max="526"/>
    <col width="10.77734375" customWidth="1" style="2" min="527" max="527"/>
    <col width="12.44140625" bestFit="1" customWidth="1" style="2" min="528" max="528"/>
    <col width="7.44140625" customWidth="1" style="2" min="529" max="529"/>
    <col width="3.77734375" customWidth="1" style="2" min="530" max="530"/>
    <col width="0.6640625" customWidth="1" style="2" min="531" max="531"/>
    <col width="8.88671875" customWidth="1" style="2" min="532" max="768"/>
    <col width="0.77734375" customWidth="1" style="2" min="769" max="769"/>
    <col width="6.77734375" customWidth="1" style="2" min="770" max="770"/>
    <col width="10" bestFit="1" customWidth="1" style="2" min="771" max="771"/>
    <col width="4.44140625" customWidth="1" style="2" min="772" max="773"/>
    <col width="7.88671875" customWidth="1" style="2" min="774" max="774"/>
    <col width="10.6640625" bestFit="1" customWidth="1" style="2" min="775" max="775"/>
    <col width="6.77734375" customWidth="1" style="2" min="776" max="777"/>
    <col width="0.88671875" customWidth="1" style="2" min="778" max="778"/>
    <col width="3.88671875" customWidth="1" style="2" min="779" max="779"/>
    <col width="8.44140625" customWidth="1" style="2" min="780" max="780"/>
    <col width="8" customWidth="1" style="2" min="781" max="781"/>
    <col width="14.77734375" customWidth="1" style="2" min="782" max="782"/>
    <col width="10.77734375" customWidth="1" style="2" min="783" max="783"/>
    <col width="12.44140625" bestFit="1" customWidth="1" style="2" min="784" max="784"/>
    <col width="7.44140625" customWidth="1" style="2" min="785" max="785"/>
    <col width="3.77734375" customWidth="1" style="2" min="786" max="786"/>
    <col width="0.6640625" customWidth="1" style="2" min="787" max="787"/>
    <col width="8.88671875" customWidth="1" style="2" min="788" max="1024"/>
    <col width="0.77734375" customWidth="1" style="2" min="1025" max="1025"/>
    <col width="6.77734375" customWidth="1" style="2" min="1026" max="1026"/>
    <col width="10" bestFit="1" customWidth="1" style="2" min="1027" max="1027"/>
    <col width="4.44140625" customWidth="1" style="2" min="1028" max="1029"/>
    <col width="7.88671875" customWidth="1" style="2" min="1030" max="1030"/>
    <col width="10.6640625" bestFit="1" customWidth="1" style="2" min="1031" max="1031"/>
    <col width="6.77734375" customWidth="1" style="2" min="1032" max="1033"/>
    <col width="0.88671875" customWidth="1" style="2" min="1034" max="1034"/>
    <col width="3.88671875" customWidth="1" style="2" min="1035" max="1035"/>
    <col width="8.44140625" customWidth="1" style="2" min="1036" max="1036"/>
    <col width="8" customWidth="1" style="2" min="1037" max="1037"/>
    <col width="14.77734375" customWidth="1" style="2" min="1038" max="1038"/>
    <col width="10.77734375" customWidth="1" style="2" min="1039" max="1039"/>
    <col width="12.44140625" bestFit="1" customWidth="1" style="2" min="1040" max="1040"/>
    <col width="7.44140625" customWidth="1" style="2" min="1041" max="1041"/>
    <col width="3.77734375" customWidth="1" style="2" min="1042" max="1042"/>
    <col width="0.6640625" customWidth="1" style="2" min="1043" max="1043"/>
    <col width="8.88671875" customWidth="1" style="2" min="1044" max="1280"/>
    <col width="0.77734375" customWidth="1" style="2" min="1281" max="1281"/>
    <col width="6.77734375" customWidth="1" style="2" min="1282" max="1282"/>
    <col width="10" bestFit="1" customWidth="1" style="2" min="1283" max="1283"/>
    <col width="4.44140625" customWidth="1" style="2" min="1284" max="1285"/>
    <col width="7.88671875" customWidth="1" style="2" min="1286" max="1286"/>
    <col width="10.6640625" bestFit="1" customWidth="1" style="2" min="1287" max="1287"/>
    <col width="6.77734375" customWidth="1" style="2" min="1288" max="1289"/>
    <col width="0.88671875" customWidth="1" style="2" min="1290" max="1290"/>
    <col width="3.88671875" customWidth="1" style="2" min="1291" max="1291"/>
    <col width="8.44140625" customWidth="1" style="2" min="1292" max="1292"/>
    <col width="8" customWidth="1" style="2" min="1293" max="1293"/>
    <col width="14.77734375" customWidth="1" style="2" min="1294" max="1294"/>
    <col width="10.77734375" customWidth="1" style="2" min="1295" max="1295"/>
    <col width="12.44140625" bestFit="1" customWidth="1" style="2" min="1296" max="1296"/>
    <col width="7.44140625" customWidth="1" style="2" min="1297" max="1297"/>
    <col width="3.77734375" customWidth="1" style="2" min="1298" max="1298"/>
    <col width="0.6640625" customWidth="1" style="2" min="1299" max="1299"/>
    <col width="8.88671875" customWidth="1" style="2" min="1300" max="1536"/>
    <col width="0.77734375" customWidth="1" style="2" min="1537" max="1537"/>
    <col width="6.77734375" customWidth="1" style="2" min="1538" max="1538"/>
    <col width="10" bestFit="1" customWidth="1" style="2" min="1539" max="1539"/>
    <col width="4.44140625" customWidth="1" style="2" min="1540" max="1541"/>
    <col width="7.88671875" customWidth="1" style="2" min="1542" max="1542"/>
    <col width="10.6640625" bestFit="1" customWidth="1" style="2" min="1543" max="1543"/>
    <col width="6.77734375" customWidth="1" style="2" min="1544" max="1545"/>
    <col width="0.88671875" customWidth="1" style="2" min="1546" max="1546"/>
    <col width="3.88671875" customWidth="1" style="2" min="1547" max="1547"/>
    <col width="8.44140625" customWidth="1" style="2" min="1548" max="1548"/>
    <col width="8" customWidth="1" style="2" min="1549" max="1549"/>
    <col width="14.77734375" customWidth="1" style="2" min="1550" max="1550"/>
    <col width="10.77734375" customWidth="1" style="2" min="1551" max="1551"/>
    <col width="12.44140625" bestFit="1" customWidth="1" style="2" min="1552" max="1552"/>
    <col width="7.44140625" customWidth="1" style="2" min="1553" max="1553"/>
    <col width="3.77734375" customWidth="1" style="2" min="1554" max="1554"/>
    <col width="0.6640625" customWidth="1" style="2" min="1555" max="1555"/>
    <col width="8.88671875" customWidth="1" style="2" min="1556" max="1792"/>
    <col width="0.77734375" customWidth="1" style="2" min="1793" max="1793"/>
    <col width="6.77734375" customWidth="1" style="2" min="1794" max="1794"/>
    <col width="10" bestFit="1" customWidth="1" style="2" min="1795" max="1795"/>
    <col width="4.44140625" customWidth="1" style="2" min="1796" max="1797"/>
    <col width="7.88671875" customWidth="1" style="2" min="1798" max="1798"/>
    <col width="10.6640625" bestFit="1" customWidth="1" style="2" min="1799" max="1799"/>
    <col width="6.77734375" customWidth="1" style="2" min="1800" max="1801"/>
    <col width="0.88671875" customWidth="1" style="2" min="1802" max="1802"/>
    <col width="3.88671875" customWidth="1" style="2" min="1803" max="1803"/>
    <col width="8.44140625" customWidth="1" style="2" min="1804" max="1804"/>
    <col width="8" customWidth="1" style="2" min="1805" max="1805"/>
    <col width="14.77734375" customWidth="1" style="2" min="1806" max="1806"/>
    <col width="10.77734375" customWidth="1" style="2" min="1807" max="1807"/>
    <col width="12.44140625" bestFit="1" customWidth="1" style="2" min="1808" max="1808"/>
    <col width="7.44140625" customWidth="1" style="2" min="1809" max="1809"/>
    <col width="3.77734375" customWidth="1" style="2" min="1810" max="1810"/>
    <col width="0.6640625" customWidth="1" style="2" min="1811" max="1811"/>
    <col width="8.88671875" customWidth="1" style="2" min="1812" max="2048"/>
    <col width="0.77734375" customWidth="1" style="2" min="2049" max="2049"/>
    <col width="6.77734375" customWidth="1" style="2" min="2050" max="2050"/>
    <col width="10" bestFit="1" customWidth="1" style="2" min="2051" max="2051"/>
    <col width="4.44140625" customWidth="1" style="2" min="2052" max="2053"/>
    <col width="7.88671875" customWidth="1" style="2" min="2054" max="2054"/>
    <col width="10.6640625" bestFit="1" customWidth="1" style="2" min="2055" max="2055"/>
    <col width="6.77734375" customWidth="1" style="2" min="2056" max="2057"/>
    <col width="0.88671875" customWidth="1" style="2" min="2058" max="2058"/>
    <col width="3.88671875" customWidth="1" style="2" min="2059" max="2059"/>
    <col width="8.44140625" customWidth="1" style="2" min="2060" max="2060"/>
    <col width="8" customWidth="1" style="2" min="2061" max="2061"/>
    <col width="14.77734375" customWidth="1" style="2" min="2062" max="2062"/>
    <col width="10.77734375" customWidth="1" style="2" min="2063" max="2063"/>
    <col width="12.44140625" bestFit="1" customWidth="1" style="2" min="2064" max="2064"/>
    <col width="7.44140625" customWidth="1" style="2" min="2065" max="2065"/>
    <col width="3.77734375" customWidth="1" style="2" min="2066" max="2066"/>
    <col width="0.6640625" customWidth="1" style="2" min="2067" max="2067"/>
    <col width="8.88671875" customWidth="1" style="2" min="2068" max="2304"/>
    <col width="0.77734375" customWidth="1" style="2" min="2305" max="2305"/>
    <col width="6.77734375" customWidth="1" style="2" min="2306" max="2306"/>
    <col width="10" bestFit="1" customWidth="1" style="2" min="2307" max="2307"/>
    <col width="4.44140625" customWidth="1" style="2" min="2308" max="2309"/>
    <col width="7.88671875" customWidth="1" style="2" min="2310" max="2310"/>
    <col width="10.6640625" bestFit="1" customWidth="1" style="2" min="2311" max="2311"/>
    <col width="6.77734375" customWidth="1" style="2" min="2312" max="2313"/>
    <col width="0.88671875" customWidth="1" style="2" min="2314" max="2314"/>
    <col width="3.88671875" customWidth="1" style="2" min="2315" max="2315"/>
    <col width="8.44140625" customWidth="1" style="2" min="2316" max="2316"/>
    <col width="8" customWidth="1" style="2" min="2317" max="2317"/>
    <col width="14.77734375" customWidth="1" style="2" min="2318" max="2318"/>
    <col width="10.77734375" customWidth="1" style="2" min="2319" max="2319"/>
    <col width="12.44140625" bestFit="1" customWidth="1" style="2" min="2320" max="2320"/>
    <col width="7.44140625" customWidth="1" style="2" min="2321" max="2321"/>
    <col width="3.77734375" customWidth="1" style="2" min="2322" max="2322"/>
    <col width="0.6640625" customWidth="1" style="2" min="2323" max="2323"/>
    <col width="8.88671875" customWidth="1" style="2" min="2324" max="2560"/>
    <col width="0.77734375" customWidth="1" style="2" min="2561" max="2561"/>
    <col width="6.77734375" customWidth="1" style="2" min="2562" max="2562"/>
    <col width="10" bestFit="1" customWidth="1" style="2" min="2563" max="2563"/>
    <col width="4.44140625" customWidth="1" style="2" min="2564" max="2565"/>
    <col width="7.88671875" customWidth="1" style="2" min="2566" max="2566"/>
    <col width="10.6640625" bestFit="1" customWidth="1" style="2" min="2567" max="2567"/>
    <col width="6.77734375" customWidth="1" style="2" min="2568" max="2569"/>
    <col width="0.88671875" customWidth="1" style="2" min="2570" max="2570"/>
    <col width="3.88671875" customWidth="1" style="2" min="2571" max="2571"/>
    <col width="8.44140625" customWidth="1" style="2" min="2572" max="2572"/>
    <col width="8" customWidth="1" style="2" min="2573" max="2573"/>
    <col width="14.77734375" customWidth="1" style="2" min="2574" max="2574"/>
    <col width="10.77734375" customWidth="1" style="2" min="2575" max="2575"/>
    <col width="12.44140625" bestFit="1" customWidth="1" style="2" min="2576" max="2576"/>
    <col width="7.44140625" customWidth="1" style="2" min="2577" max="2577"/>
    <col width="3.77734375" customWidth="1" style="2" min="2578" max="2578"/>
    <col width="0.6640625" customWidth="1" style="2" min="2579" max="2579"/>
    <col width="8.88671875" customWidth="1" style="2" min="2580" max="2816"/>
    <col width="0.77734375" customWidth="1" style="2" min="2817" max="2817"/>
    <col width="6.77734375" customWidth="1" style="2" min="2818" max="2818"/>
    <col width="10" bestFit="1" customWidth="1" style="2" min="2819" max="2819"/>
    <col width="4.44140625" customWidth="1" style="2" min="2820" max="2821"/>
    <col width="7.88671875" customWidth="1" style="2" min="2822" max="2822"/>
    <col width="10.6640625" bestFit="1" customWidth="1" style="2" min="2823" max="2823"/>
    <col width="6.77734375" customWidth="1" style="2" min="2824" max="2825"/>
    <col width="0.88671875" customWidth="1" style="2" min="2826" max="2826"/>
    <col width="3.88671875" customWidth="1" style="2" min="2827" max="2827"/>
    <col width="8.44140625" customWidth="1" style="2" min="2828" max="2828"/>
    <col width="8" customWidth="1" style="2" min="2829" max="2829"/>
    <col width="14.77734375" customWidth="1" style="2" min="2830" max="2830"/>
    <col width="10.77734375" customWidth="1" style="2" min="2831" max="2831"/>
    <col width="12.44140625" bestFit="1" customWidth="1" style="2" min="2832" max="2832"/>
    <col width="7.44140625" customWidth="1" style="2" min="2833" max="2833"/>
    <col width="3.77734375" customWidth="1" style="2" min="2834" max="2834"/>
    <col width="0.6640625" customWidth="1" style="2" min="2835" max="2835"/>
    <col width="8.88671875" customWidth="1" style="2" min="2836" max="3072"/>
    <col width="0.77734375" customWidth="1" style="2" min="3073" max="3073"/>
    <col width="6.77734375" customWidth="1" style="2" min="3074" max="3074"/>
    <col width="10" bestFit="1" customWidth="1" style="2" min="3075" max="3075"/>
    <col width="4.44140625" customWidth="1" style="2" min="3076" max="3077"/>
    <col width="7.88671875" customWidth="1" style="2" min="3078" max="3078"/>
    <col width="10.6640625" bestFit="1" customWidth="1" style="2" min="3079" max="3079"/>
    <col width="6.77734375" customWidth="1" style="2" min="3080" max="3081"/>
    <col width="0.88671875" customWidth="1" style="2" min="3082" max="3082"/>
    <col width="3.88671875" customWidth="1" style="2" min="3083" max="3083"/>
    <col width="8.44140625" customWidth="1" style="2" min="3084" max="3084"/>
    <col width="8" customWidth="1" style="2" min="3085" max="3085"/>
    <col width="14.77734375" customWidth="1" style="2" min="3086" max="3086"/>
    <col width="10.77734375" customWidth="1" style="2" min="3087" max="3087"/>
    <col width="12.44140625" bestFit="1" customWidth="1" style="2" min="3088" max="3088"/>
    <col width="7.44140625" customWidth="1" style="2" min="3089" max="3089"/>
    <col width="3.77734375" customWidth="1" style="2" min="3090" max="3090"/>
    <col width="0.6640625" customWidth="1" style="2" min="3091" max="3091"/>
    <col width="8.88671875" customWidth="1" style="2" min="3092" max="3328"/>
    <col width="0.77734375" customWidth="1" style="2" min="3329" max="3329"/>
    <col width="6.77734375" customWidth="1" style="2" min="3330" max="3330"/>
    <col width="10" bestFit="1" customWidth="1" style="2" min="3331" max="3331"/>
    <col width="4.44140625" customWidth="1" style="2" min="3332" max="3333"/>
    <col width="7.88671875" customWidth="1" style="2" min="3334" max="3334"/>
    <col width="10.6640625" bestFit="1" customWidth="1" style="2" min="3335" max="3335"/>
    <col width="6.77734375" customWidth="1" style="2" min="3336" max="3337"/>
    <col width="0.88671875" customWidth="1" style="2" min="3338" max="3338"/>
    <col width="3.88671875" customWidth="1" style="2" min="3339" max="3339"/>
    <col width="8.44140625" customWidth="1" style="2" min="3340" max="3340"/>
    <col width="8" customWidth="1" style="2" min="3341" max="3341"/>
    <col width="14.77734375" customWidth="1" style="2" min="3342" max="3342"/>
    <col width="10.77734375" customWidth="1" style="2" min="3343" max="3343"/>
    <col width="12.44140625" bestFit="1" customWidth="1" style="2" min="3344" max="3344"/>
    <col width="7.44140625" customWidth="1" style="2" min="3345" max="3345"/>
    <col width="3.77734375" customWidth="1" style="2" min="3346" max="3346"/>
    <col width="0.6640625" customWidth="1" style="2" min="3347" max="3347"/>
    <col width="8.88671875" customWidth="1" style="2" min="3348" max="3584"/>
    <col width="0.77734375" customWidth="1" style="2" min="3585" max="3585"/>
    <col width="6.77734375" customWidth="1" style="2" min="3586" max="3586"/>
    <col width="10" bestFit="1" customWidth="1" style="2" min="3587" max="3587"/>
    <col width="4.44140625" customWidth="1" style="2" min="3588" max="3589"/>
    <col width="7.88671875" customWidth="1" style="2" min="3590" max="3590"/>
    <col width="10.6640625" bestFit="1" customWidth="1" style="2" min="3591" max="3591"/>
    <col width="6.77734375" customWidth="1" style="2" min="3592" max="3593"/>
    <col width="0.88671875" customWidth="1" style="2" min="3594" max="3594"/>
    <col width="3.88671875" customWidth="1" style="2" min="3595" max="3595"/>
    <col width="8.44140625" customWidth="1" style="2" min="3596" max="3596"/>
    <col width="8" customWidth="1" style="2" min="3597" max="3597"/>
    <col width="14.77734375" customWidth="1" style="2" min="3598" max="3598"/>
    <col width="10.77734375" customWidth="1" style="2" min="3599" max="3599"/>
    <col width="12.44140625" bestFit="1" customWidth="1" style="2" min="3600" max="3600"/>
    <col width="7.44140625" customWidth="1" style="2" min="3601" max="3601"/>
    <col width="3.77734375" customWidth="1" style="2" min="3602" max="3602"/>
    <col width="0.6640625" customWidth="1" style="2" min="3603" max="3603"/>
    <col width="8.88671875" customWidth="1" style="2" min="3604" max="3840"/>
    <col width="0.77734375" customWidth="1" style="2" min="3841" max="3841"/>
    <col width="6.77734375" customWidth="1" style="2" min="3842" max="3842"/>
    <col width="10" bestFit="1" customWidth="1" style="2" min="3843" max="3843"/>
    <col width="4.44140625" customWidth="1" style="2" min="3844" max="3845"/>
    <col width="7.88671875" customWidth="1" style="2" min="3846" max="3846"/>
    <col width="10.6640625" bestFit="1" customWidth="1" style="2" min="3847" max="3847"/>
    <col width="6.77734375" customWidth="1" style="2" min="3848" max="3849"/>
    <col width="0.88671875" customWidth="1" style="2" min="3850" max="3850"/>
    <col width="3.88671875" customWidth="1" style="2" min="3851" max="3851"/>
    <col width="8.44140625" customWidth="1" style="2" min="3852" max="3852"/>
    <col width="8" customWidth="1" style="2" min="3853" max="3853"/>
    <col width="14.77734375" customWidth="1" style="2" min="3854" max="3854"/>
    <col width="10.77734375" customWidth="1" style="2" min="3855" max="3855"/>
    <col width="12.44140625" bestFit="1" customWidth="1" style="2" min="3856" max="3856"/>
    <col width="7.44140625" customWidth="1" style="2" min="3857" max="3857"/>
    <col width="3.77734375" customWidth="1" style="2" min="3858" max="3858"/>
    <col width="0.6640625" customWidth="1" style="2" min="3859" max="3859"/>
    <col width="8.88671875" customWidth="1" style="2" min="3860" max="4096"/>
    <col width="0.77734375" customWidth="1" style="2" min="4097" max="4097"/>
    <col width="6.77734375" customWidth="1" style="2" min="4098" max="4098"/>
    <col width="10" bestFit="1" customWidth="1" style="2" min="4099" max="4099"/>
    <col width="4.44140625" customWidth="1" style="2" min="4100" max="4101"/>
    <col width="7.88671875" customWidth="1" style="2" min="4102" max="4102"/>
    <col width="10.6640625" bestFit="1" customWidth="1" style="2" min="4103" max="4103"/>
    <col width="6.77734375" customWidth="1" style="2" min="4104" max="4105"/>
    <col width="0.88671875" customWidth="1" style="2" min="4106" max="4106"/>
    <col width="3.88671875" customWidth="1" style="2" min="4107" max="4107"/>
    <col width="8.44140625" customWidth="1" style="2" min="4108" max="4108"/>
    <col width="8" customWidth="1" style="2" min="4109" max="4109"/>
    <col width="14.77734375" customWidth="1" style="2" min="4110" max="4110"/>
    <col width="10.77734375" customWidth="1" style="2" min="4111" max="4111"/>
    <col width="12.44140625" bestFit="1" customWidth="1" style="2" min="4112" max="4112"/>
    <col width="7.44140625" customWidth="1" style="2" min="4113" max="4113"/>
    <col width="3.77734375" customWidth="1" style="2" min="4114" max="4114"/>
    <col width="0.6640625" customWidth="1" style="2" min="4115" max="4115"/>
    <col width="8.88671875" customWidth="1" style="2" min="4116" max="4352"/>
    <col width="0.77734375" customWidth="1" style="2" min="4353" max="4353"/>
    <col width="6.77734375" customWidth="1" style="2" min="4354" max="4354"/>
    <col width="10" bestFit="1" customWidth="1" style="2" min="4355" max="4355"/>
    <col width="4.44140625" customWidth="1" style="2" min="4356" max="4357"/>
    <col width="7.88671875" customWidth="1" style="2" min="4358" max="4358"/>
    <col width="10.6640625" bestFit="1" customWidth="1" style="2" min="4359" max="4359"/>
    <col width="6.77734375" customWidth="1" style="2" min="4360" max="4361"/>
    <col width="0.88671875" customWidth="1" style="2" min="4362" max="4362"/>
    <col width="3.88671875" customWidth="1" style="2" min="4363" max="4363"/>
    <col width="8.44140625" customWidth="1" style="2" min="4364" max="4364"/>
    <col width="8" customWidth="1" style="2" min="4365" max="4365"/>
    <col width="14.77734375" customWidth="1" style="2" min="4366" max="4366"/>
    <col width="10.77734375" customWidth="1" style="2" min="4367" max="4367"/>
    <col width="12.44140625" bestFit="1" customWidth="1" style="2" min="4368" max="4368"/>
    <col width="7.44140625" customWidth="1" style="2" min="4369" max="4369"/>
    <col width="3.77734375" customWidth="1" style="2" min="4370" max="4370"/>
    <col width="0.6640625" customWidth="1" style="2" min="4371" max="4371"/>
    <col width="8.88671875" customWidth="1" style="2" min="4372" max="4608"/>
    <col width="0.77734375" customWidth="1" style="2" min="4609" max="4609"/>
    <col width="6.77734375" customWidth="1" style="2" min="4610" max="4610"/>
    <col width="10" bestFit="1" customWidth="1" style="2" min="4611" max="4611"/>
    <col width="4.44140625" customWidth="1" style="2" min="4612" max="4613"/>
    <col width="7.88671875" customWidth="1" style="2" min="4614" max="4614"/>
    <col width="10.6640625" bestFit="1" customWidth="1" style="2" min="4615" max="4615"/>
    <col width="6.77734375" customWidth="1" style="2" min="4616" max="4617"/>
    <col width="0.88671875" customWidth="1" style="2" min="4618" max="4618"/>
    <col width="3.88671875" customWidth="1" style="2" min="4619" max="4619"/>
    <col width="8.44140625" customWidth="1" style="2" min="4620" max="4620"/>
    <col width="8" customWidth="1" style="2" min="4621" max="4621"/>
    <col width="14.77734375" customWidth="1" style="2" min="4622" max="4622"/>
    <col width="10.77734375" customWidth="1" style="2" min="4623" max="4623"/>
    <col width="12.44140625" bestFit="1" customWidth="1" style="2" min="4624" max="4624"/>
    <col width="7.44140625" customWidth="1" style="2" min="4625" max="4625"/>
    <col width="3.77734375" customWidth="1" style="2" min="4626" max="4626"/>
    <col width="0.6640625" customWidth="1" style="2" min="4627" max="4627"/>
    <col width="8.88671875" customWidth="1" style="2" min="4628" max="4864"/>
    <col width="0.77734375" customWidth="1" style="2" min="4865" max="4865"/>
    <col width="6.77734375" customWidth="1" style="2" min="4866" max="4866"/>
    <col width="10" bestFit="1" customWidth="1" style="2" min="4867" max="4867"/>
    <col width="4.44140625" customWidth="1" style="2" min="4868" max="4869"/>
    <col width="7.88671875" customWidth="1" style="2" min="4870" max="4870"/>
    <col width="10.6640625" bestFit="1" customWidth="1" style="2" min="4871" max="4871"/>
    <col width="6.77734375" customWidth="1" style="2" min="4872" max="4873"/>
    <col width="0.88671875" customWidth="1" style="2" min="4874" max="4874"/>
    <col width="3.88671875" customWidth="1" style="2" min="4875" max="4875"/>
    <col width="8.44140625" customWidth="1" style="2" min="4876" max="4876"/>
    <col width="8" customWidth="1" style="2" min="4877" max="4877"/>
    <col width="14.77734375" customWidth="1" style="2" min="4878" max="4878"/>
    <col width="10.77734375" customWidth="1" style="2" min="4879" max="4879"/>
    <col width="12.44140625" bestFit="1" customWidth="1" style="2" min="4880" max="4880"/>
    <col width="7.44140625" customWidth="1" style="2" min="4881" max="4881"/>
    <col width="3.77734375" customWidth="1" style="2" min="4882" max="4882"/>
    <col width="0.6640625" customWidth="1" style="2" min="4883" max="4883"/>
    <col width="8.88671875" customWidth="1" style="2" min="4884" max="5120"/>
    <col width="0.77734375" customWidth="1" style="2" min="5121" max="5121"/>
    <col width="6.77734375" customWidth="1" style="2" min="5122" max="5122"/>
    <col width="10" bestFit="1" customWidth="1" style="2" min="5123" max="5123"/>
    <col width="4.44140625" customWidth="1" style="2" min="5124" max="5125"/>
    <col width="7.88671875" customWidth="1" style="2" min="5126" max="5126"/>
    <col width="10.6640625" bestFit="1" customWidth="1" style="2" min="5127" max="5127"/>
    <col width="6.77734375" customWidth="1" style="2" min="5128" max="5129"/>
    <col width="0.88671875" customWidth="1" style="2" min="5130" max="5130"/>
    <col width="3.88671875" customWidth="1" style="2" min="5131" max="5131"/>
    <col width="8.44140625" customWidth="1" style="2" min="5132" max="5132"/>
    <col width="8" customWidth="1" style="2" min="5133" max="5133"/>
    <col width="14.77734375" customWidth="1" style="2" min="5134" max="5134"/>
    <col width="10.77734375" customWidth="1" style="2" min="5135" max="5135"/>
    <col width="12.44140625" bestFit="1" customWidth="1" style="2" min="5136" max="5136"/>
    <col width="7.44140625" customWidth="1" style="2" min="5137" max="5137"/>
    <col width="3.77734375" customWidth="1" style="2" min="5138" max="5138"/>
    <col width="0.6640625" customWidth="1" style="2" min="5139" max="5139"/>
    <col width="8.88671875" customWidth="1" style="2" min="5140" max="5376"/>
    <col width="0.77734375" customWidth="1" style="2" min="5377" max="5377"/>
    <col width="6.77734375" customWidth="1" style="2" min="5378" max="5378"/>
    <col width="10" bestFit="1" customWidth="1" style="2" min="5379" max="5379"/>
    <col width="4.44140625" customWidth="1" style="2" min="5380" max="5381"/>
    <col width="7.88671875" customWidth="1" style="2" min="5382" max="5382"/>
    <col width="10.6640625" bestFit="1" customWidth="1" style="2" min="5383" max="5383"/>
    <col width="6.77734375" customWidth="1" style="2" min="5384" max="5385"/>
    <col width="0.88671875" customWidth="1" style="2" min="5386" max="5386"/>
    <col width="3.88671875" customWidth="1" style="2" min="5387" max="5387"/>
    <col width="8.44140625" customWidth="1" style="2" min="5388" max="5388"/>
    <col width="8" customWidth="1" style="2" min="5389" max="5389"/>
    <col width="14.77734375" customWidth="1" style="2" min="5390" max="5390"/>
    <col width="10.77734375" customWidth="1" style="2" min="5391" max="5391"/>
    <col width="12.44140625" bestFit="1" customWidth="1" style="2" min="5392" max="5392"/>
    <col width="7.44140625" customWidth="1" style="2" min="5393" max="5393"/>
    <col width="3.77734375" customWidth="1" style="2" min="5394" max="5394"/>
    <col width="0.6640625" customWidth="1" style="2" min="5395" max="5395"/>
    <col width="8.88671875" customWidth="1" style="2" min="5396" max="5632"/>
    <col width="0.77734375" customWidth="1" style="2" min="5633" max="5633"/>
    <col width="6.77734375" customWidth="1" style="2" min="5634" max="5634"/>
    <col width="10" bestFit="1" customWidth="1" style="2" min="5635" max="5635"/>
    <col width="4.44140625" customWidth="1" style="2" min="5636" max="5637"/>
    <col width="7.88671875" customWidth="1" style="2" min="5638" max="5638"/>
    <col width="10.6640625" bestFit="1" customWidth="1" style="2" min="5639" max="5639"/>
    <col width="6.77734375" customWidth="1" style="2" min="5640" max="5641"/>
    <col width="0.88671875" customWidth="1" style="2" min="5642" max="5642"/>
    <col width="3.88671875" customWidth="1" style="2" min="5643" max="5643"/>
    <col width="8.44140625" customWidth="1" style="2" min="5644" max="5644"/>
    <col width="8" customWidth="1" style="2" min="5645" max="5645"/>
    <col width="14.77734375" customWidth="1" style="2" min="5646" max="5646"/>
    <col width="10.77734375" customWidth="1" style="2" min="5647" max="5647"/>
    <col width="12.44140625" bestFit="1" customWidth="1" style="2" min="5648" max="5648"/>
    <col width="7.44140625" customWidth="1" style="2" min="5649" max="5649"/>
    <col width="3.77734375" customWidth="1" style="2" min="5650" max="5650"/>
    <col width="0.6640625" customWidth="1" style="2" min="5651" max="5651"/>
    <col width="8.88671875" customWidth="1" style="2" min="5652" max="5888"/>
    <col width="0.77734375" customWidth="1" style="2" min="5889" max="5889"/>
    <col width="6.77734375" customWidth="1" style="2" min="5890" max="5890"/>
    <col width="10" bestFit="1" customWidth="1" style="2" min="5891" max="5891"/>
    <col width="4.44140625" customWidth="1" style="2" min="5892" max="5893"/>
    <col width="7.88671875" customWidth="1" style="2" min="5894" max="5894"/>
    <col width="10.6640625" bestFit="1" customWidth="1" style="2" min="5895" max="5895"/>
    <col width="6.77734375" customWidth="1" style="2" min="5896" max="5897"/>
    <col width="0.88671875" customWidth="1" style="2" min="5898" max="5898"/>
    <col width="3.88671875" customWidth="1" style="2" min="5899" max="5899"/>
    <col width="8.44140625" customWidth="1" style="2" min="5900" max="5900"/>
    <col width="8" customWidth="1" style="2" min="5901" max="5901"/>
    <col width="14.77734375" customWidth="1" style="2" min="5902" max="5902"/>
    <col width="10.77734375" customWidth="1" style="2" min="5903" max="5903"/>
    <col width="12.44140625" bestFit="1" customWidth="1" style="2" min="5904" max="5904"/>
    <col width="7.44140625" customWidth="1" style="2" min="5905" max="5905"/>
    <col width="3.77734375" customWidth="1" style="2" min="5906" max="5906"/>
    <col width="0.6640625" customWidth="1" style="2" min="5907" max="5907"/>
    <col width="8.88671875" customWidth="1" style="2" min="5908" max="6144"/>
    <col width="0.77734375" customWidth="1" style="2" min="6145" max="6145"/>
    <col width="6.77734375" customWidth="1" style="2" min="6146" max="6146"/>
    <col width="10" bestFit="1" customWidth="1" style="2" min="6147" max="6147"/>
    <col width="4.44140625" customWidth="1" style="2" min="6148" max="6149"/>
    <col width="7.88671875" customWidth="1" style="2" min="6150" max="6150"/>
    <col width="10.6640625" bestFit="1" customWidth="1" style="2" min="6151" max="6151"/>
    <col width="6.77734375" customWidth="1" style="2" min="6152" max="6153"/>
    <col width="0.88671875" customWidth="1" style="2" min="6154" max="6154"/>
    <col width="3.88671875" customWidth="1" style="2" min="6155" max="6155"/>
    <col width="8.44140625" customWidth="1" style="2" min="6156" max="6156"/>
    <col width="8" customWidth="1" style="2" min="6157" max="6157"/>
    <col width="14.77734375" customWidth="1" style="2" min="6158" max="6158"/>
    <col width="10.77734375" customWidth="1" style="2" min="6159" max="6159"/>
    <col width="12.44140625" bestFit="1" customWidth="1" style="2" min="6160" max="6160"/>
    <col width="7.44140625" customWidth="1" style="2" min="6161" max="6161"/>
    <col width="3.77734375" customWidth="1" style="2" min="6162" max="6162"/>
    <col width="0.6640625" customWidth="1" style="2" min="6163" max="6163"/>
    <col width="8.88671875" customWidth="1" style="2" min="6164" max="6400"/>
    <col width="0.77734375" customWidth="1" style="2" min="6401" max="6401"/>
    <col width="6.77734375" customWidth="1" style="2" min="6402" max="6402"/>
    <col width="10" bestFit="1" customWidth="1" style="2" min="6403" max="6403"/>
    <col width="4.44140625" customWidth="1" style="2" min="6404" max="6405"/>
    <col width="7.88671875" customWidth="1" style="2" min="6406" max="6406"/>
    <col width="10.6640625" bestFit="1" customWidth="1" style="2" min="6407" max="6407"/>
    <col width="6.77734375" customWidth="1" style="2" min="6408" max="6409"/>
    <col width="0.88671875" customWidth="1" style="2" min="6410" max="6410"/>
    <col width="3.88671875" customWidth="1" style="2" min="6411" max="6411"/>
    <col width="8.44140625" customWidth="1" style="2" min="6412" max="6412"/>
    <col width="8" customWidth="1" style="2" min="6413" max="6413"/>
    <col width="14.77734375" customWidth="1" style="2" min="6414" max="6414"/>
    <col width="10.77734375" customWidth="1" style="2" min="6415" max="6415"/>
    <col width="12.44140625" bestFit="1" customWidth="1" style="2" min="6416" max="6416"/>
    <col width="7.44140625" customWidth="1" style="2" min="6417" max="6417"/>
    <col width="3.77734375" customWidth="1" style="2" min="6418" max="6418"/>
    <col width="0.6640625" customWidth="1" style="2" min="6419" max="6419"/>
    <col width="8.88671875" customWidth="1" style="2" min="6420" max="6656"/>
    <col width="0.77734375" customWidth="1" style="2" min="6657" max="6657"/>
    <col width="6.77734375" customWidth="1" style="2" min="6658" max="6658"/>
    <col width="10" bestFit="1" customWidth="1" style="2" min="6659" max="6659"/>
    <col width="4.44140625" customWidth="1" style="2" min="6660" max="6661"/>
    <col width="7.88671875" customWidth="1" style="2" min="6662" max="6662"/>
    <col width="10.6640625" bestFit="1" customWidth="1" style="2" min="6663" max="6663"/>
    <col width="6.77734375" customWidth="1" style="2" min="6664" max="6665"/>
    <col width="0.88671875" customWidth="1" style="2" min="6666" max="6666"/>
    <col width="3.88671875" customWidth="1" style="2" min="6667" max="6667"/>
    <col width="8.44140625" customWidth="1" style="2" min="6668" max="6668"/>
    <col width="8" customWidth="1" style="2" min="6669" max="6669"/>
    <col width="14.77734375" customWidth="1" style="2" min="6670" max="6670"/>
    <col width="10.77734375" customWidth="1" style="2" min="6671" max="6671"/>
    <col width="12.44140625" bestFit="1" customWidth="1" style="2" min="6672" max="6672"/>
    <col width="7.44140625" customWidth="1" style="2" min="6673" max="6673"/>
    <col width="3.77734375" customWidth="1" style="2" min="6674" max="6674"/>
    <col width="0.6640625" customWidth="1" style="2" min="6675" max="6675"/>
    <col width="8.88671875" customWidth="1" style="2" min="6676" max="6912"/>
    <col width="0.77734375" customWidth="1" style="2" min="6913" max="6913"/>
    <col width="6.77734375" customWidth="1" style="2" min="6914" max="6914"/>
    <col width="10" bestFit="1" customWidth="1" style="2" min="6915" max="6915"/>
    <col width="4.44140625" customWidth="1" style="2" min="6916" max="6917"/>
    <col width="7.88671875" customWidth="1" style="2" min="6918" max="6918"/>
    <col width="10.6640625" bestFit="1" customWidth="1" style="2" min="6919" max="6919"/>
    <col width="6.77734375" customWidth="1" style="2" min="6920" max="6921"/>
    <col width="0.88671875" customWidth="1" style="2" min="6922" max="6922"/>
    <col width="3.88671875" customWidth="1" style="2" min="6923" max="6923"/>
    <col width="8.44140625" customWidth="1" style="2" min="6924" max="6924"/>
    <col width="8" customWidth="1" style="2" min="6925" max="6925"/>
    <col width="14.77734375" customWidth="1" style="2" min="6926" max="6926"/>
    <col width="10.77734375" customWidth="1" style="2" min="6927" max="6927"/>
    <col width="12.44140625" bestFit="1" customWidth="1" style="2" min="6928" max="6928"/>
    <col width="7.44140625" customWidth="1" style="2" min="6929" max="6929"/>
    <col width="3.77734375" customWidth="1" style="2" min="6930" max="6930"/>
    <col width="0.6640625" customWidth="1" style="2" min="6931" max="6931"/>
    <col width="8.88671875" customWidth="1" style="2" min="6932" max="7168"/>
    <col width="0.77734375" customWidth="1" style="2" min="7169" max="7169"/>
    <col width="6.77734375" customWidth="1" style="2" min="7170" max="7170"/>
    <col width="10" bestFit="1" customWidth="1" style="2" min="7171" max="7171"/>
    <col width="4.44140625" customWidth="1" style="2" min="7172" max="7173"/>
    <col width="7.88671875" customWidth="1" style="2" min="7174" max="7174"/>
    <col width="10.6640625" bestFit="1" customWidth="1" style="2" min="7175" max="7175"/>
    <col width="6.77734375" customWidth="1" style="2" min="7176" max="7177"/>
    <col width="0.88671875" customWidth="1" style="2" min="7178" max="7178"/>
    <col width="3.88671875" customWidth="1" style="2" min="7179" max="7179"/>
    <col width="8.44140625" customWidth="1" style="2" min="7180" max="7180"/>
    <col width="8" customWidth="1" style="2" min="7181" max="7181"/>
    <col width="14.77734375" customWidth="1" style="2" min="7182" max="7182"/>
    <col width="10.77734375" customWidth="1" style="2" min="7183" max="7183"/>
    <col width="12.44140625" bestFit="1" customWidth="1" style="2" min="7184" max="7184"/>
    <col width="7.44140625" customWidth="1" style="2" min="7185" max="7185"/>
    <col width="3.77734375" customWidth="1" style="2" min="7186" max="7186"/>
    <col width="0.6640625" customWidth="1" style="2" min="7187" max="7187"/>
    <col width="8.88671875" customWidth="1" style="2" min="7188" max="7424"/>
    <col width="0.77734375" customWidth="1" style="2" min="7425" max="7425"/>
    <col width="6.77734375" customWidth="1" style="2" min="7426" max="7426"/>
    <col width="10" bestFit="1" customWidth="1" style="2" min="7427" max="7427"/>
    <col width="4.44140625" customWidth="1" style="2" min="7428" max="7429"/>
    <col width="7.88671875" customWidth="1" style="2" min="7430" max="7430"/>
    <col width="10.6640625" bestFit="1" customWidth="1" style="2" min="7431" max="7431"/>
    <col width="6.77734375" customWidth="1" style="2" min="7432" max="7433"/>
    <col width="0.88671875" customWidth="1" style="2" min="7434" max="7434"/>
    <col width="3.88671875" customWidth="1" style="2" min="7435" max="7435"/>
    <col width="8.44140625" customWidth="1" style="2" min="7436" max="7436"/>
    <col width="8" customWidth="1" style="2" min="7437" max="7437"/>
    <col width="14.77734375" customWidth="1" style="2" min="7438" max="7438"/>
    <col width="10.77734375" customWidth="1" style="2" min="7439" max="7439"/>
    <col width="12.44140625" bestFit="1" customWidth="1" style="2" min="7440" max="7440"/>
    <col width="7.44140625" customWidth="1" style="2" min="7441" max="7441"/>
    <col width="3.77734375" customWidth="1" style="2" min="7442" max="7442"/>
    <col width="0.6640625" customWidth="1" style="2" min="7443" max="7443"/>
    <col width="8.88671875" customWidth="1" style="2" min="7444" max="7680"/>
    <col width="0.77734375" customWidth="1" style="2" min="7681" max="7681"/>
    <col width="6.77734375" customWidth="1" style="2" min="7682" max="7682"/>
    <col width="10" bestFit="1" customWidth="1" style="2" min="7683" max="7683"/>
    <col width="4.44140625" customWidth="1" style="2" min="7684" max="7685"/>
    <col width="7.88671875" customWidth="1" style="2" min="7686" max="7686"/>
    <col width="10.6640625" bestFit="1" customWidth="1" style="2" min="7687" max="7687"/>
    <col width="6.77734375" customWidth="1" style="2" min="7688" max="7689"/>
    <col width="0.88671875" customWidth="1" style="2" min="7690" max="7690"/>
    <col width="3.88671875" customWidth="1" style="2" min="7691" max="7691"/>
    <col width="8.44140625" customWidth="1" style="2" min="7692" max="7692"/>
    <col width="8" customWidth="1" style="2" min="7693" max="7693"/>
    <col width="14.77734375" customWidth="1" style="2" min="7694" max="7694"/>
    <col width="10.77734375" customWidth="1" style="2" min="7695" max="7695"/>
    <col width="12.44140625" bestFit="1" customWidth="1" style="2" min="7696" max="7696"/>
    <col width="7.44140625" customWidth="1" style="2" min="7697" max="7697"/>
    <col width="3.77734375" customWidth="1" style="2" min="7698" max="7698"/>
    <col width="0.6640625" customWidth="1" style="2" min="7699" max="7699"/>
    <col width="8.88671875" customWidth="1" style="2" min="7700" max="7936"/>
    <col width="0.77734375" customWidth="1" style="2" min="7937" max="7937"/>
    <col width="6.77734375" customWidth="1" style="2" min="7938" max="7938"/>
    <col width="10" bestFit="1" customWidth="1" style="2" min="7939" max="7939"/>
    <col width="4.44140625" customWidth="1" style="2" min="7940" max="7941"/>
    <col width="7.88671875" customWidth="1" style="2" min="7942" max="7942"/>
    <col width="10.6640625" bestFit="1" customWidth="1" style="2" min="7943" max="7943"/>
    <col width="6.77734375" customWidth="1" style="2" min="7944" max="7945"/>
    <col width="0.88671875" customWidth="1" style="2" min="7946" max="7946"/>
    <col width="3.88671875" customWidth="1" style="2" min="7947" max="7947"/>
    <col width="8.44140625" customWidth="1" style="2" min="7948" max="7948"/>
    <col width="8" customWidth="1" style="2" min="7949" max="7949"/>
    <col width="14.77734375" customWidth="1" style="2" min="7950" max="7950"/>
    <col width="10.77734375" customWidth="1" style="2" min="7951" max="7951"/>
    <col width="12.44140625" bestFit="1" customWidth="1" style="2" min="7952" max="7952"/>
    <col width="7.44140625" customWidth="1" style="2" min="7953" max="7953"/>
    <col width="3.77734375" customWidth="1" style="2" min="7954" max="7954"/>
    <col width="0.6640625" customWidth="1" style="2" min="7955" max="7955"/>
    <col width="8.88671875" customWidth="1" style="2" min="7956" max="8192"/>
    <col width="0.77734375" customWidth="1" style="2" min="8193" max="8193"/>
    <col width="6.77734375" customWidth="1" style="2" min="8194" max="8194"/>
    <col width="10" bestFit="1" customWidth="1" style="2" min="8195" max="8195"/>
    <col width="4.44140625" customWidth="1" style="2" min="8196" max="8197"/>
    <col width="7.88671875" customWidth="1" style="2" min="8198" max="8198"/>
    <col width="10.6640625" bestFit="1" customWidth="1" style="2" min="8199" max="8199"/>
    <col width="6.77734375" customWidth="1" style="2" min="8200" max="8201"/>
    <col width="0.88671875" customWidth="1" style="2" min="8202" max="8202"/>
    <col width="3.88671875" customWidth="1" style="2" min="8203" max="8203"/>
    <col width="8.44140625" customWidth="1" style="2" min="8204" max="8204"/>
    <col width="8" customWidth="1" style="2" min="8205" max="8205"/>
    <col width="14.77734375" customWidth="1" style="2" min="8206" max="8206"/>
    <col width="10.77734375" customWidth="1" style="2" min="8207" max="8207"/>
    <col width="12.44140625" bestFit="1" customWidth="1" style="2" min="8208" max="8208"/>
    <col width="7.44140625" customWidth="1" style="2" min="8209" max="8209"/>
    <col width="3.77734375" customWidth="1" style="2" min="8210" max="8210"/>
    <col width="0.6640625" customWidth="1" style="2" min="8211" max="8211"/>
    <col width="8.88671875" customWidth="1" style="2" min="8212" max="8448"/>
    <col width="0.77734375" customWidth="1" style="2" min="8449" max="8449"/>
    <col width="6.77734375" customWidth="1" style="2" min="8450" max="8450"/>
    <col width="10" bestFit="1" customWidth="1" style="2" min="8451" max="8451"/>
    <col width="4.44140625" customWidth="1" style="2" min="8452" max="8453"/>
    <col width="7.88671875" customWidth="1" style="2" min="8454" max="8454"/>
    <col width="10.6640625" bestFit="1" customWidth="1" style="2" min="8455" max="8455"/>
    <col width="6.77734375" customWidth="1" style="2" min="8456" max="8457"/>
    <col width="0.88671875" customWidth="1" style="2" min="8458" max="8458"/>
    <col width="3.88671875" customWidth="1" style="2" min="8459" max="8459"/>
    <col width="8.44140625" customWidth="1" style="2" min="8460" max="8460"/>
    <col width="8" customWidth="1" style="2" min="8461" max="8461"/>
    <col width="14.77734375" customWidth="1" style="2" min="8462" max="8462"/>
    <col width="10.77734375" customWidth="1" style="2" min="8463" max="8463"/>
    <col width="12.44140625" bestFit="1" customWidth="1" style="2" min="8464" max="8464"/>
    <col width="7.44140625" customWidth="1" style="2" min="8465" max="8465"/>
    <col width="3.77734375" customWidth="1" style="2" min="8466" max="8466"/>
    <col width="0.6640625" customWidth="1" style="2" min="8467" max="8467"/>
    <col width="8.88671875" customWidth="1" style="2" min="8468" max="8704"/>
    <col width="0.77734375" customWidth="1" style="2" min="8705" max="8705"/>
    <col width="6.77734375" customWidth="1" style="2" min="8706" max="8706"/>
    <col width="10" bestFit="1" customWidth="1" style="2" min="8707" max="8707"/>
    <col width="4.44140625" customWidth="1" style="2" min="8708" max="8709"/>
    <col width="7.88671875" customWidth="1" style="2" min="8710" max="8710"/>
    <col width="10.6640625" bestFit="1" customWidth="1" style="2" min="8711" max="8711"/>
    <col width="6.77734375" customWidth="1" style="2" min="8712" max="8713"/>
    <col width="0.88671875" customWidth="1" style="2" min="8714" max="8714"/>
    <col width="3.88671875" customWidth="1" style="2" min="8715" max="8715"/>
    <col width="8.44140625" customWidth="1" style="2" min="8716" max="8716"/>
    <col width="8" customWidth="1" style="2" min="8717" max="8717"/>
    <col width="14.77734375" customWidth="1" style="2" min="8718" max="8718"/>
    <col width="10.77734375" customWidth="1" style="2" min="8719" max="8719"/>
    <col width="12.44140625" bestFit="1" customWidth="1" style="2" min="8720" max="8720"/>
    <col width="7.44140625" customWidth="1" style="2" min="8721" max="8721"/>
    <col width="3.77734375" customWidth="1" style="2" min="8722" max="8722"/>
    <col width="0.6640625" customWidth="1" style="2" min="8723" max="8723"/>
    <col width="8.88671875" customWidth="1" style="2" min="8724" max="8960"/>
    <col width="0.77734375" customWidth="1" style="2" min="8961" max="8961"/>
    <col width="6.77734375" customWidth="1" style="2" min="8962" max="8962"/>
    <col width="10" bestFit="1" customWidth="1" style="2" min="8963" max="8963"/>
    <col width="4.44140625" customWidth="1" style="2" min="8964" max="8965"/>
    <col width="7.88671875" customWidth="1" style="2" min="8966" max="8966"/>
    <col width="10.6640625" bestFit="1" customWidth="1" style="2" min="8967" max="8967"/>
    <col width="6.77734375" customWidth="1" style="2" min="8968" max="8969"/>
    <col width="0.88671875" customWidth="1" style="2" min="8970" max="8970"/>
    <col width="3.88671875" customWidth="1" style="2" min="8971" max="8971"/>
    <col width="8.44140625" customWidth="1" style="2" min="8972" max="8972"/>
    <col width="8" customWidth="1" style="2" min="8973" max="8973"/>
    <col width="14.77734375" customWidth="1" style="2" min="8974" max="8974"/>
    <col width="10.77734375" customWidth="1" style="2" min="8975" max="8975"/>
    <col width="12.44140625" bestFit="1" customWidth="1" style="2" min="8976" max="8976"/>
    <col width="7.44140625" customWidth="1" style="2" min="8977" max="8977"/>
    <col width="3.77734375" customWidth="1" style="2" min="8978" max="8978"/>
    <col width="0.6640625" customWidth="1" style="2" min="8979" max="8979"/>
    <col width="8.88671875" customWidth="1" style="2" min="8980" max="9216"/>
    <col width="0.77734375" customWidth="1" style="2" min="9217" max="9217"/>
    <col width="6.77734375" customWidth="1" style="2" min="9218" max="9218"/>
    <col width="10" bestFit="1" customWidth="1" style="2" min="9219" max="9219"/>
    <col width="4.44140625" customWidth="1" style="2" min="9220" max="9221"/>
    <col width="7.88671875" customWidth="1" style="2" min="9222" max="9222"/>
    <col width="10.6640625" bestFit="1" customWidth="1" style="2" min="9223" max="9223"/>
    <col width="6.77734375" customWidth="1" style="2" min="9224" max="9225"/>
    <col width="0.88671875" customWidth="1" style="2" min="9226" max="9226"/>
    <col width="3.88671875" customWidth="1" style="2" min="9227" max="9227"/>
    <col width="8.44140625" customWidth="1" style="2" min="9228" max="9228"/>
    <col width="8" customWidth="1" style="2" min="9229" max="9229"/>
    <col width="14.77734375" customWidth="1" style="2" min="9230" max="9230"/>
    <col width="10.77734375" customWidth="1" style="2" min="9231" max="9231"/>
    <col width="12.44140625" bestFit="1" customWidth="1" style="2" min="9232" max="9232"/>
    <col width="7.44140625" customWidth="1" style="2" min="9233" max="9233"/>
    <col width="3.77734375" customWidth="1" style="2" min="9234" max="9234"/>
    <col width="0.6640625" customWidth="1" style="2" min="9235" max="9235"/>
    <col width="8.88671875" customWidth="1" style="2" min="9236" max="9472"/>
    <col width="0.77734375" customWidth="1" style="2" min="9473" max="9473"/>
    <col width="6.77734375" customWidth="1" style="2" min="9474" max="9474"/>
    <col width="10" bestFit="1" customWidth="1" style="2" min="9475" max="9475"/>
    <col width="4.44140625" customWidth="1" style="2" min="9476" max="9477"/>
    <col width="7.88671875" customWidth="1" style="2" min="9478" max="9478"/>
    <col width="10.6640625" bestFit="1" customWidth="1" style="2" min="9479" max="9479"/>
    <col width="6.77734375" customWidth="1" style="2" min="9480" max="9481"/>
    <col width="0.88671875" customWidth="1" style="2" min="9482" max="9482"/>
    <col width="3.88671875" customWidth="1" style="2" min="9483" max="9483"/>
    <col width="8.44140625" customWidth="1" style="2" min="9484" max="9484"/>
    <col width="8" customWidth="1" style="2" min="9485" max="9485"/>
    <col width="14.77734375" customWidth="1" style="2" min="9486" max="9486"/>
    <col width="10.77734375" customWidth="1" style="2" min="9487" max="9487"/>
    <col width="12.44140625" bestFit="1" customWidth="1" style="2" min="9488" max="9488"/>
    <col width="7.44140625" customWidth="1" style="2" min="9489" max="9489"/>
    <col width="3.77734375" customWidth="1" style="2" min="9490" max="9490"/>
    <col width="0.6640625" customWidth="1" style="2" min="9491" max="9491"/>
    <col width="8.88671875" customWidth="1" style="2" min="9492" max="9728"/>
    <col width="0.77734375" customWidth="1" style="2" min="9729" max="9729"/>
    <col width="6.77734375" customWidth="1" style="2" min="9730" max="9730"/>
    <col width="10" bestFit="1" customWidth="1" style="2" min="9731" max="9731"/>
    <col width="4.44140625" customWidth="1" style="2" min="9732" max="9733"/>
    <col width="7.88671875" customWidth="1" style="2" min="9734" max="9734"/>
    <col width="10.6640625" bestFit="1" customWidth="1" style="2" min="9735" max="9735"/>
    <col width="6.77734375" customWidth="1" style="2" min="9736" max="9737"/>
    <col width="0.88671875" customWidth="1" style="2" min="9738" max="9738"/>
    <col width="3.88671875" customWidth="1" style="2" min="9739" max="9739"/>
    <col width="8.44140625" customWidth="1" style="2" min="9740" max="9740"/>
    <col width="8" customWidth="1" style="2" min="9741" max="9741"/>
    <col width="14.77734375" customWidth="1" style="2" min="9742" max="9742"/>
    <col width="10.77734375" customWidth="1" style="2" min="9743" max="9743"/>
    <col width="12.44140625" bestFit="1" customWidth="1" style="2" min="9744" max="9744"/>
    <col width="7.44140625" customWidth="1" style="2" min="9745" max="9745"/>
    <col width="3.77734375" customWidth="1" style="2" min="9746" max="9746"/>
    <col width="0.6640625" customWidth="1" style="2" min="9747" max="9747"/>
    <col width="8.88671875" customWidth="1" style="2" min="9748" max="9984"/>
    <col width="0.77734375" customWidth="1" style="2" min="9985" max="9985"/>
    <col width="6.77734375" customWidth="1" style="2" min="9986" max="9986"/>
    <col width="10" bestFit="1" customWidth="1" style="2" min="9987" max="9987"/>
    <col width="4.44140625" customWidth="1" style="2" min="9988" max="9989"/>
    <col width="7.88671875" customWidth="1" style="2" min="9990" max="9990"/>
    <col width="10.6640625" bestFit="1" customWidth="1" style="2" min="9991" max="9991"/>
    <col width="6.77734375" customWidth="1" style="2" min="9992" max="9993"/>
    <col width="0.88671875" customWidth="1" style="2" min="9994" max="9994"/>
    <col width="3.88671875" customWidth="1" style="2" min="9995" max="9995"/>
    <col width="8.44140625" customWidth="1" style="2" min="9996" max="9996"/>
    <col width="8" customWidth="1" style="2" min="9997" max="9997"/>
    <col width="14.77734375" customWidth="1" style="2" min="9998" max="9998"/>
    <col width="10.77734375" customWidth="1" style="2" min="9999" max="9999"/>
    <col width="12.44140625" bestFit="1" customWidth="1" style="2" min="10000" max="10000"/>
    <col width="7.44140625" customWidth="1" style="2" min="10001" max="10001"/>
    <col width="3.77734375" customWidth="1" style="2" min="10002" max="10002"/>
    <col width="0.6640625" customWidth="1" style="2" min="10003" max="10003"/>
    <col width="8.88671875" customWidth="1" style="2" min="10004" max="10240"/>
    <col width="0.77734375" customWidth="1" style="2" min="10241" max="10241"/>
    <col width="6.77734375" customWidth="1" style="2" min="10242" max="10242"/>
    <col width="10" bestFit="1" customWidth="1" style="2" min="10243" max="10243"/>
    <col width="4.44140625" customWidth="1" style="2" min="10244" max="10245"/>
    <col width="7.88671875" customWidth="1" style="2" min="10246" max="10246"/>
    <col width="10.6640625" bestFit="1" customWidth="1" style="2" min="10247" max="10247"/>
    <col width="6.77734375" customWidth="1" style="2" min="10248" max="10249"/>
    <col width="0.88671875" customWidth="1" style="2" min="10250" max="10250"/>
    <col width="3.88671875" customWidth="1" style="2" min="10251" max="10251"/>
    <col width="8.44140625" customWidth="1" style="2" min="10252" max="10252"/>
    <col width="8" customWidth="1" style="2" min="10253" max="10253"/>
    <col width="14.77734375" customWidth="1" style="2" min="10254" max="10254"/>
    <col width="10.77734375" customWidth="1" style="2" min="10255" max="10255"/>
    <col width="12.44140625" bestFit="1" customWidth="1" style="2" min="10256" max="10256"/>
    <col width="7.44140625" customWidth="1" style="2" min="10257" max="10257"/>
    <col width="3.77734375" customWidth="1" style="2" min="10258" max="10258"/>
    <col width="0.6640625" customWidth="1" style="2" min="10259" max="10259"/>
    <col width="8.88671875" customWidth="1" style="2" min="10260" max="10496"/>
    <col width="0.77734375" customWidth="1" style="2" min="10497" max="10497"/>
    <col width="6.77734375" customWidth="1" style="2" min="10498" max="10498"/>
    <col width="10" bestFit="1" customWidth="1" style="2" min="10499" max="10499"/>
    <col width="4.44140625" customWidth="1" style="2" min="10500" max="10501"/>
    <col width="7.88671875" customWidth="1" style="2" min="10502" max="10502"/>
    <col width="10.6640625" bestFit="1" customWidth="1" style="2" min="10503" max="10503"/>
    <col width="6.77734375" customWidth="1" style="2" min="10504" max="10505"/>
    <col width="0.88671875" customWidth="1" style="2" min="10506" max="10506"/>
    <col width="3.88671875" customWidth="1" style="2" min="10507" max="10507"/>
    <col width="8.44140625" customWidth="1" style="2" min="10508" max="10508"/>
    <col width="8" customWidth="1" style="2" min="10509" max="10509"/>
    <col width="14.77734375" customWidth="1" style="2" min="10510" max="10510"/>
    <col width="10.77734375" customWidth="1" style="2" min="10511" max="10511"/>
    <col width="12.44140625" bestFit="1" customWidth="1" style="2" min="10512" max="10512"/>
    <col width="7.44140625" customWidth="1" style="2" min="10513" max="10513"/>
    <col width="3.77734375" customWidth="1" style="2" min="10514" max="10514"/>
    <col width="0.6640625" customWidth="1" style="2" min="10515" max="10515"/>
    <col width="8.88671875" customWidth="1" style="2" min="10516" max="10752"/>
    <col width="0.77734375" customWidth="1" style="2" min="10753" max="10753"/>
    <col width="6.77734375" customWidth="1" style="2" min="10754" max="10754"/>
    <col width="10" bestFit="1" customWidth="1" style="2" min="10755" max="10755"/>
    <col width="4.44140625" customWidth="1" style="2" min="10756" max="10757"/>
    <col width="7.88671875" customWidth="1" style="2" min="10758" max="10758"/>
    <col width="10.6640625" bestFit="1" customWidth="1" style="2" min="10759" max="10759"/>
    <col width="6.77734375" customWidth="1" style="2" min="10760" max="10761"/>
    <col width="0.88671875" customWidth="1" style="2" min="10762" max="10762"/>
    <col width="3.88671875" customWidth="1" style="2" min="10763" max="10763"/>
    <col width="8.44140625" customWidth="1" style="2" min="10764" max="10764"/>
    <col width="8" customWidth="1" style="2" min="10765" max="10765"/>
    <col width="14.77734375" customWidth="1" style="2" min="10766" max="10766"/>
    <col width="10.77734375" customWidth="1" style="2" min="10767" max="10767"/>
    <col width="12.44140625" bestFit="1" customWidth="1" style="2" min="10768" max="10768"/>
    <col width="7.44140625" customWidth="1" style="2" min="10769" max="10769"/>
    <col width="3.77734375" customWidth="1" style="2" min="10770" max="10770"/>
    <col width="0.6640625" customWidth="1" style="2" min="10771" max="10771"/>
    <col width="8.88671875" customWidth="1" style="2" min="10772" max="11008"/>
    <col width="0.77734375" customWidth="1" style="2" min="11009" max="11009"/>
    <col width="6.77734375" customWidth="1" style="2" min="11010" max="11010"/>
    <col width="10" bestFit="1" customWidth="1" style="2" min="11011" max="11011"/>
    <col width="4.44140625" customWidth="1" style="2" min="11012" max="11013"/>
    <col width="7.88671875" customWidth="1" style="2" min="11014" max="11014"/>
    <col width="10.6640625" bestFit="1" customWidth="1" style="2" min="11015" max="11015"/>
    <col width="6.77734375" customWidth="1" style="2" min="11016" max="11017"/>
    <col width="0.88671875" customWidth="1" style="2" min="11018" max="11018"/>
    <col width="3.88671875" customWidth="1" style="2" min="11019" max="11019"/>
    <col width="8.44140625" customWidth="1" style="2" min="11020" max="11020"/>
    <col width="8" customWidth="1" style="2" min="11021" max="11021"/>
    <col width="14.77734375" customWidth="1" style="2" min="11022" max="11022"/>
    <col width="10.77734375" customWidth="1" style="2" min="11023" max="11023"/>
    <col width="12.44140625" bestFit="1" customWidth="1" style="2" min="11024" max="11024"/>
    <col width="7.44140625" customWidth="1" style="2" min="11025" max="11025"/>
    <col width="3.77734375" customWidth="1" style="2" min="11026" max="11026"/>
    <col width="0.6640625" customWidth="1" style="2" min="11027" max="11027"/>
    <col width="8.88671875" customWidth="1" style="2" min="11028" max="11264"/>
    <col width="0.77734375" customWidth="1" style="2" min="11265" max="11265"/>
    <col width="6.77734375" customWidth="1" style="2" min="11266" max="11266"/>
    <col width="10" bestFit="1" customWidth="1" style="2" min="11267" max="11267"/>
    <col width="4.44140625" customWidth="1" style="2" min="11268" max="11269"/>
    <col width="7.88671875" customWidth="1" style="2" min="11270" max="11270"/>
    <col width="10.6640625" bestFit="1" customWidth="1" style="2" min="11271" max="11271"/>
    <col width="6.77734375" customWidth="1" style="2" min="11272" max="11273"/>
    <col width="0.88671875" customWidth="1" style="2" min="11274" max="11274"/>
    <col width="3.88671875" customWidth="1" style="2" min="11275" max="11275"/>
    <col width="8.44140625" customWidth="1" style="2" min="11276" max="11276"/>
    <col width="8" customWidth="1" style="2" min="11277" max="11277"/>
    <col width="14.77734375" customWidth="1" style="2" min="11278" max="11278"/>
    <col width="10.77734375" customWidth="1" style="2" min="11279" max="11279"/>
    <col width="12.44140625" bestFit="1" customWidth="1" style="2" min="11280" max="11280"/>
    <col width="7.44140625" customWidth="1" style="2" min="11281" max="11281"/>
    <col width="3.77734375" customWidth="1" style="2" min="11282" max="11282"/>
    <col width="0.6640625" customWidth="1" style="2" min="11283" max="11283"/>
    <col width="8.88671875" customWidth="1" style="2" min="11284" max="11520"/>
    <col width="0.77734375" customWidth="1" style="2" min="11521" max="11521"/>
    <col width="6.77734375" customWidth="1" style="2" min="11522" max="11522"/>
    <col width="10" bestFit="1" customWidth="1" style="2" min="11523" max="11523"/>
    <col width="4.44140625" customWidth="1" style="2" min="11524" max="11525"/>
    <col width="7.88671875" customWidth="1" style="2" min="11526" max="11526"/>
    <col width="10.6640625" bestFit="1" customWidth="1" style="2" min="11527" max="11527"/>
    <col width="6.77734375" customWidth="1" style="2" min="11528" max="11529"/>
    <col width="0.88671875" customWidth="1" style="2" min="11530" max="11530"/>
    <col width="3.88671875" customWidth="1" style="2" min="11531" max="11531"/>
    <col width="8.44140625" customWidth="1" style="2" min="11532" max="11532"/>
    <col width="8" customWidth="1" style="2" min="11533" max="11533"/>
    <col width="14.77734375" customWidth="1" style="2" min="11534" max="11534"/>
    <col width="10.77734375" customWidth="1" style="2" min="11535" max="11535"/>
    <col width="12.44140625" bestFit="1" customWidth="1" style="2" min="11536" max="11536"/>
    <col width="7.44140625" customWidth="1" style="2" min="11537" max="11537"/>
    <col width="3.77734375" customWidth="1" style="2" min="11538" max="11538"/>
    <col width="0.6640625" customWidth="1" style="2" min="11539" max="11539"/>
    <col width="8.88671875" customWidth="1" style="2" min="11540" max="11776"/>
    <col width="0.77734375" customWidth="1" style="2" min="11777" max="11777"/>
    <col width="6.77734375" customWidth="1" style="2" min="11778" max="11778"/>
    <col width="10" bestFit="1" customWidth="1" style="2" min="11779" max="11779"/>
    <col width="4.44140625" customWidth="1" style="2" min="11780" max="11781"/>
    <col width="7.88671875" customWidth="1" style="2" min="11782" max="11782"/>
    <col width="10.6640625" bestFit="1" customWidth="1" style="2" min="11783" max="11783"/>
    <col width="6.77734375" customWidth="1" style="2" min="11784" max="11785"/>
    <col width="0.88671875" customWidth="1" style="2" min="11786" max="11786"/>
    <col width="3.88671875" customWidth="1" style="2" min="11787" max="11787"/>
    <col width="8.44140625" customWidth="1" style="2" min="11788" max="11788"/>
    <col width="8" customWidth="1" style="2" min="11789" max="11789"/>
    <col width="14.77734375" customWidth="1" style="2" min="11790" max="11790"/>
    <col width="10.77734375" customWidth="1" style="2" min="11791" max="11791"/>
    <col width="12.44140625" bestFit="1" customWidth="1" style="2" min="11792" max="11792"/>
    <col width="7.44140625" customWidth="1" style="2" min="11793" max="11793"/>
    <col width="3.77734375" customWidth="1" style="2" min="11794" max="11794"/>
    <col width="0.6640625" customWidth="1" style="2" min="11795" max="11795"/>
    <col width="8.88671875" customWidth="1" style="2" min="11796" max="12032"/>
    <col width="0.77734375" customWidth="1" style="2" min="12033" max="12033"/>
    <col width="6.77734375" customWidth="1" style="2" min="12034" max="12034"/>
    <col width="10" bestFit="1" customWidth="1" style="2" min="12035" max="12035"/>
    <col width="4.44140625" customWidth="1" style="2" min="12036" max="12037"/>
    <col width="7.88671875" customWidth="1" style="2" min="12038" max="12038"/>
    <col width="10.6640625" bestFit="1" customWidth="1" style="2" min="12039" max="12039"/>
    <col width="6.77734375" customWidth="1" style="2" min="12040" max="12041"/>
    <col width="0.88671875" customWidth="1" style="2" min="12042" max="12042"/>
    <col width="3.88671875" customWidth="1" style="2" min="12043" max="12043"/>
    <col width="8.44140625" customWidth="1" style="2" min="12044" max="12044"/>
    <col width="8" customWidth="1" style="2" min="12045" max="12045"/>
    <col width="14.77734375" customWidth="1" style="2" min="12046" max="12046"/>
    <col width="10.77734375" customWidth="1" style="2" min="12047" max="12047"/>
    <col width="12.44140625" bestFit="1" customWidth="1" style="2" min="12048" max="12048"/>
    <col width="7.44140625" customWidth="1" style="2" min="12049" max="12049"/>
    <col width="3.77734375" customWidth="1" style="2" min="12050" max="12050"/>
    <col width="0.6640625" customWidth="1" style="2" min="12051" max="12051"/>
    <col width="8.88671875" customWidth="1" style="2" min="12052" max="12288"/>
    <col width="0.77734375" customWidth="1" style="2" min="12289" max="12289"/>
    <col width="6.77734375" customWidth="1" style="2" min="12290" max="12290"/>
    <col width="10" bestFit="1" customWidth="1" style="2" min="12291" max="12291"/>
    <col width="4.44140625" customWidth="1" style="2" min="12292" max="12293"/>
    <col width="7.88671875" customWidth="1" style="2" min="12294" max="12294"/>
    <col width="10.6640625" bestFit="1" customWidth="1" style="2" min="12295" max="12295"/>
    <col width="6.77734375" customWidth="1" style="2" min="12296" max="12297"/>
    <col width="0.88671875" customWidth="1" style="2" min="12298" max="12298"/>
    <col width="3.88671875" customWidth="1" style="2" min="12299" max="12299"/>
    <col width="8.44140625" customWidth="1" style="2" min="12300" max="12300"/>
    <col width="8" customWidth="1" style="2" min="12301" max="12301"/>
    <col width="14.77734375" customWidth="1" style="2" min="12302" max="12302"/>
    <col width="10.77734375" customWidth="1" style="2" min="12303" max="12303"/>
    <col width="12.44140625" bestFit="1" customWidth="1" style="2" min="12304" max="12304"/>
    <col width="7.44140625" customWidth="1" style="2" min="12305" max="12305"/>
    <col width="3.77734375" customWidth="1" style="2" min="12306" max="12306"/>
    <col width="0.6640625" customWidth="1" style="2" min="12307" max="12307"/>
    <col width="8.88671875" customWidth="1" style="2" min="12308" max="12544"/>
    <col width="0.77734375" customWidth="1" style="2" min="12545" max="12545"/>
    <col width="6.77734375" customWidth="1" style="2" min="12546" max="12546"/>
    <col width="10" bestFit="1" customWidth="1" style="2" min="12547" max="12547"/>
    <col width="4.44140625" customWidth="1" style="2" min="12548" max="12549"/>
    <col width="7.88671875" customWidth="1" style="2" min="12550" max="12550"/>
    <col width="10.6640625" bestFit="1" customWidth="1" style="2" min="12551" max="12551"/>
    <col width="6.77734375" customWidth="1" style="2" min="12552" max="12553"/>
    <col width="0.88671875" customWidth="1" style="2" min="12554" max="12554"/>
    <col width="3.88671875" customWidth="1" style="2" min="12555" max="12555"/>
    <col width="8.44140625" customWidth="1" style="2" min="12556" max="12556"/>
    <col width="8" customWidth="1" style="2" min="12557" max="12557"/>
    <col width="14.77734375" customWidth="1" style="2" min="12558" max="12558"/>
    <col width="10.77734375" customWidth="1" style="2" min="12559" max="12559"/>
    <col width="12.44140625" bestFit="1" customWidth="1" style="2" min="12560" max="12560"/>
    <col width="7.44140625" customWidth="1" style="2" min="12561" max="12561"/>
    <col width="3.77734375" customWidth="1" style="2" min="12562" max="12562"/>
    <col width="0.6640625" customWidth="1" style="2" min="12563" max="12563"/>
    <col width="8.88671875" customWidth="1" style="2" min="12564" max="12800"/>
    <col width="0.77734375" customWidth="1" style="2" min="12801" max="12801"/>
    <col width="6.77734375" customWidth="1" style="2" min="12802" max="12802"/>
    <col width="10" bestFit="1" customWidth="1" style="2" min="12803" max="12803"/>
    <col width="4.44140625" customWidth="1" style="2" min="12804" max="12805"/>
    <col width="7.88671875" customWidth="1" style="2" min="12806" max="12806"/>
    <col width="10.6640625" bestFit="1" customWidth="1" style="2" min="12807" max="12807"/>
    <col width="6.77734375" customWidth="1" style="2" min="12808" max="12809"/>
    <col width="0.88671875" customWidth="1" style="2" min="12810" max="12810"/>
    <col width="3.88671875" customWidth="1" style="2" min="12811" max="12811"/>
    <col width="8.44140625" customWidth="1" style="2" min="12812" max="12812"/>
    <col width="8" customWidth="1" style="2" min="12813" max="12813"/>
    <col width="14.77734375" customWidth="1" style="2" min="12814" max="12814"/>
    <col width="10.77734375" customWidth="1" style="2" min="12815" max="12815"/>
    <col width="12.44140625" bestFit="1" customWidth="1" style="2" min="12816" max="12816"/>
    <col width="7.44140625" customWidth="1" style="2" min="12817" max="12817"/>
    <col width="3.77734375" customWidth="1" style="2" min="12818" max="12818"/>
    <col width="0.6640625" customWidth="1" style="2" min="12819" max="12819"/>
    <col width="8.88671875" customWidth="1" style="2" min="12820" max="13056"/>
    <col width="0.77734375" customWidth="1" style="2" min="13057" max="13057"/>
    <col width="6.77734375" customWidth="1" style="2" min="13058" max="13058"/>
    <col width="10" bestFit="1" customWidth="1" style="2" min="13059" max="13059"/>
    <col width="4.44140625" customWidth="1" style="2" min="13060" max="13061"/>
    <col width="7.88671875" customWidth="1" style="2" min="13062" max="13062"/>
    <col width="10.6640625" bestFit="1" customWidth="1" style="2" min="13063" max="13063"/>
    <col width="6.77734375" customWidth="1" style="2" min="13064" max="13065"/>
    <col width="0.88671875" customWidth="1" style="2" min="13066" max="13066"/>
    <col width="3.88671875" customWidth="1" style="2" min="13067" max="13067"/>
    <col width="8.44140625" customWidth="1" style="2" min="13068" max="13068"/>
    <col width="8" customWidth="1" style="2" min="13069" max="13069"/>
    <col width="14.77734375" customWidth="1" style="2" min="13070" max="13070"/>
    <col width="10.77734375" customWidth="1" style="2" min="13071" max="13071"/>
    <col width="12.44140625" bestFit="1" customWidth="1" style="2" min="13072" max="13072"/>
    <col width="7.44140625" customWidth="1" style="2" min="13073" max="13073"/>
    <col width="3.77734375" customWidth="1" style="2" min="13074" max="13074"/>
    <col width="0.6640625" customWidth="1" style="2" min="13075" max="13075"/>
    <col width="8.88671875" customWidth="1" style="2" min="13076" max="13312"/>
    <col width="0.77734375" customWidth="1" style="2" min="13313" max="13313"/>
    <col width="6.77734375" customWidth="1" style="2" min="13314" max="13314"/>
    <col width="10" bestFit="1" customWidth="1" style="2" min="13315" max="13315"/>
    <col width="4.44140625" customWidth="1" style="2" min="13316" max="13317"/>
    <col width="7.88671875" customWidth="1" style="2" min="13318" max="13318"/>
    <col width="10.6640625" bestFit="1" customWidth="1" style="2" min="13319" max="13319"/>
    <col width="6.77734375" customWidth="1" style="2" min="13320" max="13321"/>
    <col width="0.88671875" customWidth="1" style="2" min="13322" max="13322"/>
    <col width="3.88671875" customWidth="1" style="2" min="13323" max="13323"/>
    <col width="8.44140625" customWidth="1" style="2" min="13324" max="13324"/>
    <col width="8" customWidth="1" style="2" min="13325" max="13325"/>
    <col width="14.77734375" customWidth="1" style="2" min="13326" max="13326"/>
    <col width="10.77734375" customWidth="1" style="2" min="13327" max="13327"/>
    <col width="12.44140625" bestFit="1" customWidth="1" style="2" min="13328" max="13328"/>
    <col width="7.44140625" customWidth="1" style="2" min="13329" max="13329"/>
    <col width="3.77734375" customWidth="1" style="2" min="13330" max="13330"/>
    <col width="0.6640625" customWidth="1" style="2" min="13331" max="13331"/>
    <col width="8.88671875" customWidth="1" style="2" min="13332" max="13568"/>
    <col width="0.77734375" customWidth="1" style="2" min="13569" max="13569"/>
    <col width="6.77734375" customWidth="1" style="2" min="13570" max="13570"/>
    <col width="10" bestFit="1" customWidth="1" style="2" min="13571" max="13571"/>
    <col width="4.44140625" customWidth="1" style="2" min="13572" max="13573"/>
    <col width="7.88671875" customWidth="1" style="2" min="13574" max="13574"/>
    <col width="10.6640625" bestFit="1" customWidth="1" style="2" min="13575" max="13575"/>
    <col width="6.77734375" customWidth="1" style="2" min="13576" max="13577"/>
    <col width="0.88671875" customWidth="1" style="2" min="13578" max="13578"/>
    <col width="3.88671875" customWidth="1" style="2" min="13579" max="13579"/>
    <col width="8.44140625" customWidth="1" style="2" min="13580" max="13580"/>
    <col width="8" customWidth="1" style="2" min="13581" max="13581"/>
    <col width="14.77734375" customWidth="1" style="2" min="13582" max="13582"/>
    <col width="10.77734375" customWidth="1" style="2" min="13583" max="13583"/>
    <col width="12.44140625" bestFit="1" customWidth="1" style="2" min="13584" max="13584"/>
    <col width="7.44140625" customWidth="1" style="2" min="13585" max="13585"/>
    <col width="3.77734375" customWidth="1" style="2" min="13586" max="13586"/>
    <col width="0.6640625" customWidth="1" style="2" min="13587" max="13587"/>
    <col width="8.88671875" customWidth="1" style="2" min="13588" max="13824"/>
    <col width="0.77734375" customWidth="1" style="2" min="13825" max="13825"/>
    <col width="6.77734375" customWidth="1" style="2" min="13826" max="13826"/>
    <col width="10" bestFit="1" customWidth="1" style="2" min="13827" max="13827"/>
    <col width="4.44140625" customWidth="1" style="2" min="13828" max="13829"/>
    <col width="7.88671875" customWidth="1" style="2" min="13830" max="13830"/>
    <col width="10.6640625" bestFit="1" customWidth="1" style="2" min="13831" max="13831"/>
    <col width="6.77734375" customWidth="1" style="2" min="13832" max="13833"/>
    <col width="0.88671875" customWidth="1" style="2" min="13834" max="13834"/>
    <col width="3.88671875" customWidth="1" style="2" min="13835" max="13835"/>
    <col width="8.44140625" customWidth="1" style="2" min="13836" max="13836"/>
    <col width="8" customWidth="1" style="2" min="13837" max="13837"/>
    <col width="14.77734375" customWidth="1" style="2" min="13838" max="13838"/>
    <col width="10.77734375" customWidth="1" style="2" min="13839" max="13839"/>
    <col width="12.44140625" bestFit="1" customWidth="1" style="2" min="13840" max="13840"/>
    <col width="7.44140625" customWidth="1" style="2" min="13841" max="13841"/>
    <col width="3.77734375" customWidth="1" style="2" min="13842" max="13842"/>
    <col width="0.6640625" customWidth="1" style="2" min="13843" max="13843"/>
    <col width="8.88671875" customWidth="1" style="2" min="13844" max="14080"/>
    <col width="0.77734375" customWidth="1" style="2" min="14081" max="14081"/>
    <col width="6.77734375" customWidth="1" style="2" min="14082" max="14082"/>
    <col width="10" bestFit="1" customWidth="1" style="2" min="14083" max="14083"/>
    <col width="4.44140625" customWidth="1" style="2" min="14084" max="14085"/>
    <col width="7.88671875" customWidth="1" style="2" min="14086" max="14086"/>
    <col width="10.6640625" bestFit="1" customWidth="1" style="2" min="14087" max="14087"/>
    <col width="6.77734375" customWidth="1" style="2" min="14088" max="14089"/>
    <col width="0.88671875" customWidth="1" style="2" min="14090" max="14090"/>
    <col width="3.88671875" customWidth="1" style="2" min="14091" max="14091"/>
    <col width="8.44140625" customWidth="1" style="2" min="14092" max="14092"/>
    <col width="8" customWidth="1" style="2" min="14093" max="14093"/>
    <col width="14.77734375" customWidth="1" style="2" min="14094" max="14094"/>
    <col width="10.77734375" customWidth="1" style="2" min="14095" max="14095"/>
    <col width="12.44140625" bestFit="1" customWidth="1" style="2" min="14096" max="14096"/>
    <col width="7.44140625" customWidth="1" style="2" min="14097" max="14097"/>
    <col width="3.77734375" customWidth="1" style="2" min="14098" max="14098"/>
    <col width="0.6640625" customWidth="1" style="2" min="14099" max="14099"/>
    <col width="8.88671875" customWidth="1" style="2" min="14100" max="14336"/>
    <col width="0.77734375" customWidth="1" style="2" min="14337" max="14337"/>
    <col width="6.77734375" customWidth="1" style="2" min="14338" max="14338"/>
    <col width="10" bestFit="1" customWidth="1" style="2" min="14339" max="14339"/>
    <col width="4.44140625" customWidth="1" style="2" min="14340" max="14341"/>
    <col width="7.88671875" customWidth="1" style="2" min="14342" max="14342"/>
    <col width="10.6640625" bestFit="1" customWidth="1" style="2" min="14343" max="14343"/>
    <col width="6.77734375" customWidth="1" style="2" min="14344" max="14345"/>
    <col width="0.88671875" customWidth="1" style="2" min="14346" max="14346"/>
    <col width="3.88671875" customWidth="1" style="2" min="14347" max="14347"/>
    <col width="8.44140625" customWidth="1" style="2" min="14348" max="14348"/>
    <col width="8" customWidth="1" style="2" min="14349" max="14349"/>
    <col width="14.77734375" customWidth="1" style="2" min="14350" max="14350"/>
    <col width="10.77734375" customWidth="1" style="2" min="14351" max="14351"/>
    <col width="12.44140625" bestFit="1" customWidth="1" style="2" min="14352" max="14352"/>
    <col width="7.44140625" customWidth="1" style="2" min="14353" max="14353"/>
    <col width="3.77734375" customWidth="1" style="2" min="14354" max="14354"/>
    <col width="0.6640625" customWidth="1" style="2" min="14355" max="14355"/>
    <col width="8.88671875" customWidth="1" style="2" min="14356" max="14592"/>
    <col width="0.77734375" customWidth="1" style="2" min="14593" max="14593"/>
    <col width="6.77734375" customWidth="1" style="2" min="14594" max="14594"/>
    <col width="10" bestFit="1" customWidth="1" style="2" min="14595" max="14595"/>
    <col width="4.44140625" customWidth="1" style="2" min="14596" max="14597"/>
    <col width="7.88671875" customWidth="1" style="2" min="14598" max="14598"/>
    <col width="10.6640625" bestFit="1" customWidth="1" style="2" min="14599" max="14599"/>
    <col width="6.77734375" customWidth="1" style="2" min="14600" max="14601"/>
    <col width="0.88671875" customWidth="1" style="2" min="14602" max="14602"/>
    <col width="3.88671875" customWidth="1" style="2" min="14603" max="14603"/>
    <col width="8.44140625" customWidth="1" style="2" min="14604" max="14604"/>
    <col width="8" customWidth="1" style="2" min="14605" max="14605"/>
    <col width="14.77734375" customWidth="1" style="2" min="14606" max="14606"/>
    <col width="10.77734375" customWidth="1" style="2" min="14607" max="14607"/>
    <col width="12.44140625" bestFit="1" customWidth="1" style="2" min="14608" max="14608"/>
    <col width="7.44140625" customWidth="1" style="2" min="14609" max="14609"/>
    <col width="3.77734375" customWidth="1" style="2" min="14610" max="14610"/>
    <col width="0.6640625" customWidth="1" style="2" min="14611" max="14611"/>
    <col width="8.88671875" customWidth="1" style="2" min="14612" max="14848"/>
    <col width="0.77734375" customWidth="1" style="2" min="14849" max="14849"/>
    <col width="6.77734375" customWidth="1" style="2" min="14850" max="14850"/>
    <col width="10" bestFit="1" customWidth="1" style="2" min="14851" max="14851"/>
    <col width="4.44140625" customWidth="1" style="2" min="14852" max="14853"/>
    <col width="7.88671875" customWidth="1" style="2" min="14854" max="14854"/>
    <col width="10.6640625" bestFit="1" customWidth="1" style="2" min="14855" max="14855"/>
    <col width="6.77734375" customWidth="1" style="2" min="14856" max="14857"/>
    <col width="0.88671875" customWidth="1" style="2" min="14858" max="14858"/>
    <col width="3.88671875" customWidth="1" style="2" min="14859" max="14859"/>
    <col width="8.44140625" customWidth="1" style="2" min="14860" max="14860"/>
    <col width="8" customWidth="1" style="2" min="14861" max="14861"/>
    <col width="14.77734375" customWidth="1" style="2" min="14862" max="14862"/>
    <col width="10.77734375" customWidth="1" style="2" min="14863" max="14863"/>
    <col width="12.44140625" bestFit="1" customWidth="1" style="2" min="14864" max="14864"/>
    <col width="7.44140625" customWidth="1" style="2" min="14865" max="14865"/>
    <col width="3.77734375" customWidth="1" style="2" min="14866" max="14866"/>
    <col width="0.6640625" customWidth="1" style="2" min="14867" max="14867"/>
    <col width="8.88671875" customWidth="1" style="2" min="14868" max="15104"/>
    <col width="0.77734375" customWidth="1" style="2" min="15105" max="15105"/>
    <col width="6.77734375" customWidth="1" style="2" min="15106" max="15106"/>
    <col width="10" bestFit="1" customWidth="1" style="2" min="15107" max="15107"/>
    <col width="4.44140625" customWidth="1" style="2" min="15108" max="15109"/>
    <col width="7.88671875" customWidth="1" style="2" min="15110" max="15110"/>
    <col width="10.6640625" bestFit="1" customWidth="1" style="2" min="15111" max="15111"/>
    <col width="6.77734375" customWidth="1" style="2" min="15112" max="15113"/>
    <col width="0.88671875" customWidth="1" style="2" min="15114" max="15114"/>
    <col width="3.88671875" customWidth="1" style="2" min="15115" max="15115"/>
    <col width="8.44140625" customWidth="1" style="2" min="15116" max="15116"/>
    <col width="8" customWidth="1" style="2" min="15117" max="15117"/>
    <col width="14.77734375" customWidth="1" style="2" min="15118" max="15118"/>
    <col width="10.77734375" customWidth="1" style="2" min="15119" max="15119"/>
    <col width="12.44140625" bestFit="1" customWidth="1" style="2" min="15120" max="15120"/>
    <col width="7.44140625" customWidth="1" style="2" min="15121" max="15121"/>
    <col width="3.77734375" customWidth="1" style="2" min="15122" max="15122"/>
    <col width="0.6640625" customWidth="1" style="2" min="15123" max="15123"/>
    <col width="8.88671875" customWidth="1" style="2" min="15124" max="15360"/>
    <col width="0.77734375" customWidth="1" style="2" min="15361" max="15361"/>
    <col width="6.77734375" customWidth="1" style="2" min="15362" max="15362"/>
    <col width="10" bestFit="1" customWidth="1" style="2" min="15363" max="15363"/>
    <col width="4.44140625" customWidth="1" style="2" min="15364" max="15365"/>
    <col width="7.88671875" customWidth="1" style="2" min="15366" max="15366"/>
    <col width="10.6640625" bestFit="1" customWidth="1" style="2" min="15367" max="15367"/>
    <col width="6.77734375" customWidth="1" style="2" min="15368" max="15369"/>
    <col width="0.88671875" customWidth="1" style="2" min="15370" max="15370"/>
    <col width="3.88671875" customWidth="1" style="2" min="15371" max="15371"/>
    <col width="8.44140625" customWidth="1" style="2" min="15372" max="15372"/>
    <col width="8" customWidth="1" style="2" min="15373" max="15373"/>
    <col width="14.77734375" customWidth="1" style="2" min="15374" max="15374"/>
    <col width="10.77734375" customWidth="1" style="2" min="15375" max="15375"/>
    <col width="12.44140625" bestFit="1" customWidth="1" style="2" min="15376" max="15376"/>
    <col width="7.44140625" customWidth="1" style="2" min="15377" max="15377"/>
    <col width="3.77734375" customWidth="1" style="2" min="15378" max="15378"/>
    <col width="0.6640625" customWidth="1" style="2" min="15379" max="15379"/>
    <col width="8.88671875" customWidth="1" style="2" min="15380" max="15616"/>
    <col width="0.77734375" customWidth="1" style="2" min="15617" max="15617"/>
    <col width="6.77734375" customWidth="1" style="2" min="15618" max="15618"/>
    <col width="10" bestFit="1" customWidth="1" style="2" min="15619" max="15619"/>
    <col width="4.44140625" customWidth="1" style="2" min="15620" max="15621"/>
    <col width="7.88671875" customWidth="1" style="2" min="15622" max="15622"/>
    <col width="10.6640625" bestFit="1" customWidth="1" style="2" min="15623" max="15623"/>
    <col width="6.77734375" customWidth="1" style="2" min="15624" max="15625"/>
    <col width="0.88671875" customWidth="1" style="2" min="15626" max="15626"/>
    <col width="3.88671875" customWidth="1" style="2" min="15627" max="15627"/>
    <col width="8.44140625" customWidth="1" style="2" min="15628" max="15628"/>
    <col width="8" customWidth="1" style="2" min="15629" max="15629"/>
    <col width="14.77734375" customWidth="1" style="2" min="15630" max="15630"/>
    <col width="10.77734375" customWidth="1" style="2" min="15631" max="15631"/>
    <col width="12.44140625" bestFit="1" customWidth="1" style="2" min="15632" max="15632"/>
    <col width="7.44140625" customWidth="1" style="2" min="15633" max="15633"/>
    <col width="3.77734375" customWidth="1" style="2" min="15634" max="15634"/>
    <col width="0.6640625" customWidth="1" style="2" min="15635" max="15635"/>
    <col width="8.88671875" customWidth="1" style="2" min="15636" max="15872"/>
    <col width="0.77734375" customWidth="1" style="2" min="15873" max="15873"/>
    <col width="6.77734375" customWidth="1" style="2" min="15874" max="15874"/>
    <col width="10" bestFit="1" customWidth="1" style="2" min="15875" max="15875"/>
    <col width="4.44140625" customWidth="1" style="2" min="15876" max="15877"/>
    <col width="7.88671875" customWidth="1" style="2" min="15878" max="15878"/>
    <col width="10.6640625" bestFit="1" customWidth="1" style="2" min="15879" max="15879"/>
    <col width="6.77734375" customWidth="1" style="2" min="15880" max="15881"/>
    <col width="0.88671875" customWidth="1" style="2" min="15882" max="15882"/>
    <col width="3.88671875" customWidth="1" style="2" min="15883" max="15883"/>
    <col width="8.44140625" customWidth="1" style="2" min="15884" max="15884"/>
    <col width="8" customWidth="1" style="2" min="15885" max="15885"/>
    <col width="14.77734375" customWidth="1" style="2" min="15886" max="15886"/>
    <col width="10.77734375" customWidth="1" style="2" min="15887" max="15887"/>
    <col width="12.44140625" bestFit="1" customWidth="1" style="2" min="15888" max="15888"/>
    <col width="7.44140625" customWidth="1" style="2" min="15889" max="15889"/>
    <col width="3.77734375" customWidth="1" style="2" min="15890" max="15890"/>
    <col width="0.6640625" customWidth="1" style="2" min="15891" max="15891"/>
    <col width="8.88671875" customWidth="1" style="2" min="15892" max="16128"/>
    <col width="0.77734375" customWidth="1" style="2" min="16129" max="16129"/>
    <col width="6.77734375" customWidth="1" style="2" min="16130" max="16130"/>
    <col width="10" bestFit="1" customWidth="1" style="2" min="16131" max="16131"/>
    <col width="4.44140625" customWidth="1" style="2" min="16132" max="16133"/>
    <col width="7.88671875" customWidth="1" style="2" min="16134" max="16134"/>
    <col width="10.6640625" bestFit="1" customWidth="1" style="2" min="16135" max="16135"/>
    <col width="6.77734375" customWidth="1" style="2" min="16136" max="16137"/>
    <col width="0.88671875" customWidth="1" style="2" min="16138" max="16138"/>
    <col width="3.88671875" customWidth="1" style="2" min="16139" max="16139"/>
    <col width="8.44140625" customWidth="1" style="2" min="16140" max="16140"/>
    <col width="8" customWidth="1" style="2" min="16141" max="16141"/>
    <col width="14.77734375" customWidth="1" style="2" min="16142" max="16142"/>
    <col width="10.77734375" customWidth="1" style="2" min="16143" max="16143"/>
    <col width="12.44140625" bestFit="1" customWidth="1" style="2" min="16144" max="16144"/>
    <col width="7.44140625" customWidth="1" style="2" min="16145" max="16145"/>
    <col width="3.77734375" customWidth="1" style="2" min="16146" max="16146"/>
    <col width="0.6640625" customWidth="1" style="2" min="16147" max="16147"/>
    <col width="8.88671875" customWidth="1" style="2" min="16148" max="16384"/>
  </cols>
  <sheetData>
    <row r="1" ht="40.5" customHeight="1" thickTop="1">
      <c r="A1" s="647" t="n"/>
      <c r="B1" s="648" t="n"/>
      <c r="C1" s="648" t="n"/>
      <c r="D1" s="649" t="n"/>
      <c r="E1" s="650" t="inlineStr">
        <is>
          <t>절차 SẢN XUẤT THỬ NGHIỆM
(TRIAL PRODUCTION PROCEDURE)</t>
        </is>
      </c>
      <c r="F1" s="648" t="n"/>
      <c r="G1" s="648" t="n"/>
      <c r="H1" s="648" t="n"/>
      <c r="I1" s="648" t="n"/>
      <c r="J1" s="648" t="n"/>
      <c r="K1" s="648" t="n"/>
      <c r="L1" s="648" t="n"/>
      <c r="M1" s="648" t="n"/>
      <c r="N1" s="649" t="n"/>
      <c r="O1" s="122" t="inlineStr">
        <is>
          <t>부서장
(그룹)</t>
        </is>
      </c>
      <c r="P1" s="122" t="inlineStr">
        <is>
          <t>팀이 개발하다
(연구개발)</t>
        </is>
      </c>
      <c r="Q1" s="651" t="inlineStr">
        <is>
          <t>Trang
(Page)</t>
        </is>
      </c>
      <c r="R1" s="652" t="n"/>
      <c r="S1" s="619" t="n"/>
    </row>
    <row r="2" ht="32.25" customHeight="1">
      <c r="A2" s="628" t="n"/>
      <c r="B2" s="629" t="n"/>
      <c r="C2" s="629" t="n"/>
      <c r="D2" s="630" t="n"/>
      <c r="E2" s="631" t="n"/>
      <c r="F2" s="629" t="n"/>
      <c r="G2" s="629" t="n"/>
      <c r="H2" s="629" t="n"/>
      <c r="I2" s="629" t="n"/>
      <c r="J2" s="629" t="n"/>
      <c r="K2" s="629" t="n"/>
      <c r="L2" s="629" t="n"/>
      <c r="M2" s="629" t="n"/>
      <c r="N2" s="630" t="n"/>
      <c r="O2" s="123" t="inlineStr">
        <is>
          <t>문서 코드
(Doc Code)</t>
        </is>
      </c>
      <c r="P2" s="124" t="inlineStr">
        <is>
          <t>R&amp;D.02.02.06</t>
        </is>
      </c>
      <c r="Q2" s="653" t="inlineStr">
        <is>
          <t>1/4</t>
        </is>
      </c>
      <c r="R2" s="654" t="n"/>
      <c r="S2" s="626" t="n"/>
    </row>
    <row r="3" ht="13.5" customHeight="1" thickBot="1">
      <c r="A3" s="139" t="n"/>
      <c r="B3" s="2" t="n"/>
      <c r="C3" s="2" t="n"/>
      <c r="D3" s="2" t="n"/>
      <c r="E3" s="2" t="n"/>
      <c r="F3" s="2" t="n"/>
      <c r="G3" s="2" t="n"/>
      <c r="H3" s="3" t="n"/>
      <c r="I3" s="3" t="n"/>
      <c r="J3" s="3" t="n"/>
      <c r="K3" s="3" t="n"/>
      <c r="L3" s="3" t="n"/>
      <c r="M3" s="3" t="n"/>
      <c r="N3" s="4" t="n"/>
      <c r="O3" s="383" t="n"/>
      <c r="P3" s="383" t="n"/>
      <c r="Q3" s="383" t="n"/>
      <c r="R3" s="145" t="n"/>
      <c r="S3" s="146" t="n"/>
    </row>
    <row r="4" ht="29.25" customHeight="1">
      <c r="A4" s="139" t="n"/>
      <c r="B4" s="655" t="inlineStr">
        <is>
          <t>공정 분류
(절차 분류)</t>
        </is>
      </c>
      <c r="C4" s="617" t="n"/>
      <c r="D4" s="656" t="inlineStr">
        <is>
          <t>□ 고객(COP) ■ 관리(MP) □ 지원(SP)</t>
        </is>
      </c>
      <c r="E4" s="652" t="n"/>
      <c r="F4" s="652" t="n"/>
      <c r="G4" s="652" t="n"/>
      <c r="H4" s="652" t="n"/>
      <c r="I4" s="619" t="n"/>
      <c r="J4" s="141" t="n"/>
      <c r="K4" s="657" t="inlineStr">
        <is>
          <t>프로시저 구조 [ 프로시저 구조 ]</t>
        </is>
      </c>
      <c r="L4" s="652" t="n"/>
      <c r="M4" s="652" t="n"/>
      <c r="N4" s="652" t="n"/>
      <c r="O4" s="652" t="n"/>
      <c r="P4" s="652" t="n"/>
      <c r="Q4" s="652" t="n"/>
      <c r="R4" s="619" t="n"/>
      <c r="S4" s="142" t="n"/>
    </row>
    <row r="5" ht="39.75" customHeight="1">
      <c r="A5" s="139" t="n"/>
      <c r="B5" s="658" t="inlineStr">
        <is>
          <t>문서 유형
(문서 유형)</t>
        </is>
      </c>
      <c r="C5" s="624" t="n"/>
      <c r="D5" s="659" t="inlineStr">
        <is>
          <t>□ 매뉴얼 ■ 절차(Procedure)     
                                      □ 지침서(작업 지침)</t>
        </is>
      </c>
      <c r="E5" s="654" t="n"/>
      <c r="F5" s="654" t="n"/>
      <c r="G5" s="654" t="n"/>
      <c r="H5" s="654" t="n"/>
      <c r="I5" s="626" t="n"/>
      <c r="J5" s="6" t="n"/>
      <c r="K5" s="343" t="n"/>
      <c r="L5" s="344" t="n"/>
      <c r="M5" s="344" t="n"/>
      <c r="N5" s="344" t="n"/>
      <c r="O5" s="38" t="n"/>
      <c r="P5" s="344" t="n"/>
      <c r="Q5" s="344" t="n"/>
      <c r="R5" s="39" t="n"/>
      <c r="S5" s="142" t="n"/>
    </row>
    <row r="6" ht="35.25" customHeight="1">
      <c r="A6" s="139" t="n"/>
      <c r="B6" s="660" t="inlineStr">
        <is>
          <t>Application scope and purpose</t>
        </is>
      </c>
      <c r="C6" s="634" t="n"/>
      <c r="D6" s="661" t="inlineStr">
        <is>
          <t>Application scope:
The procedure applies to planning, production, inspection, drafting, improvement, trial production, and mass production.
Application purpose
This procedure is aimed to clarify the ratio of "NG" and "OK", detecting errors which often occur in the production procedure for timely treatment and improvement before mass production..</t>
        </is>
      </c>
      <c r="E6" s="633" t="n"/>
      <c r="F6" s="633" t="n"/>
      <c r="G6" s="633" t="n"/>
      <c r="H6" s="633" t="n"/>
      <c r="I6" s="662" t="n"/>
      <c r="J6" s="6" t="n"/>
      <c r="K6" s="343" t="n"/>
      <c r="L6" s="344" t="n"/>
      <c r="M6" s="344" t="n"/>
      <c r="N6" s="344" t="n"/>
      <c r="O6" s="38" t="n"/>
      <c r="P6" s="344" t="n"/>
      <c r="Q6" s="344" t="n"/>
      <c r="R6" s="39" t="n"/>
      <c r="S6" s="142" t="n"/>
    </row>
    <row r="7" ht="23.25" customHeight="1">
      <c r="A7" s="139" t="n"/>
      <c r="B7" s="620" t="n"/>
      <c r="C7" s="621" t="n"/>
      <c r="D7" s="622" t="n"/>
      <c r="I7" s="636" t="n"/>
      <c r="J7" s="6" t="n"/>
      <c r="K7" s="343" t="n"/>
      <c r="M7" s="344" t="n"/>
      <c r="N7" s="387" t="n"/>
      <c r="R7" s="636" t="n"/>
      <c r="S7" s="143" t="n"/>
    </row>
    <row r="8" ht="33.75" customHeight="1">
      <c r="A8" s="139" t="n"/>
      <c r="B8" s="620" t="n"/>
      <c r="C8" s="621" t="n"/>
      <c r="D8" s="622" t="n"/>
      <c r="I8" s="636" t="n"/>
      <c r="J8" s="6" t="n"/>
      <c r="K8" s="7" t="inlineStr">
        <is>
          <t xml:space="preserve"> </t>
        </is>
      </c>
      <c r="L8" s="8" t="n"/>
      <c r="M8" s="8" t="n"/>
      <c r="N8" s="8" t="n"/>
      <c r="O8" s="8" t="n"/>
      <c r="P8" s="8" t="n"/>
      <c r="Q8" s="8" t="n"/>
      <c r="R8" s="9" t="n"/>
      <c r="S8" s="143" t="n"/>
    </row>
    <row r="9" ht="26.25" customHeight="1">
      <c r="A9" s="139" t="n"/>
      <c r="B9" s="620" t="n"/>
      <c r="C9" s="621" t="n"/>
      <c r="D9" s="622" t="n"/>
      <c r="I9" s="636" t="n"/>
      <c r="J9" s="6" t="n"/>
      <c r="K9" s="7" t="n"/>
      <c r="L9" s="8" t="n"/>
      <c r="M9" s="8" t="n"/>
      <c r="N9" s="8" t="n"/>
      <c r="O9" s="8" t="n"/>
      <c r="P9" s="8" t="n"/>
      <c r="Q9" s="8" t="n"/>
      <c r="R9" s="9" t="n"/>
      <c r="S9" s="142" t="n"/>
    </row>
    <row r="10" ht="34.5" customHeight="1">
      <c r="A10" s="139" t="n"/>
      <c r="B10" s="628" t="n"/>
      <c r="C10" s="630" t="n"/>
      <c r="D10" s="631" t="n"/>
      <c r="E10" s="629" t="n"/>
      <c r="F10" s="629" t="n"/>
      <c r="G10" s="629" t="n"/>
      <c r="H10" s="629" t="n"/>
      <c r="I10" s="640" t="n"/>
      <c r="J10" s="6" t="n"/>
      <c r="K10" s="7" t="n"/>
      <c r="L10" s="8" t="n"/>
      <c r="M10" s="8" t="n"/>
      <c r="N10" s="8" t="n"/>
      <c r="O10" s="8" t="n"/>
      <c r="P10" s="8" t="n"/>
      <c r="Q10" s="8" t="n"/>
      <c r="R10" s="9" t="n"/>
      <c r="S10" s="142" t="n"/>
    </row>
    <row r="11" ht="27.75" customHeight="1" thickBot="1">
      <c r="A11" s="139" t="n"/>
      <c r="B11" s="360" t="inlineStr">
        <is>
          <t>Management</t>
        </is>
      </c>
      <c r="C11" s="663" t="n"/>
      <c r="D11" s="664" t="inlineStr">
        <is>
          <t xml:space="preserve"> R&amp;D Department</t>
        </is>
      </c>
      <c r="E11" s="665" t="n"/>
      <c r="F11" s="665" t="n"/>
      <c r="G11" s="665" t="n"/>
      <c r="H11" s="665" t="n"/>
      <c r="I11" s="666" t="n"/>
      <c r="J11" s="10" t="n"/>
      <c r="K11" s="7" t="n"/>
      <c r="L11" s="8" t="n"/>
      <c r="M11" s="8" t="n"/>
      <c r="N11" s="8" t="n"/>
      <c r="O11" s="8" t="n"/>
      <c r="P11" s="8" t="n"/>
      <c r="Q11" s="8" t="n"/>
      <c r="R11" s="9" t="n"/>
      <c r="S11" s="142" t="n"/>
    </row>
    <row r="12" ht="6" customHeight="1" thickBot="1">
      <c r="A12" s="139" t="n"/>
      <c r="B12" s="343" t="n"/>
      <c r="C12" s="344" t="n"/>
      <c r="D12" s="344" t="n"/>
      <c r="E12" s="344" t="n"/>
      <c r="F12" s="344" t="n"/>
      <c r="G12" s="344" t="n"/>
      <c r="H12" s="12" t="n"/>
      <c r="I12" s="13" t="n"/>
      <c r="J12" s="10" t="n"/>
      <c r="K12" s="7" t="n"/>
      <c r="L12" s="8" t="n"/>
      <c r="M12" s="8" t="n"/>
      <c r="N12" s="8" t="n"/>
      <c r="O12" s="8" t="n"/>
      <c r="P12" s="8" t="n"/>
      <c r="Q12" s="8" t="n"/>
      <c r="R12" s="9" t="n"/>
      <c r="S12" s="142" t="n"/>
    </row>
    <row r="13" ht="32.25" customHeight="1" thickBot="1">
      <c r="A13" s="139" t="n"/>
      <c r="B13" s="667" t="inlineStr">
        <is>
          <t>QEHS 통합 관리 시스템 모델
(QEHS 통합관리시스템 모듈)</t>
        </is>
      </c>
      <c r="C13" s="614" t="n"/>
      <c r="D13" s="614" t="n"/>
      <c r="E13" s="614" t="n"/>
      <c r="F13" s="614" t="n"/>
      <c r="G13" s="614" t="n"/>
      <c r="H13" s="614" t="n"/>
      <c r="I13" s="668" t="n"/>
      <c r="J13" s="14" t="n"/>
      <c r="K13" s="7" t="n"/>
      <c r="L13" s="8" t="n"/>
      <c r="M13" s="8" t="n"/>
      <c r="N13" s="8" t="n"/>
      <c r="O13" s="8" t="n"/>
      <c r="P13" s="8" t="n"/>
      <c r="Q13" s="8" t="n"/>
      <c r="R13" s="9" t="n"/>
      <c r="S13" s="142" t="n"/>
    </row>
    <row r="14" ht="21" customFormat="1" customHeight="1" s="15">
      <c r="A14" s="140" t="n"/>
      <c r="B14" s="368" t="n"/>
      <c r="C14" s="370" t="n"/>
      <c r="D14" s="372" t="n"/>
      <c r="E14" s="614" t="n"/>
      <c r="F14" s="614" t="n"/>
      <c r="G14" s="614" t="n"/>
      <c r="H14" s="614" t="n"/>
      <c r="I14" s="668" t="n"/>
      <c r="J14" s="386" t="n"/>
      <c r="K14" s="7" t="n"/>
      <c r="L14" s="8" t="n"/>
      <c r="M14" s="8" t="n"/>
      <c r="N14" s="8" t="n"/>
      <c r="O14" s="8" t="n"/>
      <c r="P14" s="8" t="n"/>
      <c r="Q14" s="8" t="n"/>
      <c r="R14" s="9" t="n"/>
      <c r="S14" s="387" t="n"/>
    </row>
    <row r="15" ht="18" customHeight="1">
      <c r="A15" s="16" t="n"/>
      <c r="B15" s="620" t="n"/>
      <c r="D15" s="371" t="n"/>
      <c r="F15" s="371" t="n"/>
      <c r="H15" s="373" t="n"/>
      <c r="I15" s="636" t="n"/>
      <c r="J15" s="4" t="n"/>
      <c r="K15" s="7" t="n"/>
      <c r="L15" s="8" t="n"/>
      <c r="M15" s="8" t="n"/>
      <c r="N15" s="8" t="n"/>
      <c r="O15" s="8" t="n"/>
      <c r="P15" s="8" t="n"/>
      <c r="Q15" s="8" t="n"/>
      <c r="R15" s="9" t="n"/>
      <c r="S15" s="144" t="n"/>
    </row>
    <row r="16" ht="18" customHeight="1">
      <c r="A16" s="16" t="n"/>
      <c r="B16" s="374" t="n"/>
      <c r="C16" s="375" t="n"/>
      <c r="D16" s="377" t="n"/>
      <c r="I16" s="636" t="n"/>
      <c r="J16" s="4" t="n"/>
      <c r="K16" s="7" t="n"/>
      <c r="L16" s="8" t="n"/>
      <c r="M16" s="8" t="n"/>
      <c r="N16" s="8" t="n"/>
      <c r="O16" s="8" t="n"/>
      <c r="P16" s="8" t="n"/>
      <c r="Q16" s="8" t="n"/>
      <c r="R16" s="9" t="n"/>
      <c r="S16" s="144" t="n"/>
    </row>
    <row r="17" ht="18" customHeight="1">
      <c r="A17" s="16" t="n"/>
      <c r="B17" s="620" t="n"/>
      <c r="D17" s="378" t="n"/>
      <c r="F17" s="378" t="n"/>
      <c r="H17" s="379" t="n"/>
      <c r="I17" s="636" t="n"/>
      <c r="J17" s="4" t="n"/>
      <c r="K17" s="7" t="n"/>
      <c r="L17" s="8" t="n"/>
      <c r="M17" s="8" t="n"/>
      <c r="N17" s="8" t="n"/>
      <c r="O17" s="8" t="n"/>
      <c r="P17" s="8" t="n"/>
      <c r="Q17" s="8" t="n"/>
      <c r="R17" s="9" t="n"/>
      <c r="S17" s="144" t="n"/>
    </row>
    <row r="18" ht="18" customHeight="1">
      <c r="A18" s="16" t="n"/>
      <c r="B18" s="382" t="n"/>
      <c r="C18" s="383" t="n"/>
      <c r="D18" s="385" t="n"/>
      <c r="I18" s="636" t="n"/>
      <c r="J18" s="4" t="n"/>
      <c r="K18" s="7" t="n"/>
      <c r="L18" s="8" t="n"/>
      <c r="M18" s="8" t="n"/>
      <c r="N18" s="8" t="n"/>
      <c r="O18" s="8" t="n"/>
      <c r="P18" s="8" t="n"/>
      <c r="Q18" s="8" t="n"/>
      <c r="R18" s="9" t="n"/>
      <c r="S18" s="144" t="n"/>
    </row>
    <row r="19" ht="18" customHeight="1">
      <c r="A19" s="16" t="n"/>
      <c r="B19" s="620" t="n"/>
      <c r="D19" s="380" t="n"/>
      <c r="F19" s="380" t="n"/>
      <c r="H19" s="381" t="n"/>
      <c r="I19" s="636" t="n"/>
      <c r="J19" s="4" t="n"/>
      <c r="K19" s="7" t="n"/>
      <c r="L19" s="8" t="n"/>
      <c r="M19" s="8" t="n"/>
      <c r="N19" s="8" t="n"/>
      <c r="O19" s="8" t="n"/>
      <c r="P19" s="8" t="n"/>
      <c r="Q19" s="8" t="n"/>
      <c r="R19" s="9" t="n"/>
      <c r="S19" s="144" t="n"/>
    </row>
    <row r="20" ht="18" customHeight="1">
      <c r="A20" s="16" t="n"/>
      <c r="B20" s="382" t="n"/>
      <c r="C20" s="383" t="n"/>
      <c r="D20" s="385" t="n"/>
      <c r="I20" s="636" t="n"/>
      <c r="J20" s="4" t="n"/>
      <c r="K20" s="7" t="n"/>
      <c r="L20" s="8" t="n"/>
      <c r="M20" s="8" t="n"/>
      <c r="N20" s="8" t="n"/>
      <c r="O20" s="8" t="n"/>
      <c r="P20" s="8" t="n"/>
      <c r="Q20" s="8" t="n"/>
      <c r="R20" s="9" t="n"/>
      <c r="S20" s="144" t="n"/>
    </row>
    <row r="21" ht="18" customHeight="1">
      <c r="A21" s="16" t="n"/>
      <c r="B21" s="620" t="n"/>
      <c r="D21" s="380" t="n"/>
      <c r="F21" s="380" t="n"/>
      <c r="H21" s="381" t="n"/>
      <c r="I21" s="636" t="n"/>
      <c r="J21" s="4" t="n"/>
      <c r="K21" s="7" t="n"/>
      <c r="L21" s="8" t="n"/>
      <c r="M21" s="8" t="n"/>
      <c r="N21" s="8" t="n"/>
      <c r="O21" s="8" t="n"/>
      <c r="P21" s="8" t="n"/>
      <c r="Q21" s="8" t="n"/>
      <c r="R21" s="9" t="n"/>
      <c r="S21" s="144" t="n"/>
    </row>
    <row r="22" ht="18" customHeight="1">
      <c r="A22" s="16" t="n"/>
      <c r="B22" s="382" t="n"/>
      <c r="C22" s="383" t="n"/>
      <c r="D22" s="385" t="n"/>
      <c r="I22" s="636" t="n"/>
      <c r="J22" s="4" t="n"/>
      <c r="K22" s="7" t="n"/>
      <c r="L22" s="8" t="n"/>
      <c r="M22" s="8" t="n"/>
      <c r="N22" s="8" t="n"/>
      <c r="O22" s="8" t="n"/>
      <c r="P22" s="8" t="n"/>
      <c r="Q22" s="8" t="n"/>
      <c r="R22" s="9" t="n"/>
      <c r="S22" s="144" t="n"/>
    </row>
    <row r="23" ht="18" customHeight="1">
      <c r="A23" s="16" t="n"/>
      <c r="B23" s="620" t="n"/>
      <c r="D23" s="380" t="n"/>
      <c r="F23" s="380" t="n"/>
      <c r="H23" s="381" t="n"/>
      <c r="I23" s="636" t="n"/>
      <c r="J23" s="4" t="n"/>
      <c r="K23" s="7" t="n"/>
      <c r="L23" s="8" t="n"/>
      <c r="M23" s="8" t="n"/>
      <c r="N23" s="8" t="n"/>
      <c r="O23" s="8" t="n"/>
      <c r="P23" s="8" t="n"/>
      <c r="Q23" s="8" t="n"/>
      <c r="R23" s="9" t="n"/>
      <c r="S23" s="144" t="n"/>
    </row>
    <row r="24" ht="18" customHeight="1">
      <c r="A24" s="16" t="n"/>
      <c r="B24" s="382" t="n"/>
      <c r="C24" s="383" t="n"/>
      <c r="D24" s="385" t="n"/>
      <c r="I24" s="636" t="n"/>
      <c r="J24" s="4" t="n"/>
      <c r="K24" s="16" t="n"/>
      <c r="L24" s="4" t="n"/>
      <c r="M24" s="4" t="n"/>
      <c r="N24" s="4" t="n"/>
      <c r="O24" s="4" t="n"/>
      <c r="P24" s="4" t="n"/>
      <c r="Q24" s="387" t="n"/>
      <c r="R24" s="636" t="n"/>
      <c r="S24" s="144" t="n"/>
    </row>
    <row r="25" ht="18" customHeight="1">
      <c r="A25" s="16" t="n"/>
      <c r="B25" s="620" t="n"/>
      <c r="D25" s="380" t="n"/>
      <c r="F25" s="380" t="n"/>
      <c r="H25" s="381" t="n"/>
      <c r="I25" s="636" t="n"/>
      <c r="J25" s="4" t="n"/>
      <c r="K25" s="16" t="n"/>
      <c r="L25" s="4" t="n"/>
      <c r="M25" s="4" t="n"/>
      <c r="N25" s="4" t="n"/>
      <c r="O25" s="4" t="n"/>
      <c r="P25" s="4" t="n"/>
      <c r="Q25" s="387" t="n"/>
      <c r="R25" s="636" t="n"/>
      <c r="S25" s="144" t="n"/>
    </row>
    <row r="26" ht="18" customHeight="1">
      <c r="A26" s="16" t="n"/>
      <c r="B26" s="391" t="n"/>
      <c r="C26" s="392" t="n"/>
      <c r="D26" s="385" t="n"/>
      <c r="I26" s="636" t="n"/>
      <c r="J26" s="4" t="n"/>
      <c r="K26" s="16" t="n"/>
      <c r="L26" s="4" t="n"/>
      <c r="M26" s="4" t="n"/>
      <c r="N26" s="4" t="n"/>
      <c r="O26" s="4" t="n"/>
      <c r="P26" s="4" t="n"/>
      <c r="Q26" s="387" t="n"/>
      <c r="R26" s="636" t="n"/>
      <c r="S26" s="144" t="n"/>
    </row>
    <row r="27" ht="18" customHeight="1" thickBot="1">
      <c r="A27" s="16" t="n"/>
      <c r="B27" s="669" t="n"/>
      <c r="C27" s="670" t="n"/>
      <c r="D27" s="393" t="n"/>
      <c r="E27" s="670" t="n"/>
      <c r="F27" s="393" t="n"/>
      <c r="G27" s="670" t="n"/>
      <c r="H27" s="394" t="n"/>
      <c r="I27" s="671" t="n"/>
      <c r="J27" s="148" t="n"/>
      <c r="K27" s="17" t="n"/>
      <c r="L27" s="18" t="n"/>
      <c r="M27" s="18" t="n"/>
      <c r="N27" s="18" t="n"/>
      <c r="O27" s="18" t="n"/>
      <c r="P27" s="18" t="n"/>
      <c r="Q27" s="395" t="n"/>
      <c r="R27" s="671" t="n"/>
      <c r="S27" s="144" t="n"/>
    </row>
    <row r="28" ht="5.25" customHeight="1" thickBot="1">
      <c r="A28" s="17" t="n"/>
      <c r="B28" s="388" t="n"/>
      <c r="C28" s="670" t="n"/>
      <c r="D28" s="670" t="n"/>
      <c r="E28" s="388" t="n"/>
      <c r="F28" s="388" t="n"/>
      <c r="G28" s="388" t="n"/>
      <c r="H28" s="389" t="n"/>
      <c r="I28" s="670" t="n"/>
      <c r="J28" s="670" t="n"/>
      <c r="K28" s="670" t="n"/>
      <c r="L28" s="670" t="n"/>
      <c r="M28" s="670" t="n"/>
      <c r="N28" s="670" t="n"/>
      <c r="O28" s="670" t="n"/>
      <c r="P28" s="670" t="n"/>
      <c r="Q28" s="670" t="n"/>
      <c r="R28" s="670" t="n"/>
      <c r="S28" s="147" t="n"/>
    </row>
    <row r="29">
      <c r="A29" s="19" t="n"/>
      <c r="B29" s="19" t="n"/>
      <c r="C29" s="19" t="n"/>
      <c r="D29" s="19" t="n"/>
      <c r="E29" s="19" t="n"/>
      <c r="F29" s="19" t="n"/>
      <c r="G29" s="19" t="n"/>
      <c r="Q29" s="390" t="n"/>
    </row>
  </sheetData>
  <mergeCells count="65">
    <mergeCell ref="D11:I11"/>
    <mergeCell ref="D6:I10"/>
    <mergeCell ref="Q29:S29"/>
    <mergeCell ref="A1:D2"/>
    <mergeCell ref="Q25:R25"/>
    <mergeCell ref="B18:B19"/>
    <mergeCell ref="D19:E19"/>
    <mergeCell ref="C20:C21"/>
    <mergeCell ref="F25:G25"/>
    <mergeCell ref="F19:G19"/>
    <mergeCell ref="N7:R7"/>
    <mergeCell ref="Q24:R24"/>
    <mergeCell ref="C16:C17"/>
    <mergeCell ref="D16:I16"/>
    <mergeCell ref="Q1:S1"/>
    <mergeCell ref="E1:N2"/>
    <mergeCell ref="C26:C27"/>
    <mergeCell ref="B14:B15"/>
    <mergeCell ref="C22:C23"/>
    <mergeCell ref="D21:E21"/>
    <mergeCell ref="B28:D28"/>
    <mergeCell ref="H25:I25"/>
    <mergeCell ref="F21:G21"/>
    <mergeCell ref="H21:I21"/>
    <mergeCell ref="B26:B27"/>
    <mergeCell ref="B11:C11"/>
    <mergeCell ref="F15:G15"/>
    <mergeCell ref="D4:I4"/>
    <mergeCell ref="D27:E27"/>
    <mergeCell ref="D18:I18"/>
    <mergeCell ref="Q26:R26"/>
    <mergeCell ref="D17:E17"/>
    <mergeCell ref="B24:B25"/>
    <mergeCell ref="F17:G17"/>
    <mergeCell ref="Q2:S2"/>
    <mergeCell ref="H17:I17"/>
    <mergeCell ref="B13:I13"/>
    <mergeCell ref="D24:I24"/>
    <mergeCell ref="D14:I14"/>
    <mergeCell ref="D5:I5"/>
    <mergeCell ref="F23:G23"/>
    <mergeCell ref="H19:I19"/>
    <mergeCell ref="C18:C19"/>
    <mergeCell ref="B20:B21"/>
    <mergeCell ref="D26:I26"/>
    <mergeCell ref="D20:I20"/>
    <mergeCell ref="Q27:R27"/>
    <mergeCell ref="F27:G27"/>
    <mergeCell ref="H28:R28"/>
    <mergeCell ref="H27:I27"/>
    <mergeCell ref="D25:E25"/>
    <mergeCell ref="K7:L7"/>
    <mergeCell ref="D15:E15"/>
    <mergeCell ref="B22:B23"/>
    <mergeCell ref="D22:I22"/>
    <mergeCell ref="B5:C5"/>
    <mergeCell ref="B6:C10"/>
    <mergeCell ref="H15:I15"/>
    <mergeCell ref="D23:E23"/>
    <mergeCell ref="C14:C15"/>
    <mergeCell ref="H23:I23"/>
    <mergeCell ref="B16:B17"/>
    <mergeCell ref="C24:C25"/>
    <mergeCell ref="K4:R4"/>
    <mergeCell ref="B4:C4"/>
  </mergeCells>
  <pageMargins left="0.8267716535433072" right="0.1968503937007874" top="0.7086614173228347" bottom="0.1968503937007874" header="0.5118110236220472" footer="0.1968503937007874"/>
  <pageSetup orientation="landscape" paperSize="9" scale="83"/>
  <drawing xmlns:r="http://schemas.openxmlformats.org/officeDocument/2006/relationships" r:id="rId1"/>
</worksheet>
</file>

<file path=xl/worksheets/sheet3.xml><?xml version="1.0" encoding="utf-8"?>
<worksheet xmlns="http://schemas.openxmlformats.org/spreadsheetml/2006/main">
  <sheetPr>
    <tabColor rgb="FFFF0000"/>
    <outlinePr summaryBelow="1" summaryRight="1"/>
    <pageSetUpPr fitToPage="1"/>
  </sheetPr>
  <dimension ref="A1:Q16"/>
  <sheetViews>
    <sheetView showGridLines="0" view="pageBreakPreview" zoomScale="85" zoomScaleNormal="85" zoomScaleSheetLayoutView="85" workbookViewId="0">
      <selection activeCell="Q16" sqref="Q16"/>
    </sheetView>
  </sheetViews>
  <sheetFormatPr baseColWidth="8" defaultRowHeight="14.25"/>
  <cols>
    <col width="8.6640625" customWidth="1" style="34" min="1" max="1"/>
    <col width="5.21875" customWidth="1" style="34" min="2" max="7"/>
    <col width="6.21875" customWidth="1" style="34" min="8" max="8"/>
    <col width="7.109375" customWidth="1" style="34" min="9" max="11"/>
    <col width="21.21875" customWidth="1" style="35" min="12" max="12"/>
    <col width="18.6640625" customWidth="1" style="36" min="13" max="13"/>
    <col width="12.77734375" customWidth="1" style="36" min="14" max="16"/>
    <col width="14.88671875" customWidth="1" style="36" min="17" max="17"/>
    <col width="4.88671875" customWidth="1" style="34" min="18" max="18"/>
    <col width="8.88671875" customWidth="1" style="34" min="19" max="256"/>
    <col width="13.6640625" bestFit="1" customWidth="1" style="34" min="257" max="257"/>
    <col width="5.21875" customWidth="1" style="34" min="258" max="264"/>
    <col width="7.109375" customWidth="1" style="34" min="265" max="267"/>
    <col width="21.21875" customWidth="1" style="34" min="268" max="268"/>
    <col width="12.77734375" customWidth="1" style="34" min="269" max="273"/>
    <col width="4.88671875" customWidth="1" style="34" min="274" max="274"/>
    <col width="8.88671875" customWidth="1" style="34" min="275" max="512"/>
    <col width="13.6640625" bestFit="1" customWidth="1" style="34" min="513" max="513"/>
    <col width="5.21875" customWidth="1" style="34" min="514" max="520"/>
    <col width="7.109375" customWidth="1" style="34" min="521" max="523"/>
    <col width="21.21875" customWidth="1" style="34" min="524" max="524"/>
    <col width="12.77734375" customWidth="1" style="34" min="525" max="529"/>
    <col width="4.88671875" customWidth="1" style="34" min="530" max="530"/>
    <col width="8.88671875" customWidth="1" style="34" min="531" max="768"/>
    <col width="13.6640625" bestFit="1" customWidth="1" style="34" min="769" max="769"/>
    <col width="5.21875" customWidth="1" style="34" min="770" max="776"/>
    <col width="7.109375" customWidth="1" style="34" min="777" max="779"/>
    <col width="21.21875" customWidth="1" style="34" min="780" max="780"/>
    <col width="12.77734375" customWidth="1" style="34" min="781" max="785"/>
    <col width="4.88671875" customWidth="1" style="34" min="786" max="786"/>
    <col width="8.88671875" customWidth="1" style="34" min="787" max="1024"/>
    <col width="13.6640625" bestFit="1" customWidth="1" style="34" min="1025" max="1025"/>
    <col width="5.21875" customWidth="1" style="34" min="1026" max="1032"/>
    <col width="7.109375" customWidth="1" style="34" min="1033" max="1035"/>
    <col width="21.21875" customWidth="1" style="34" min="1036" max="1036"/>
    <col width="12.77734375" customWidth="1" style="34" min="1037" max="1041"/>
    <col width="4.88671875" customWidth="1" style="34" min="1042" max="1042"/>
    <col width="8.88671875" customWidth="1" style="34" min="1043" max="1280"/>
    <col width="13.6640625" bestFit="1" customWidth="1" style="34" min="1281" max="1281"/>
    <col width="5.21875" customWidth="1" style="34" min="1282" max="1288"/>
    <col width="7.109375" customWidth="1" style="34" min="1289" max="1291"/>
    <col width="21.21875" customWidth="1" style="34" min="1292" max="1292"/>
    <col width="12.77734375" customWidth="1" style="34" min="1293" max="1297"/>
    <col width="4.88671875" customWidth="1" style="34" min="1298" max="1298"/>
    <col width="8.88671875" customWidth="1" style="34" min="1299" max="1536"/>
    <col width="13.6640625" bestFit="1" customWidth="1" style="34" min="1537" max="1537"/>
    <col width="5.21875" customWidth="1" style="34" min="1538" max="1544"/>
    <col width="7.109375" customWidth="1" style="34" min="1545" max="1547"/>
    <col width="21.21875" customWidth="1" style="34" min="1548" max="1548"/>
    <col width="12.77734375" customWidth="1" style="34" min="1549" max="1553"/>
    <col width="4.88671875" customWidth="1" style="34" min="1554" max="1554"/>
    <col width="8.88671875" customWidth="1" style="34" min="1555" max="1792"/>
    <col width="13.6640625" bestFit="1" customWidth="1" style="34" min="1793" max="1793"/>
    <col width="5.21875" customWidth="1" style="34" min="1794" max="1800"/>
    <col width="7.109375" customWidth="1" style="34" min="1801" max="1803"/>
    <col width="21.21875" customWidth="1" style="34" min="1804" max="1804"/>
    <col width="12.77734375" customWidth="1" style="34" min="1805" max="1809"/>
    <col width="4.88671875" customWidth="1" style="34" min="1810" max="1810"/>
    <col width="8.88671875" customWidth="1" style="34" min="1811" max="2048"/>
    <col width="13.6640625" bestFit="1" customWidth="1" style="34" min="2049" max="2049"/>
    <col width="5.21875" customWidth="1" style="34" min="2050" max="2056"/>
    <col width="7.109375" customWidth="1" style="34" min="2057" max="2059"/>
    <col width="21.21875" customWidth="1" style="34" min="2060" max="2060"/>
    <col width="12.77734375" customWidth="1" style="34" min="2061" max="2065"/>
    <col width="4.88671875" customWidth="1" style="34" min="2066" max="2066"/>
    <col width="8.88671875" customWidth="1" style="34" min="2067" max="2304"/>
    <col width="13.6640625" bestFit="1" customWidth="1" style="34" min="2305" max="2305"/>
    <col width="5.21875" customWidth="1" style="34" min="2306" max="2312"/>
    <col width="7.109375" customWidth="1" style="34" min="2313" max="2315"/>
    <col width="21.21875" customWidth="1" style="34" min="2316" max="2316"/>
    <col width="12.77734375" customWidth="1" style="34" min="2317" max="2321"/>
    <col width="4.88671875" customWidth="1" style="34" min="2322" max="2322"/>
    <col width="8.88671875" customWidth="1" style="34" min="2323" max="2560"/>
    <col width="13.6640625" bestFit="1" customWidth="1" style="34" min="2561" max="2561"/>
    <col width="5.21875" customWidth="1" style="34" min="2562" max="2568"/>
    <col width="7.109375" customWidth="1" style="34" min="2569" max="2571"/>
    <col width="21.21875" customWidth="1" style="34" min="2572" max="2572"/>
    <col width="12.77734375" customWidth="1" style="34" min="2573" max="2577"/>
    <col width="4.88671875" customWidth="1" style="34" min="2578" max="2578"/>
    <col width="8.88671875" customWidth="1" style="34" min="2579" max="2816"/>
    <col width="13.6640625" bestFit="1" customWidth="1" style="34" min="2817" max="2817"/>
    <col width="5.21875" customWidth="1" style="34" min="2818" max="2824"/>
    <col width="7.109375" customWidth="1" style="34" min="2825" max="2827"/>
    <col width="21.21875" customWidth="1" style="34" min="2828" max="2828"/>
    <col width="12.77734375" customWidth="1" style="34" min="2829" max="2833"/>
    <col width="4.88671875" customWidth="1" style="34" min="2834" max="2834"/>
    <col width="8.88671875" customWidth="1" style="34" min="2835" max="3072"/>
    <col width="13.6640625" bestFit="1" customWidth="1" style="34" min="3073" max="3073"/>
    <col width="5.21875" customWidth="1" style="34" min="3074" max="3080"/>
    <col width="7.109375" customWidth="1" style="34" min="3081" max="3083"/>
    <col width="21.21875" customWidth="1" style="34" min="3084" max="3084"/>
    <col width="12.77734375" customWidth="1" style="34" min="3085" max="3089"/>
    <col width="4.88671875" customWidth="1" style="34" min="3090" max="3090"/>
    <col width="8.88671875" customWidth="1" style="34" min="3091" max="3328"/>
    <col width="13.6640625" bestFit="1" customWidth="1" style="34" min="3329" max="3329"/>
    <col width="5.21875" customWidth="1" style="34" min="3330" max="3336"/>
    <col width="7.109375" customWidth="1" style="34" min="3337" max="3339"/>
    <col width="21.21875" customWidth="1" style="34" min="3340" max="3340"/>
    <col width="12.77734375" customWidth="1" style="34" min="3341" max="3345"/>
    <col width="4.88671875" customWidth="1" style="34" min="3346" max="3346"/>
    <col width="8.88671875" customWidth="1" style="34" min="3347" max="3584"/>
    <col width="13.6640625" bestFit="1" customWidth="1" style="34" min="3585" max="3585"/>
    <col width="5.21875" customWidth="1" style="34" min="3586" max="3592"/>
    <col width="7.109375" customWidth="1" style="34" min="3593" max="3595"/>
    <col width="21.21875" customWidth="1" style="34" min="3596" max="3596"/>
    <col width="12.77734375" customWidth="1" style="34" min="3597" max="3601"/>
    <col width="4.88671875" customWidth="1" style="34" min="3602" max="3602"/>
    <col width="8.88671875" customWidth="1" style="34" min="3603" max="3840"/>
    <col width="13.6640625" bestFit="1" customWidth="1" style="34" min="3841" max="3841"/>
    <col width="5.21875" customWidth="1" style="34" min="3842" max="3848"/>
    <col width="7.109375" customWidth="1" style="34" min="3849" max="3851"/>
    <col width="21.21875" customWidth="1" style="34" min="3852" max="3852"/>
    <col width="12.77734375" customWidth="1" style="34" min="3853" max="3857"/>
    <col width="4.88671875" customWidth="1" style="34" min="3858" max="3858"/>
    <col width="8.88671875" customWidth="1" style="34" min="3859" max="4096"/>
    <col width="13.6640625" bestFit="1" customWidth="1" style="34" min="4097" max="4097"/>
    <col width="5.21875" customWidth="1" style="34" min="4098" max="4104"/>
    <col width="7.109375" customWidth="1" style="34" min="4105" max="4107"/>
    <col width="21.21875" customWidth="1" style="34" min="4108" max="4108"/>
    <col width="12.77734375" customWidth="1" style="34" min="4109" max="4113"/>
    <col width="4.88671875" customWidth="1" style="34" min="4114" max="4114"/>
    <col width="8.88671875" customWidth="1" style="34" min="4115" max="4352"/>
    <col width="13.6640625" bestFit="1" customWidth="1" style="34" min="4353" max="4353"/>
    <col width="5.21875" customWidth="1" style="34" min="4354" max="4360"/>
    <col width="7.109375" customWidth="1" style="34" min="4361" max="4363"/>
    <col width="21.21875" customWidth="1" style="34" min="4364" max="4364"/>
    <col width="12.77734375" customWidth="1" style="34" min="4365" max="4369"/>
    <col width="4.88671875" customWidth="1" style="34" min="4370" max="4370"/>
    <col width="8.88671875" customWidth="1" style="34" min="4371" max="4608"/>
    <col width="13.6640625" bestFit="1" customWidth="1" style="34" min="4609" max="4609"/>
    <col width="5.21875" customWidth="1" style="34" min="4610" max="4616"/>
    <col width="7.109375" customWidth="1" style="34" min="4617" max="4619"/>
    <col width="21.21875" customWidth="1" style="34" min="4620" max="4620"/>
    <col width="12.77734375" customWidth="1" style="34" min="4621" max="4625"/>
    <col width="4.88671875" customWidth="1" style="34" min="4626" max="4626"/>
    <col width="8.88671875" customWidth="1" style="34" min="4627" max="4864"/>
    <col width="13.6640625" bestFit="1" customWidth="1" style="34" min="4865" max="4865"/>
    <col width="5.21875" customWidth="1" style="34" min="4866" max="4872"/>
    <col width="7.109375" customWidth="1" style="34" min="4873" max="4875"/>
    <col width="21.21875" customWidth="1" style="34" min="4876" max="4876"/>
    <col width="12.77734375" customWidth="1" style="34" min="4877" max="4881"/>
    <col width="4.88671875" customWidth="1" style="34" min="4882" max="4882"/>
    <col width="8.88671875" customWidth="1" style="34" min="4883" max="5120"/>
    <col width="13.6640625" bestFit="1" customWidth="1" style="34" min="5121" max="5121"/>
    <col width="5.21875" customWidth="1" style="34" min="5122" max="5128"/>
    <col width="7.109375" customWidth="1" style="34" min="5129" max="5131"/>
    <col width="21.21875" customWidth="1" style="34" min="5132" max="5132"/>
    <col width="12.77734375" customWidth="1" style="34" min="5133" max="5137"/>
    <col width="4.88671875" customWidth="1" style="34" min="5138" max="5138"/>
    <col width="8.88671875" customWidth="1" style="34" min="5139" max="5376"/>
    <col width="13.6640625" bestFit="1" customWidth="1" style="34" min="5377" max="5377"/>
    <col width="5.21875" customWidth="1" style="34" min="5378" max="5384"/>
    <col width="7.109375" customWidth="1" style="34" min="5385" max="5387"/>
    <col width="21.21875" customWidth="1" style="34" min="5388" max="5388"/>
    <col width="12.77734375" customWidth="1" style="34" min="5389" max="5393"/>
    <col width="4.88671875" customWidth="1" style="34" min="5394" max="5394"/>
    <col width="8.88671875" customWidth="1" style="34" min="5395" max="5632"/>
    <col width="13.6640625" bestFit="1" customWidth="1" style="34" min="5633" max="5633"/>
    <col width="5.21875" customWidth="1" style="34" min="5634" max="5640"/>
    <col width="7.109375" customWidth="1" style="34" min="5641" max="5643"/>
    <col width="21.21875" customWidth="1" style="34" min="5644" max="5644"/>
    <col width="12.77734375" customWidth="1" style="34" min="5645" max="5649"/>
    <col width="4.88671875" customWidth="1" style="34" min="5650" max="5650"/>
    <col width="8.88671875" customWidth="1" style="34" min="5651" max="5888"/>
    <col width="13.6640625" bestFit="1" customWidth="1" style="34" min="5889" max="5889"/>
    <col width="5.21875" customWidth="1" style="34" min="5890" max="5896"/>
    <col width="7.109375" customWidth="1" style="34" min="5897" max="5899"/>
    <col width="21.21875" customWidth="1" style="34" min="5900" max="5900"/>
    <col width="12.77734375" customWidth="1" style="34" min="5901" max="5905"/>
    <col width="4.88671875" customWidth="1" style="34" min="5906" max="5906"/>
    <col width="8.88671875" customWidth="1" style="34" min="5907" max="6144"/>
    <col width="13.6640625" bestFit="1" customWidth="1" style="34" min="6145" max="6145"/>
    <col width="5.21875" customWidth="1" style="34" min="6146" max="6152"/>
    <col width="7.109375" customWidth="1" style="34" min="6153" max="6155"/>
    <col width="21.21875" customWidth="1" style="34" min="6156" max="6156"/>
    <col width="12.77734375" customWidth="1" style="34" min="6157" max="6161"/>
    <col width="4.88671875" customWidth="1" style="34" min="6162" max="6162"/>
    <col width="8.88671875" customWidth="1" style="34" min="6163" max="6400"/>
    <col width="13.6640625" bestFit="1" customWidth="1" style="34" min="6401" max="6401"/>
    <col width="5.21875" customWidth="1" style="34" min="6402" max="6408"/>
    <col width="7.109375" customWidth="1" style="34" min="6409" max="6411"/>
    <col width="21.21875" customWidth="1" style="34" min="6412" max="6412"/>
    <col width="12.77734375" customWidth="1" style="34" min="6413" max="6417"/>
    <col width="4.88671875" customWidth="1" style="34" min="6418" max="6418"/>
    <col width="8.88671875" customWidth="1" style="34" min="6419" max="6656"/>
    <col width="13.6640625" bestFit="1" customWidth="1" style="34" min="6657" max="6657"/>
    <col width="5.21875" customWidth="1" style="34" min="6658" max="6664"/>
    <col width="7.109375" customWidth="1" style="34" min="6665" max="6667"/>
    <col width="21.21875" customWidth="1" style="34" min="6668" max="6668"/>
    <col width="12.77734375" customWidth="1" style="34" min="6669" max="6673"/>
    <col width="4.88671875" customWidth="1" style="34" min="6674" max="6674"/>
    <col width="8.88671875" customWidth="1" style="34" min="6675" max="6912"/>
    <col width="13.6640625" bestFit="1" customWidth="1" style="34" min="6913" max="6913"/>
    <col width="5.21875" customWidth="1" style="34" min="6914" max="6920"/>
    <col width="7.109375" customWidth="1" style="34" min="6921" max="6923"/>
    <col width="21.21875" customWidth="1" style="34" min="6924" max="6924"/>
    <col width="12.77734375" customWidth="1" style="34" min="6925" max="6929"/>
    <col width="4.88671875" customWidth="1" style="34" min="6930" max="6930"/>
    <col width="8.88671875" customWidth="1" style="34" min="6931" max="7168"/>
    <col width="13.6640625" bestFit="1" customWidth="1" style="34" min="7169" max="7169"/>
    <col width="5.21875" customWidth="1" style="34" min="7170" max="7176"/>
    <col width="7.109375" customWidth="1" style="34" min="7177" max="7179"/>
    <col width="21.21875" customWidth="1" style="34" min="7180" max="7180"/>
    <col width="12.77734375" customWidth="1" style="34" min="7181" max="7185"/>
    <col width="4.88671875" customWidth="1" style="34" min="7186" max="7186"/>
    <col width="8.88671875" customWidth="1" style="34" min="7187" max="7424"/>
    <col width="13.6640625" bestFit="1" customWidth="1" style="34" min="7425" max="7425"/>
    <col width="5.21875" customWidth="1" style="34" min="7426" max="7432"/>
    <col width="7.109375" customWidth="1" style="34" min="7433" max="7435"/>
    <col width="21.21875" customWidth="1" style="34" min="7436" max="7436"/>
    <col width="12.77734375" customWidth="1" style="34" min="7437" max="7441"/>
    <col width="4.88671875" customWidth="1" style="34" min="7442" max="7442"/>
    <col width="8.88671875" customWidth="1" style="34" min="7443" max="7680"/>
    <col width="13.6640625" bestFit="1" customWidth="1" style="34" min="7681" max="7681"/>
    <col width="5.21875" customWidth="1" style="34" min="7682" max="7688"/>
    <col width="7.109375" customWidth="1" style="34" min="7689" max="7691"/>
    <col width="21.21875" customWidth="1" style="34" min="7692" max="7692"/>
    <col width="12.77734375" customWidth="1" style="34" min="7693" max="7697"/>
    <col width="4.88671875" customWidth="1" style="34" min="7698" max="7698"/>
    <col width="8.88671875" customWidth="1" style="34" min="7699" max="7936"/>
    <col width="13.6640625" bestFit="1" customWidth="1" style="34" min="7937" max="7937"/>
    <col width="5.21875" customWidth="1" style="34" min="7938" max="7944"/>
    <col width="7.109375" customWidth="1" style="34" min="7945" max="7947"/>
    <col width="21.21875" customWidth="1" style="34" min="7948" max="7948"/>
    <col width="12.77734375" customWidth="1" style="34" min="7949" max="7953"/>
    <col width="4.88671875" customWidth="1" style="34" min="7954" max="7954"/>
    <col width="8.88671875" customWidth="1" style="34" min="7955" max="8192"/>
    <col width="13.6640625" bestFit="1" customWidth="1" style="34" min="8193" max="8193"/>
    <col width="5.21875" customWidth="1" style="34" min="8194" max="8200"/>
    <col width="7.109375" customWidth="1" style="34" min="8201" max="8203"/>
    <col width="21.21875" customWidth="1" style="34" min="8204" max="8204"/>
    <col width="12.77734375" customWidth="1" style="34" min="8205" max="8209"/>
    <col width="4.88671875" customWidth="1" style="34" min="8210" max="8210"/>
    <col width="8.88671875" customWidth="1" style="34" min="8211" max="8448"/>
    <col width="13.6640625" bestFit="1" customWidth="1" style="34" min="8449" max="8449"/>
    <col width="5.21875" customWidth="1" style="34" min="8450" max="8456"/>
    <col width="7.109375" customWidth="1" style="34" min="8457" max="8459"/>
    <col width="21.21875" customWidth="1" style="34" min="8460" max="8460"/>
    <col width="12.77734375" customWidth="1" style="34" min="8461" max="8465"/>
    <col width="4.88671875" customWidth="1" style="34" min="8466" max="8466"/>
    <col width="8.88671875" customWidth="1" style="34" min="8467" max="8704"/>
    <col width="13.6640625" bestFit="1" customWidth="1" style="34" min="8705" max="8705"/>
    <col width="5.21875" customWidth="1" style="34" min="8706" max="8712"/>
    <col width="7.109375" customWidth="1" style="34" min="8713" max="8715"/>
    <col width="21.21875" customWidth="1" style="34" min="8716" max="8716"/>
    <col width="12.77734375" customWidth="1" style="34" min="8717" max="8721"/>
    <col width="4.88671875" customWidth="1" style="34" min="8722" max="8722"/>
    <col width="8.88671875" customWidth="1" style="34" min="8723" max="8960"/>
    <col width="13.6640625" bestFit="1" customWidth="1" style="34" min="8961" max="8961"/>
    <col width="5.21875" customWidth="1" style="34" min="8962" max="8968"/>
    <col width="7.109375" customWidth="1" style="34" min="8969" max="8971"/>
    <col width="21.21875" customWidth="1" style="34" min="8972" max="8972"/>
    <col width="12.77734375" customWidth="1" style="34" min="8973" max="8977"/>
    <col width="4.88671875" customWidth="1" style="34" min="8978" max="8978"/>
    <col width="8.88671875" customWidth="1" style="34" min="8979" max="9216"/>
    <col width="13.6640625" bestFit="1" customWidth="1" style="34" min="9217" max="9217"/>
    <col width="5.21875" customWidth="1" style="34" min="9218" max="9224"/>
    <col width="7.109375" customWidth="1" style="34" min="9225" max="9227"/>
    <col width="21.21875" customWidth="1" style="34" min="9228" max="9228"/>
    <col width="12.77734375" customWidth="1" style="34" min="9229" max="9233"/>
    <col width="4.88671875" customWidth="1" style="34" min="9234" max="9234"/>
    <col width="8.88671875" customWidth="1" style="34" min="9235" max="9472"/>
    <col width="13.6640625" bestFit="1" customWidth="1" style="34" min="9473" max="9473"/>
    <col width="5.21875" customWidth="1" style="34" min="9474" max="9480"/>
    <col width="7.109375" customWidth="1" style="34" min="9481" max="9483"/>
    <col width="21.21875" customWidth="1" style="34" min="9484" max="9484"/>
    <col width="12.77734375" customWidth="1" style="34" min="9485" max="9489"/>
    <col width="4.88671875" customWidth="1" style="34" min="9490" max="9490"/>
    <col width="8.88671875" customWidth="1" style="34" min="9491" max="9728"/>
    <col width="13.6640625" bestFit="1" customWidth="1" style="34" min="9729" max="9729"/>
    <col width="5.21875" customWidth="1" style="34" min="9730" max="9736"/>
    <col width="7.109375" customWidth="1" style="34" min="9737" max="9739"/>
    <col width="21.21875" customWidth="1" style="34" min="9740" max="9740"/>
    <col width="12.77734375" customWidth="1" style="34" min="9741" max="9745"/>
    <col width="4.88671875" customWidth="1" style="34" min="9746" max="9746"/>
    <col width="8.88671875" customWidth="1" style="34" min="9747" max="9984"/>
    <col width="13.6640625" bestFit="1" customWidth="1" style="34" min="9985" max="9985"/>
    <col width="5.21875" customWidth="1" style="34" min="9986" max="9992"/>
    <col width="7.109375" customWidth="1" style="34" min="9993" max="9995"/>
    <col width="21.21875" customWidth="1" style="34" min="9996" max="9996"/>
    <col width="12.77734375" customWidth="1" style="34" min="9997" max="10001"/>
    <col width="4.88671875" customWidth="1" style="34" min="10002" max="10002"/>
    <col width="8.88671875" customWidth="1" style="34" min="10003" max="10240"/>
    <col width="13.6640625" bestFit="1" customWidth="1" style="34" min="10241" max="10241"/>
    <col width="5.21875" customWidth="1" style="34" min="10242" max="10248"/>
    <col width="7.109375" customWidth="1" style="34" min="10249" max="10251"/>
    <col width="21.21875" customWidth="1" style="34" min="10252" max="10252"/>
    <col width="12.77734375" customWidth="1" style="34" min="10253" max="10257"/>
    <col width="4.88671875" customWidth="1" style="34" min="10258" max="10258"/>
    <col width="8.88671875" customWidth="1" style="34" min="10259" max="10496"/>
    <col width="13.6640625" bestFit="1" customWidth="1" style="34" min="10497" max="10497"/>
    <col width="5.21875" customWidth="1" style="34" min="10498" max="10504"/>
    <col width="7.109375" customWidth="1" style="34" min="10505" max="10507"/>
    <col width="21.21875" customWidth="1" style="34" min="10508" max="10508"/>
    <col width="12.77734375" customWidth="1" style="34" min="10509" max="10513"/>
    <col width="4.88671875" customWidth="1" style="34" min="10514" max="10514"/>
    <col width="8.88671875" customWidth="1" style="34" min="10515" max="10752"/>
    <col width="13.6640625" bestFit="1" customWidth="1" style="34" min="10753" max="10753"/>
    <col width="5.21875" customWidth="1" style="34" min="10754" max="10760"/>
    <col width="7.109375" customWidth="1" style="34" min="10761" max="10763"/>
    <col width="21.21875" customWidth="1" style="34" min="10764" max="10764"/>
    <col width="12.77734375" customWidth="1" style="34" min="10765" max="10769"/>
    <col width="4.88671875" customWidth="1" style="34" min="10770" max="10770"/>
    <col width="8.88671875" customWidth="1" style="34" min="10771" max="11008"/>
    <col width="13.6640625" bestFit="1" customWidth="1" style="34" min="11009" max="11009"/>
    <col width="5.21875" customWidth="1" style="34" min="11010" max="11016"/>
    <col width="7.109375" customWidth="1" style="34" min="11017" max="11019"/>
    <col width="21.21875" customWidth="1" style="34" min="11020" max="11020"/>
    <col width="12.77734375" customWidth="1" style="34" min="11021" max="11025"/>
    <col width="4.88671875" customWidth="1" style="34" min="11026" max="11026"/>
    <col width="8.88671875" customWidth="1" style="34" min="11027" max="11264"/>
    <col width="13.6640625" bestFit="1" customWidth="1" style="34" min="11265" max="11265"/>
    <col width="5.21875" customWidth="1" style="34" min="11266" max="11272"/>
    <col width="7.109375" customWidth="1" style="34" min="11273" max="11275"/>
    <col width="21.21875" customWidth="1" style="34" min="11276" max="11276"/>
    <col width="12.77734375" customWidth="1" style="34" min="11277" max="11281"/>
    <col width="4.88671875" customWidth="1" style="34" min="11282" max="11282"/>
    <col width="8.88671875" customWidth="1" style="34" min="11283" max="11520"/>
    <col width="13.6640625" bestFit="1" customWidth="1" style="34" min="11521" max="11521"/>
    <col width="5.21875" customWidth="1" style="34" min="11522" max="11528"/>
    <col width="7.109375" customWidth="1" style="34" min="11529" max="11531"/>
    <col width="21.21875" customWidth="1" style="34" min="11532" max="11532"/>
    <col width="12.77734375" customWidth="1" style="34" min="11533" max="11537"/>
    <col width="4.88671875" customWidth="1" style="34" min="11538" max="11538"/>
    <col width="8.88671875" customWidth="1" style="34" min="11539" max="11776"/>
    <col width="13.6640625" bestFit="1" customWidth="1" style="34" min="11777" max="11777"/>
    <col width="5.21875" customWidth="1" style="34" min="11778" max="11784"/>
    <col width="7.109375" customWidth="1" style="34" min="11785" max="11787"/>
    <col width="21.21875" customWidth="1" style="34" min="11788" max="11788"/>
    <col width="12.77734375" customWidth="1" style="34" min="11789" max="11793"/>
    <col width="4.88671875" customWidth="1" style="34" min="11794" max="11794"/>
    <col width="8.88671875" customWidth="1" style="34" min="11795" max="12032"/>
    <col width="13.6640625" bestFit="1" customWidth="1" style="34" min="12033" max="12033"/>
    <col width="5.21875" customWidth="1" style="34" min="12034" max="12040"/>
    <col width="7.109375" customWidth="1" style="34" min="12041" max="12043"/>
    <col width="21.21875" customWidth="1" style="34" min="12044" max="12044"/>
    <col width="12.77734375" customWidth="1" style="34" min="12045" max="12049"/>
    <col width="4.88671875" customWidth="1" style="34" min="12050" max="12050"/>
    <col width="8.88671875" customWidth="1" style="34" min="12051" max="12288"/>
    <col width="13.6640625" bestFit="1" customWidth="1" style="34" min="12289" max="12289"/>
    <col width="5.21875" customWidth="1" style="34" min="12290" max="12296"/>
    <col width="7.109375" customWidth="1" style="34" min="12297" max="12299"/>
    <col width="21.21875" customWidth="1" style="34" min="12300" max="12300"/>
    <col width="12.77734375" customWidth="1" style="34" min="12301" max="12305"/>
    <col width="4.88671875" customWidth="1" style="34" min="12306" max="12306"/>
    <col width="8.88671875" customWidth="1" style="34" min="12307" max="12544"/>
    <col width="13.6640625" bestFit="1" customWidth="1" style="34" min="12545" max="12545"/>
    <col width="5.21875" customWidth="1" style="34" min="12546" max="12552"/>
    <col width="7.109375" customWidth="1" style="34" min="12553" max="12555"/>
    <col width="21.21875" customWidth="1" style="34" min="12556" max="12556"/>
    <col width="12.77734375" customWidth="1" style="34" min="12557" max="12561"/>
    <col width="4.88671875" customWidth="1" style="34" min="12562" max="12562"/>
    <col width="8.88671875" customWidth="1" style="34" min="12563" max="12800"/>
    <col width="13.6640625" bestFit="1" customWidth="1" style="34" min="12801" max="12801"/>
    <col width="5.21875" customWidth="1" style="34" min="12802" max="12808"/>
    <col width="7.109375" customWidth="1" style="34" min="12809" max="12811"/>
    <col width="21.21875" customWidth="1" style="34" min="12812" max="12812"/>
    <col width="12.77734375" customWidth="1" style="34" min="12813" max="12817"/>
    <col width="4.88671875" customWidth="1" style="34" min="12818" max="12818"/>
    <col width="8.88671875" customWidth="1" style="34" min="12819" max="13056"/>
    <col width="13.6640625" bestFit="1" customWidth="1" style="34" min="13057" max="13057"/>
    <col width="5.21875" customWidth="1" style="34" min="13058" max="13064"/>
    <col width="7.109375" customWidth="1" style="34" min="13065" max="13067"/>
    <col width="21.21875" customWidth="1" style="34" min="13068" max="13068"/>
    <col width="12.77734375" customWidth="1" style="34" min="13069" max="13073"/>
    <col width="4.88671875" customWidth="1" style="34" min="13074" max="13074"/>
    <col width="8.88671875" customWidth="1" style="34" min="13075" max="13312"/>
    <col width="13.6640625" bestFit="1" customWidth="1" style="34" min="13313" max="13313"/>
    <col width="5.21875" customWidth="1" style="34" min="13314" max="13320"/>
    <col width="7.109375" customWidth="1" style="34" min="13321" max="13323"/>
    <col width="21.21875" customWidth="1" style="34" min="13324" max="13324"/>
    <col width="12.77734375" customWidth="1" style="34" min="13325" max="13329"/>
    <col width="4.88671875" customWidth="1" style="34" min="13330" max="13330"/>
    <col width="8.88671875" customWidth="1" style="34" min="13331" max="13568"/>
    <col width="13.6640625" bestFit="1" customWidth="1" style="34" min="13569" max="13569"/>
    <col width="5.21875" customWidth="1" style="34" min="13570" max="13576"/>
    <col width="7.109375" customWidth="1" style="34" min="13577" max="13579"/>
    <col width="21.21875" customWidth="1" style="34" min="13580" max="13580"/>
    <col width="12.77734375" customWidth="1" style="34" min="13581" max="13585"/>
    <col width="4.88671875" customWidth="1" style="34" min="13586" max="13586"/>
    <col width="8.88671875" customWidth="1" style="34" min="13587" max="13824"/>
    <col width="13.6640625" bestFit="1" customWidth="1" style="34" min="13825" max="13825"/>
    <col width="5.21875" customWidth="1" style="34" min="13826" max="13832"/>
    <col width="7.109375" customWidth="1" style="34" min="13833" max="13835"/>
    <col width="21.21875" customWidth="1" style="34" min="13836" max="13836"/>
    <col width="12.77734375" customWidth="1" style="34" min="13837" max="13841"/>
    <col width="4.88671875" customWidth="1" style="34" min="13842" max="13842"/>
    <col width="8.88671875" customWidth="1" style="34" min="13843" max="14080"/>
    <col width="13.6640625" bestFit="1" customWidth="1" style="34" min="14081" max="14081"/>
    <col width="5.21875" customWidth="1" style="34" min="14082" max="14088"/>
    <col width="7.109375" customWidth="1" style="34" min="14089" max="14091"/>
    <col width="21.21875" customWidth="1" style="34" min="14092" max="14092"/>
    <col width="12.77734375" customWidth="1" style="34" min="14093" max="14097"/>
    <col width="4.88671875" customWidth="1" style="34" min="14098" max="14098"/>
    <col width="8.88671875" customWidth="1" style="34" min="14099" max="14336"/>
    <col width="13.6640625" bestFit="1" customWidth="1" style="34" min="14337" max="14337"/>
    <col width="5.21875" customWidth="1" style="34" min="14338" max="14344"/>
    <col width="7.109375" customWidth="1" style="34" min="14345" max="14347"/>
    <col width="21.21875" customWidth="1" style="34" min="14348" max="14348"/>
    <col width="12.77734375" customWidth="1" style="34" min="14349" max="14353"/>
    <col width="4.88671875" customWidth="1" style="34" min="14354" max="14354"/>
    <col width="8.88671875" customWidth="1" style="34" min="14355" max="14592"/>
    <col width="13.6640625" bestFit="1" customWidth="1" style="34" min="14593" max="14593"/>
    <col width="5.21875" customWidth="1" style="34" min="14594" max="14600"/>
    <col width="7.109375" customWidth="1" style="34" min="14601" max="14603"/>
    <col width="21.21875" customWidth="1" style="34" min="14604" max="14604"/>
    <col width="12.77734375" customWidth="1" style="34" min="14605" max="14609"/>
    <col width="4.88671875" customWidth="1" style="34" min="14610" max="14610"/>
    <col width="8.88671875" customWidth="1" style="34" min="14611" max="14848"/>
    <col width="13.6640625" bestFit="1" customWidth="1" style="34" min="14849" max="14849"/>
    <col width="5.21875" customWidth="1" style="34" min="14850" max="14856"/>
    <col width="7.109375" customWidth="1" style="34" min="14857" max="14859"/>
    <col width="21.21875" customWidth="1" style="34" min="14860" max="14860"/>
    <col width="12.77734375" customWidth="1" style="34" min="14861" max="14865"/>
    <col width="4.88671875" customWidth="1" style="34" min="14866" max="14866"/>
    <col width="8.88671875" customWidth="1" style="34" min="14867" max="15104"/>
    <col width="13.6640625" bestFit="1" customWidth="1" style="34" min="15105" max="15105"/>
    <col width="5.21875" customWidth="1" style="34" min="15106" max="15112"/>
    <col width="7.109375" customWidth="1" style="34" min="15113" max="15115"/>
    <col width="21.21875" customWidth="1" style="34" min="15116" max="15116"/>
    <col width="12.77734375" customWidth="1" style="34" min="15117" max="15121"/>
    <col width="4.88671875" customWidth="1" style="34" min="15122" max="15122"/>
    <col width="8.88671875" customWidth="1" style="34" min="15123" max="15360"/>
    <col width="13.6640625" bestFit="1" customWidth="1" style="34" min="15361" max="15361"/>
    <col width="5.21875" customWidth="1" style="34" min="15362" max="15368"/>
    <col width="7.109375" customWidth="1" style="34" min="15369" max="15371"/>
    <col width="21.21875" customWidth="1" style="34" min="15372" max="15372"/>
    <col width="12.77734375" customWidth="1" style="34" min="15373" max="15377"/>
    <col width="4.88671875" customWidth="1" style="34" min="15378" max="15378"/>
    <col width="8.88671875" customWidth="1" style="34" min="15379" max="15616"/>
    <col width="13.6640625" bestFit="1" customWidth="1" style="34" min="15617" max="15617"/>
    <col width="5.21875" customWidth="1" style="34" min="15618" max="15624"/>
    <col width="7.109375" customWidth="1" style="34" min="15625" max="15627"/>
    <col width="21.21875" customWidth="1" style="34" min="15628" max="15628"/>
    <col width="12.77734375" customWidth="1" style="34" min="15629" max="15633"/>
    <col width="4.88671875" customWidth="1" style="34" min="15634" max="15634"/>
    <col width="8.88671875" customWidth="1" style="34" min="15635" max="15872"/>
    <col width="13.6640625" bestFit="1" customWidth="1" style="34" min="15873" max="15873"/>
    <col width="5.21875" customWidth="1" style="34" min="15874" max="15880"/>
    <col width="7.109375" customWidth="1" style="34" min="15881" max="15883"/>
    <col width="21.21875" customWidth="1" style="34" min="15884" max="15884"/>
    <col width="12.77734375" customWidth="1" style="34" min="15885" max="15889"/>
    <col width="4.88671875" customWidth="1" style="34" min="15890" max="15890"/>
    <col width="8.88671875" customWidth="1" style="34" min="15891" max="16128"/>
    <col width="13.6640625" bestFit="1" customWidth="1" style="34" min="16129" max="16129"/>
    <col width="5.21875" customWidth="1" style="34" min="16130" max="16136"/>
    <col width="7.109375" customWidth="1" style="34" min="16137" max="16139"/>
    <col width="21.21875" customWidth="1" style="34" min="16140" max="16140"/>
    <col width="12.77734375" customWidth="1" style="34" min="16141" max="16145"/>
    <col width="4.88671875" customWidth="1" style="34" min="16146" max="16146"/>
    <col width="8.88671875" customWidth="1" style="34" min="16147" max="16384"/>
  </cols>
  <sheetData>
    <row r="1" ht="35.25" customHeight="1">
      <c r="A1" s="672" t="n"/>
      <c r="B1" s="614" t="n"/>
      <c r="C1" s="614" t="n"/>
      <c r="D1" s="614" t="n"/>
      <c r="E1" s="615" t="n"/>
      <c r="F1" s="673" t="inlineStr">
        <is>
          <t>절차 SẢN XUẤT THỬ NGHIỆM
(TRIAL PRODUCTION PROCEDURE)</t>
        </is>
      </c>
      <c r="G1" s="614" t="n"/>
      <c r="H1" s="614" t="n"/>
      <c r="I1" s="614" t="n"/>
      <c r="J1" s="614" t="n"/>
      <c r="K1" s="614" t="n"/>
      <c r="L1" s="614" t="n"/>
      <c r="M1" s="614" t="n"/>
      <c r="N1" s="615" t="n"/>
      <c r="O1" s="322" t="inlineStr">
        <is>
          <t>부서장
(그룹)</t>
        </is>
      </c>
      <c r="P1" s="122" t="inlineStr">
        <is>
          <t>팀이 개발하다
(연구개발)</t>
        </is>
      </c>
      <c r="Q1" s="125" t="inlineStr">
        <is>
          <t>Trang
(Page)</t>
        </is>
      </c>
    </row>
    <row r="2" ht="31.5" customHeight="1" thickBot="1">
      <c r="A2" s="669" t="n"/>
      <c r="B2" s="670" t="n"/>
      <c r="C2" s="670" t="n"/>
      <c r="D2" s="670" t="n"/>
      <c r="E2" s="674" t="n"/>
      <c r="F2" s="675" t="n"/>
      <c r="G2" s="670" t="n"/>
      <c r="H2" s="670" t="n"/>
      <c r="I2" s="670" t="n"/>
      <c r="J2" s="670" t="n"/>
      <c r="K2" s="670" t="n"/>
      <c r="L2" s="670" t="n"/>
      <c r="M2" s="670" t="n"/>
      <c r="N2" s="674" t="n"/>
      <c r="O2" s="126" t="inlineStr">
        <is>
          <t>문서 코드
(Doc Code)</t>
        </is>
      </c>
      <c r="P2" s="449" t="inlineStr">
        <is>
          <t>R&amp;D.02.02.06</t>
        </is>
      </c>
      <c r="Q2" s="129" t="inlineStr">
        <is>
          <t>2/4</t>
        </is>
      </c>
    </row>
    <row r="3" ht="28.5" customHeight="1">
      <c r="A3" s="676" t="inlineStr">
        <is>
          <t>단계 
수행하다
(단계)</t>
        </is>
      </c>
      <c r="B3" s="677" t="inlineStr">
        <is>
          <t>절차 맵</t>
        </is>
      </c>
      <c r="C3" s="652" t="n"/>
      <c r="D3" s="652" t="n"/>
      <c r="E3" s="652" t="n"/>
      <c r="F3" s="652" t="n"/>
      <c r="G3" s="652" t="n"/>
      <c r="H3" s="652" t="n"/>
      <c r="I3" s="652" t="n"/>
      <c r="J3" s="652" t="n"/>
      <c r="K3" s="652" t="n"/>
      <c r="L3" s="617" t="n"/>
      <c r="M3" s="678" t="inlineStr">
        <is>
          <t>통제 기준</t>
        </is>
      </c>
      <c r="N3" s="652" t="n"/>
      <c r="O3" s="652" t="n"/>
      <c r="P3" s="652" t="n"/>
      <c r="Q3" s="619" t="n"/>
    </row>
    <row r="4" ht="33.75" customHeight="1">
      <c r="A4" s="679" t="n"/>
      <c r="B4" s="402" t="inlineStr">
        <is>
          <t>고객
(Customer)</t>
        </is>
      </c>
      <c r="C4" s="633" t="n"/>
      <c r="D4" s="634" t="n"/>
      <c r="E4" s="402" t="inlineStr">
        <is>
          <t>팀 리더십
(이사회)</t>
        </is>
      </c>
      <c r="F4" s="654" t="n"/>
      <c r="G4" s="654" t="n"/>
      <c r="H4" s="624" t="n"/>
      <c r="I4" s="402" t="inlineStr">
        <is>
          <t>팀 관련
(관련부품사업부)</t>
        </is>
      </c>
      <c r="J4" s="654" t="n"/>
      <c r="K4" s="624" t="n"/>
      <c r="L4" s="396" t="inlineStr">
        <is>
          <t>내용을 진행하고
  활동 설명
(컨텐츠 배포 및 활동 설명)</t>
        </is>
      </c>
      <c r="M4" s="396" t="inlineStr">
        <is>
          <t>인적 자원 관리
(인적자원관리)
책임의무/권한
(책임/승인)</t>
        </is>
      </c>
      <c r="N4" s="680" t="inlineStr">
        <is>
          <t>입력
(입력)</t>
        </is>
      </c>
      <c r="O4" s="396" t="inlineStr">
        <is>
          <t>기록
[SW,HW]</t>
        </is>
      </c>
      <c r="P4" s="396" t="inlineStr">
        <is>
          <t>출력
(출력)</t>
        </is>
      </c>
      <c r="Q4" s="681" t="inlineStr">
        <is>
          <t>작업수행기준/검사항목
(직무수행기준/체크시트)</t>
        </is>
      </c>
    </row>
    <row r="5" ht="45.75" customHeight="1" thickBot="1">
      <c r="A5" s="682" t="n"/>
      <c r="B5" s="631" t="n"/>
      <c r="C5" s="629" t="n"/>
      <c r="D5" s="630" t="n"/>
      <c r="E5" s="396" t="inlineStr">
        <is>
          <t>팀 연구
 및 개발
(R&amp;D부서)</t>
        </is>
      </c>
      <c r="F5" s="665" t="n"/>
      <c r="G5" s="665" t="n"/>
      <c r="H5" s="663" t="n"/>
      <c r="I5" s="396" t="inlineStr">
        <is>
          <t>모든 관련 객실
(관련 부서 전체)</t>
        </is>
      </c>
      <c r="J5" s="665" t="n"/>
      <c r="K5" s="663" t="n"/>
      <c r="L5" s="683" t="n"/>
      <c r="M5" s="683" t="n"/>
      <c r="N5" s="674" t="n"/>
      <c r="O5" s="683" t="n"/>
      <c r="P5" s="683" t="n"/>
      <c r="Q5" s="684" t="n"/>
    </row>
    <row r="6" ht="67.5" customHeight="1">
      <c r="A6" s="40" t="inlineStr">
        <is>
          <t>Plan setting</t>
        </is>
      </c>
      <c r="B6" s="26" t="n"/>
      <c r="C6" s="26" t="n"/>
      <c r="D6" s="26" t="n"/>
      <c r="E6" s="27" t="n"/>
      <c r="F6" s="27" t="n"/>
      <c r="G6" s="27" t="n"/>
      <c r="H6" s="27" t="n"/>
      <c r="I6" s="28" t="n"/>
      <c r="J6" s="28" t="n"/>
      <c r="K6" s="29" t="n"/>
      <c r="L6" s="78" t="inlineStr">
        <is>
          <t>1. Development Manager will recognize customer's requirement and set up production plan with Material purchase and production department.</t>
        </is>
      </c>
      <c r="M6" s="76" t="inlineStr">
        <is>
          <t>개발 관리자
생산부장 소재부장
QC부장</t>
        </is>
      </c>
      <c r="N6" s="42" t="inlineStr">
        <is>
          <t xml:space="preserve">Quantity request by customer
</t>
        </is>
      </c>
      <c r="O6" s="76" t="inlineStr">
        <is>
          <t>시험 생산 plan</t>
        </is>
      </c>
      <c r="P6" s="41" t="inlineStr">
        <is>
          <t>Setting production plan</t>
        </is>
      </c>
      <c r="Q6" s="43" t="inlineStr">
        <is>
          <t>Customer's requirement</t>
        </is>
      </c>
    </row>
    <row r="7" ht="47.25" customHeight="1">
      <c r="A7" s="685" t="inlineStr">
        <is>
          <t xml:space="preserve">Preparation for production and inspection
</t>
        </is>
      </c>
      <c r="B7" s="21" t="n"/>
      <c r="C7" s="21" t="n"/>
      <c r="D7" s="21" t="n"/>
      <c r="E7" s="22" t="n"/>
      <c r="F7" s="22" t="n"/>
      <c r="G7" s="23" t="n"/>
      <c r="H7" s="22" t="n"/>
      <c r="I7" s="24" t="n"/>
      <c r="J7" s="24" t="n"/>
      <c r="K7" s="25" t="n"/>
      <c r="L7" s="415" t="inlineStr">
        <is>
          <t xml:space="preserve">1. Development Manager will follow trial production plan to prepare the production and storage of auxiliary materials, then request Quality department to inspect warehoused products.
2. Development and Production Manager will prepare all specifications and technical standards of each stage, including prepaing approval sample to submit customer for preparation for trial production.
</t>
        </is>
      </c>
      <c r="M7" s="416" t="inlineStr">
        <is>
          <t>Development Manager
Production Department Manager
Quality Department Manager</t>
        </is>
      </c>
      <c r="N7" s="416" t="inlineStr">
        <is>
          <t>Production plan</t>
        </is>
      </c>
      <c r="O7" s="417" t="inlineStr">
        <is>
          <t>Apperance inspection sheet</t>
        </is>
      </c>
      <c r="P7" s="416" t="inlineStr">
        <is>
          <t>Tested materials</t>
        </is>
      </c>
      <c r="Q7" s="412" t="inlineStr">
        <is>
          <t>Whether customer's required specifications are satisfied?</t>
        </is>
      </c>
    </row>
    <row r="8" ht="93.75" customHeight="1">
      <c r="A8" s="686" t="n"/>
      <c r="B8" s="26" t="n"/>
      <c r="C8" s="26" t="n"/>
      <c r="D8" s="26" t="n"/>
      <c r="E8" s="27" t="n"/>
      <c r="F8" s="27" t="n"/>
      <c r="G8" s="27" t="n"/>
      <c r="H8" s="27" t="n"/>
      <c r="I8" s="28" t="n"/>
      <c r="J8" s="28" t="n"/>
      <c r="K8" s="29" t="n"/>
      <c r="L8" s="687" t="n"/>
      <c r="M8" s="687" t="n"/>
      <c r="N8" s="687" t="n"/>
      <c r="O8" s="687" t="n"/>
      <c r="P8" s="687" t="n"/>
      <c r="Q8" s="688" t="n"/>
    </row>
    <row r="9" ht="130.5" customHeight="1">
      <c r="A9" s="40" t="inlineStr">
        <is>
          <t xml:space="preserve">시험 생산
</t>
        </is>
      </c>
      <c r="B9" s="26" t="n"/>
      <c r="C9" s="26" t="n"/>
      <c r="D9" s="26" t="n"/>
      <c r="E9" s="27" t="n"/>
      <c r="F9" s="27" t="n"/>
      <c r="G9" s="27" t="n"/>
      <c r="H9" s="27" t="n"/>
      <c r="I9" s="28" t="n"/>
      <c r="J9" s="28" t="n"/>
      <c r="K9" s="29" t="n"/>
      <c r="L9" s="79" t="inlineStr">
        <is>
          <t>1. Production Manager will follow trial production plan in order to conduct production, recording all parameters, conditions and of each relevant stage in production process.
2. Development Manager shall check specifications and technical conditions recorded by production department, check standard samples according to customer requirements in case of no arising production problems.</t>
        </is>
      </c>
      <c r="M9" s="417" t="inlineStr">
        <is>
          <t>Development Manager
Production Department Manager
Quality Department Manager</t>
        </is>
      </c>
      <c r="N9" s="80" t="inlineStr">
        <is>
          <t xml:space="preserve">Checked frame, type of machine, material
</t>
        </is>
      </c>
      <c r="O9" s="417" t="inlineStr">
        <is>
          <t>Production line</t>
        </is>
      </c>
      <c r="P9" s="417" t="inlineStr">
        <is>
          <t xml:space="preserve">Sample product
</t>
        </is>
      </c>
      <c r="Q9" s="81" t="inlineStr">
        <is>
          <t>Fit standard jigs
Specifications according to drawing standards
Standard in production</t>
        </is>
      </c>
    </row>
    <row r="10" ht="132" customFormat="1" customHeight="1" s="137">
      <c r="A10" s="133" t="inlineStr">
        <is>
          <t>Check, report preparation and error analysis</t>
        </is>
      </c>
      <c r="B10" s="134" t="n"/>
      <c r="C10" s="134" t="n"/>
      <c r="D10" s="134" t="n"/>
      <c r="E10" s="135" t="n"/>
      <c r="F10" s="135" t="n"/>
      <c r="G10" s="135" t="n"/>
      <c r="H10" s="135" t="n"/>
      <c r="I10" s="134" t="n"/>
      <c r="J10" s="134" t="n"/>
      <c r="K10" s="136" t="n"/>
      <c r="L10" s="90" t="inlineStr">
        <is>
          <t>1. After finishing production at each stage, Production and QC department will check, summarize and record errors to QC department manager.
2. QC department manager will send production result of each stage to Production and R&amp;D departments.
Development, QC department, Production Manager will hold a meeting to propose improvement method of "NG" error for each stage of production.</t>
        </is>
      </c>
      <c r="M10" s="91" t="inlineStr">
        <is>
          <t>Development Manager
Production Department Manager
Quality Department Manager</t>
        </is>
      </c>
      <c r="N10" s="92" t="inlineStr">
        <is>
          <t>NG test results of QC department at each stage.
Check sheet of specifications, production conditions, machine series</t>
        </is>
      </c>
      <c r="O10" s="91" t="inlineStr">
        <is>
          <t xml:space="preserve">Email
Minutes of meeting
Error analysis report
</t>
        </is>
      </c>
      <c r="P10" s="91" t="inlineStr">
        <is>
          <t>"NG" improvement</t>
        </is>
      </c>
      <c r="Q10" s="93" t="inlineStr">
        <is>
          <t>Cause analysis</t>
        </is>
      </c>
    </row>
    <row r="11" ht="142.5" customFormat="1" customHeight="1" s="94">
      <c r="A11" s="40" t="inlineStr">
        <is>
          <t>Report preparation for each stage</t>
        </is>
      </c>
      <c r="B11" s="88" t="n"/>
      <c r="C11" s="88" t="n"/>
      <c r="D11" s="88" t="n"/>
      <c r="E11" s="23" t="n"/>
      <c r="F11" s="23" t="n"/>
      <c r="G11" s="22" t="n"/>
      <c r="H11" s="22" t="n"/>
      <c r="I11" s="88" t="n"/>
      <c r="J11" s="88" t="n"/>
      <c r="K11" s="89" t="n"/>
      <c r="L11" s="130" t="inlineStr">
        <is>
          <t xml:space="preserve">1. Production Manager will prepare a production report of each stage "specifications, actual production conditions, direct in-charge person, number of products" and then send to QC and R&amp;D departments.
2. Quality department manager will summarize report, "OK" and "NG" error records for file and send to Development Department.
R&amp;D department manager will pepare error record with result analysis to send to customer.
</t>
        </is>
      </c>
      <c r="M11" s="131" t="inlineStr">
        <is>
          <t>Development Manager
Production Department Manager
Quality Department Manager</t>
        </is>
      </c>
      <c r="N11" s="132" t="inlineStr">
        <is>
          <t>NG analysis results</t>
        </is>
      </c>
      <c r="O11" s="131" t="inlineStr">
        <is>
          <t>Email
Report of production stage</t>
        </is>
      </c>
      <c r="P11" s="131" t="inlineStr">
        <is>
          <t>"NG" improvement for next production stage</t>
        </is>
      </c>
      <c r="Q11" s="93" t="inlineStr">
        <is>
          <t>Cause analysis</t>
        </is>
      </c>
    </row>
    <row r="12" ht="142.5" customFormat="1" customHeight="1" s="94">
      <c r="A12" s="40" t="inlineStr">
        <is>
          <t>Process capability index (CPK)</t>
        </is>
      </c>
      <c r="B12" s="88" t="n"/>
      <c r="C12" s="88" t="n"/>
      <c r="D12" s="88" t="n"/>
      <c r="E12" s="23" t="n"/>
      <c r="F12" s="23" t="n"/>
      <c r="G12" s="22" t="n"/>
      <c r="H12" s="22" t="n"/>
      <c r="I12" s="88" t="n"/>
      <c r="J12" s="88" t="n"/>
      <c r="K12" s="89" t="n"/>
      <c r="L12" s="99" t="inlineStr">
        <is>
          <t>1. Preparation: Development and Production departments will calibrate all machines, equipment and conditions of the stages related to production process.
2. Development department manager will coordinate Production department to ensure product's quality and quantity as required in preparation stage (1), continuous production of one lot (50 pieces). Note "Do not calibrate the machine to avoid suddenly change of product size"</t>
        </is>
      </c>
      <c r="M12" s="100" t="inlineStr">
        <is>
          <t>Development Manager
Production Department Manager
Quality Department Manager</t>
        </is>
      </c>
      <c r="N12" s="96" t="inlineStr">
        <is>
          <t>All conditions, specifications of machines related to production process</t>
        </is>
      </c>
      <c r="O12" s="95" t="inlineStr">
        <is>
          <t>CPK evaluation sheet
Equipment testing sheet</t>
        </is>
      </c>
      <c r="P12" s="95" t="inlineStr">
        <is>
          <t>Mass production decision or re-evaluation</t>
        </is>
      </c>
      <c r="Q12" s="97" t="inlineStr">
        <is>
          <t xml:space="preserve"> Ensur stable production of machine</t>
        </is>
      </c>
    </row>
    <row r="13" ht="90" customHeight="1">
      <c r="A13" s="413" t="inlineStr">
        <is>
          <t xml:space="preserve">Inspection and shipping
</t>
        </is>
      </c>
      <c r="B13" s="21" t="n"/>
      <c r="C13" s="21" t="n"/>
      <c r="D13" s="21" t="n"/>
      <c r="E13" s="22" t="n"/>
      <c r="F13" s="22" t="n"/>
      <c r="G13" s="23" t="n"/>
      <c r="H13" s="22" t="n"/>
      <c r="I13" s="24" t="n"/>
      <c r="J13" s="24" t="n"/>
      <c r="K13" s="25" t="n"/>
      <c r="L13" s="79" t="inlineStr">
        <is>
          <t>1. Warehouse and sale department manager will send checked products to customer.</t>
        </is>
      </c>
      <c r="M13" s="417" t="inlineStr">
        <is>
          <t>Sale Department Manager</t>
        </is>
      </c>
      <c r="N13" s="80" t="inlineStr">
        <is>
          <t>Tested products</t>
        </is>
      </c>
      <c r="O13" s="417" t="inlineStr">
        <is>
          <t>Test Standard</t>
        </is>
      </c>
      <c r="P13" s="417" t="inlineStr">
        <is>
          <t>Delivery bill</t>
        </is>
      </c>
      <c r="Q13" s="81" t="inlineStr">
        <is>
          <t>Number of final delivery</t>
        </is>
      </c>
    </row>
    <row r="14" ht="106.5" customHeight="1">
      <c r="A14" s="45" t="inlineStr">
        <is>
          <t xml:space="preserve">Report preparation
</t>
        </is>
      </c>
      <c r="B14" s="26" t="n"/>
      <c r="C14" s="26" t="n"/>
      <c r="D14" s="26" t="n"/>
      <c r="E14" s="27" t="n"/>
      <c r="F14" s="27" t="n"/>
      <c r="G14" s="27" t="n"/>
      <c r="H14" s="27" t="n"/>
      <c r="I14" s="28" t="n"/>
      <c r="J14" s="28" t="n"/>
      <c r="K14" s="29" t="n"/>
      <c r="L14" s="82" t="inlineStr">
        <is>
          <t>1. Production department manager will send a list of data, specifications and direct in-charge person of quality of each stage to development department and quality department after trial production.
2. Development department and quality department will prepare trial production report after trial production.</t>
        </is>
      </c>
      <c r="M14" s="417" t="inlineStr">
        <is>
          <t>Development Manager
Quality Department Manager</t>
        </is>
      </c>
      <c r="N14" s="80" t="inlineStr">
        <is>
          <t xml:space="preserve">Test result of trial production quantity
</t>
        </is>
      </c>
      <c r="O14" s="417" t="inlineStr">
        <is>
          <t>Quality test report</t>
        </is>
      </c>
      <c r="P14" s="417" t="inlineStr">
        <is>
          <t xml:space="preserve">Complete trial production report
</t>
        </is>
      </c>
      <c r="Q14" s="81" t="inlineStr">
        <is>
          <t>Feedback from customer
Information for improvement
Improvement plan</t>
        </is>
      </c>
    </row>
    <row r="15" ht="86.25" customHeight="1" thickBot="1">
      <c r="A15" s="414" t="inlineStr">
        <is>
          <t>Improvement</t>
        </is>
      </c>
      <c r="B15" s="26" t="n"/>
      <c r="C15" s="26" t="n"/>
      <c r="D15" s="26" t="n"/>
      <c r="E15" s="27" t="n"/>
      <c r="F15" s="27" t="n"/>
      <c r="G15" s="27" t="n"/>
      <c r="H15" s="27" t="n"/>
      <c r="I15" s="28" t="n"/>
      <c r="J15" s="28" t="n"/>
      <c r="K15" s="29" t="n"/>
      <c r="L15" s="83" t="inlineStr">
        <is>
          <t xml:space="preserve">1. Development department manager will receive feedback from customer for trial production report and result, then coordinate with related department to implement improvements. Reproduction as required by customer.
</t>
        </is>
      </c>
      <c r="M15" s="417" t="inlineStr">
        <is>
          <t>Development Manager
Related Department Manager</t>
        </is>
      </c>
      <c r="N15" s="80" t="inlineStr">
        <is>
          <t xml:space="preserve">Customer feedback
</t>
        </is>
      </c>
      <c r="O15" s="417" t="inlineStr">
        <is>
          <t>Minutes of meeting</t>
        </is>
      </c>
      <c r="P15" s="417" t="inlineStr">
        <is>
          <t xml:space="preserve">Action and improvement
</t>
        </is>
      </c>
      <c r="Q15" s="81" t="inlineStr">
        <is>
          <t>Schedule and requirement from customer
Cause analysis</t>
        </is>
      </c>
    </row>
    <row r="16" ht="90" customHeight="1" thickBot="1">
      <c r="A16" s="98" t="inlineStr">
        <is>
          <t>Mass production in the first stage</t>
        </is>
      </c>
      <c r="B16" s="30" t="n"/>
      <c r="C16" s="30" t="n"/>
      <c r="D16" s="30" t="n"/>
      <c r="E16" s="31" t="n"/>
      <c r="F16" s="31" t="n"/>
      <c r="G16" s="31" t="n"/>
      <c r="H16" s="31" t="n"/>
      <c r="I16" s="32" t="n"/>
      <c r="J16" s="32" t="n"/>
      <c r="K16" s="33" t="n"/>
      <c r="L16" s="84" t="inlineStr">
        <is>
          <t>1. Development manager will implement mass production after complete improvement and appropriate action.
When necessary, he/she will seek for customer approval for early mass production limits.</t>
        </is>
      </c>
      <c r="M16" s="149" t="n"/>
      <c r="N16" s="85" t="inlineStr">
        <is>
          <t>시험 생산 report</t>
        </is>
      </c>
      <c r="O16" s="86" t="inlineStr">
        <is>
          <t>Production report
Equipment testing sheet</t>
        </is>
      </c>
      <c r="P16" s="86" t="inlineStr">
        <is>
          <t>생산 시리즈</t>
        </is>
      </c>
      <c r="Q16" s="87" t="n"/>
    </row>
  </sheetData>
  <mergeCells count="23">
    <mergeCell ref="B3:L3"/>
    <mergeCell ref="A7:A8"/>
    <mergeCell ref="B4:D5"/>
    <mergeCell ref="O4:O5"/>
    <mergeCell ref="M7:M8"/>
    <mergeCell ref="Q4:Q5"/>
    <mergeCell ref="F1:N2"/>
    <mergeCell ref="I5:K5"/>
    <mergeCell ref="L4:L5"/>
    <mergeCell ref="I4:K4"/>
    <mergeCell ref="P7:P8"/>
    <mergeCell ref="E5:H5"/>
    <mergeCell ref="E4:H4"/>
    <mergeCell ref="A1:E2"/>
    <mergeCell ref="O7:O8"/>
    <mergeCell ref="M3:Q3"/>
    <mergeCell ref="Q7:Q8"/>
    <mergeCell ref="M4:M5"/>
    <mergeCell ref="A3:A5"/>
    <mergeCell ref="N4:N5"/>
    <mergeCell ref="P4:P5"/>
    <mergeCell ref="L7:L8"/>
    <mergeCell ref="N7:N8"/>
  </mergeCells>
  <printOptions horizontalCentered="1"/>
  <pageMargins left="0.1968503937007874" right="0.1968503937007874" top="0.64" bottom="0.3543307086614174" header="0.5118110236220472" footer="0.1968503937007874"/>
  <pageSetup orientation="landscape" paperSize="9" scale="78" fitToHeight="0"/>
  <drawing xmlns:r="http://schemas.openxmlformats.org/officeDocument/2006/relationships" r:id="rId1"/>
</worksheet>
</file>

<file path=xl/worksheets/sheet4.xml><?xml version="1.0" encoding="utf-8"?>
<worksheet xmlns="http://schemas.openxmlformats.org/spreadsheetml/2006/main">
  <sheetPr>
    <tabColor rgb="FFFF0000"/>
    <outlinePr summaryBelow="1" summaryRight="1"/>
    <pageSetUpPr/>
  </sheetPr>
  <dimension ref="A1:BY32"/>
  <sheetViews>
    <sheetView view="pageBreakPreview" zoomScale="85" zoomScaleSheetLayoutView="85" workbookViewId="0">
      <selection activeCell="D15" sqref="D15"/>
    </sheetView>
  </sheetViews>
  <sheetFormatPr baseColWidth="8" defaultRowHeight="12"/>
  <cols>
    <col width="1.44140625" customWidth="1" style="69" min="1" max="14"/>
    <col width="6.44140625" customWidth="1" style="69" min="15" max="15"/>
    <col width="1.44140625" customWidth="1" style="69" min="16" max="26"/>
    <col width="4.21875" customWidth="1" style="69" min="27" max="27"/>
    <col width="1.44140625" customWidth="1" style="69" min="28" max="35"/>
    <col width="6.5546875" customWidth="1" style="69" min="36" max="36"/>
    <col width="1.44140625" customWidth="1" style="69" min="37" max="64"/>
    <col width="4.77734375" customWidth="1" style="69" min="65" max="65"/>
    <col width="1.44140625" customWidth="1" style="69" min="66" max="117"/>
    <col width="8.88671875" customWidth="1" style="69" min="118" max="255"/>
    <col width="1.44140625" customWidth="1" style="69" min="256" max="320"/>
    <col width="4.77734375" customWidth="1" style="69" min="321" max="321"/>
    <col width="1.44140625" customWidth="1" style="69" min="322" max="373"/>
    <col width="8.88671875" customWidth="1" style="69" min="374" max="511"/>
    <col width="1.44140625" customWidth="1" style="69" min="512" max="576"/>
    <col width="4.77734375" customWidth="1" style="69" min="577" max="577"/>
    <col width="1.44140625" customWidth="1" style="69" min="578" max="629"/>
    <col width="8.88671875" customWidth="1" style="69" min="630" max="767"/>
    <col width="1.44140625" customWidth="1" style="69" min="768" max="832"/>
    <col width="4.77734375" customWidth="1" style="69" min="833" max="833"/>
    <col width="1.44140625" customWidth="1" style="69" min="834" max="885"/>
    <col width="8.88671875" customWidth="1" style="69" min="886" max="1023"/>
    <col width="1.44140625" customWidth="1" style="69" min="1024" max="1088"/>
    <col width="4.77734375" customWidth="1" style="69" min="1089" max="1089"/>
    <col width="1.44140625" customWidth="1" style="69" min="1090" max="1141"/>
    <col width="8.88671875" customWidth="1" style="69" min="1142" max="1279"/>
    <col width="1.44140625" customWidth="1" style="69" min="1280" max="1344"/>
    <col width="4.77734375" customWidth="1" style="69" min="1345" max="1345"/>
    <col width="1.44140625" customWidth="1" style="69" min="1346" max="1397"/>
    <col width="8.88671875" customWidth="1" style="69" min="1398" max="1535"/>
    <col width="1.44140625" customWidth="1" style="69" min="1536" max="1600"/>
    <col width="4.77734375" customWidth="1" style="69" min="1601" max="1601"/>
    <col width="1.44140625" customWidth="1" style="69" min="1602" max="1653"/>
    <col width="8.88671875" customWidth="1" style="69" min="1654" max="1791"/>
    <col width="1.44140625" customWidth="1" style="69" min="1792" max="1856"/>
    <col width="4.77734375" customWidth="1" style="69" min="1857" max="1857"/>
    <col width="1.44140625" customWidth="1" style="69" min="1858" max="1909"/>
    <col width="8.88671875" customWidth="1" style="69" min="1910" max="2047"/>
    <col width="1.44140625" customWidth="1" style="69" min="2048" max="2112"/>
    <col width="4.77734375" customWidth="1" style="69" min="2113" max="2113"/>
    <col width="1.44140625" customWidth="1" style="69" min="2114" max="2165"/>
    <col width="8.88671875" customWidth="1" style="69" min="2166" max="2303"/>
    <col width="1.44140625" customWidth="1" style="69" min="2304" max="2368"/>
    <col width="4.77734375" customWidth="1" style="69" min="2369" max="2369"/>
    <col width="1.44140625" customWidth="1" style="69" min="2370" max="2421"/>
    <col width="8.88671875" customWidth="1" style="69" min="2422" max="2559"/>
    <col width="1.44140625" customWidth="1" style="69" min="2560" max="2624"/>
    <col width="4.77734375" customWidth="1" style="69" min="2625" max="2625"/>
    <col width="1.44140625" customWidth="1" style="69" min="2626" max="2677"/>
    <col width="8.88671875" customWidth="1" style="69" min="2678" max="2815"/>
    <col width="1.44140625" customWidth="1" style="69" min="2816" max="2880"/>
    <col width="4.77734375" customWidth="1" style="69" min="2881" max="2881"/>
    <col width="1.44140625" customWidth="1" style="69" min="2882" max="2933"/>
    <col width="8.88671875" customWidth="1" style="69" min="2934" max="3071"/>
    <col width="1.44140625" customWidth="1" style="69" min="3072" max="3136"/>
    <col width="4.77734375" customWidth="1" style="69" min="3137" max="3137"/>
    <col width="1.44140625" customWidth="1" style="69" min="3138" max="3189"/>
    <col width="8.88671875" customWidth="1" style="69" min="3190" max="3327"/>
    <col width="1.44140625" customWidth="1" style="69" min="3328" max="3392"/>
    <col width="4.77734375" customWidth="1" style="69" min="3393" max="3393"/>
    <col width="1.44140625" customWidth="1" style="69" min="3394" max="3445"/>
    <col width="8.88671875" customWidth="1" style="69" min="3446" max="3583"/>
    <col width="1.44140625" customWidth="1" style="69" min="3584" max="3648"/>
    <col width="4.77734375" customWidth="1" style="69" min="3649" max="3649"/>
    <col width="1.44140625" customWidth="1" style="69" min="3650" max="3701"/>
    <col width="8.88671875" customWidth="1" style="69" min="3702" max="3839"/>
    <col width="1.44140625" customWidth="1" style="69" min="3840" max="3904"/>
    <col width="4.77734375" customWidth="1" style="69" min="3905" max="3905"/>
    <col width="1.44140625" customWidth="1" style="69" min="3906" max="3957"/>
    <col width="8.88671875" customWidth="1" style="69" min="3958" max="4095"/>
    <col width="1.44140625" customWidth="1" style="69" min="4096" max="4160"/>
    <col width="4.77734375" customWidth="1" style="69" min="4161" max="4161"/>
    <col width="1.44140625" customWidth="1" style="69" min="4162" max="4213"/>
    <col width="8.88671875" customWidth="1" style="69" min="4214" max="4351"/>
    <col width="1.44140625" customWidth="1" style="69" min="4352" max="4416"/>
    <col width="4.77734375" customWidth="1" style="69" min="4417" max="4417"/>
    <col width="1.44140625" customWidth="1" style="69" min="4418" max="4469"/>
    <col width="8.88671875" customWidth="1" style="69" min="4470" max="4607"/>
    <col width="1.44140625" customWidth="1" style="69" min="4608" max="4672"/>
    <col width="4.77734375" customWidth="1" style="69" min="4673" max="4673"/>
    <col width="1.44140625" customWidth="1" style="69" min="4674" max="4725"/>
    <col width="8.88671875" customWidth="1" style="69" min="4726" max="4863"/>
    <col width="1.44140625" customWidth="1" style="69" min="4864" max="4928"/>
    <col width="4.77734375" customWidth="1" style="69" min="4929" max="4929"/>
    <col width="1.44140625" customWidth="1" style="69" min="4930" max="4981"/>
    <col width="8.88671875" customWidth="1" style="69" min="4982" max="5119"/>
    <col width="1.44140625" customWidth="1" style="69" min="5120" max="5184"/>
    <col width="4.77734375" customWidth="1" style="69" min="5185" max="5185"/>
    <col width="1.44140625" customWidth="1" style="69" min="5186" max="5237"/>
    <col width="8.88671875" customWidth="1" style="69" min="5238" max="5375"/>
    <col width="1.44140625" customWidth="1" style="69" min="5376" max="5440"/>
    <col width="4.77734375" customWidth="1" style="69" min="5441" max="5441"/>
    <col width="1.44140625" customWidth="1" style="69" min="5442" max="5493"/>
    <col width="8.88671875" customWidth="1" style="69" min="5494" max="5631"/>
    <col width="1.44140625" customWidth="1" style="69" min="5632" max="5696"/>
    <col width="4.77734375" customWidth="1" style="69" min="5697" max="5697"/>
    <col width="1.44140625" customWidth="1" style="69" min="5698" max="5749"/>
    <col width="8.88671875" customWidth="1" style="69" min="5750" max="5887"/>
    <col width="1.44140625" customWidth="1" style="69" min="5888" max="5952"/>
    <col width="4.77734375" customWidth="1" style="69" min="5953" max="5953"/>
    <col width="1.44140625" customWidth="1" style="69" min="5954" max="6005"/>
    <col width="8.88671875" customWidth="1" style="69" min="6006" max="6143"/>
    <col width="1.44140625" customWidth="1" style="69" min="6144" max="6208"/>
    <col width="4.77734375" customWidth="1" style="69" min="6209" max="6209"/>
    <col width="1.44140625" customWidth="1" style="69" min="6210" max="6261"/>
    <col width="8.88671875" customWidth="1" style="69" min="6262" max="6399"/>
    <col width="1.44140625" customWidth="1" style="69" min="6400" max="6464"/>
    <col width="4.77734375" customWidth="1" style="69" min="6465" max="6465"/>
    <col width="1.44140625" customWidth="1" style="69" min="6466" max="6517"/>
    <col width="8.88671875" customWidth="1" style="69" min="6518" max="6655"/>
    <col width="1.44140625" customWidth="1" style="69" min="6656" max="6720"/>
    <col width="4.77734375" customWidth="1" style="69" min="6721" max="6721"/>
    <col width="1.44140625" customWidth="1" style="69" min="6722" max="6773"/>
    <col width="8.88671875" customWidth="1" style="69" min="6774" max="6911"/>
    <col width="1.44140625" customWidth="1" style="69" min="6912" max="6976"/>
    <col width="4.77734375" customWidth="1" style="69" min="6977" max="6977"/>
    <col width="1.44140625" customWidth="1" style="69" min="6978" max="7029"/>
    <col width="8.88671875" customWidth="1" style="69" min="7030" max="7167"/>
    <col width="1.44140625" customWidth="1" style="69" min="7168" max="7232"/>
    <col width="4.77734375" customWidth="1" style="69" min="7233" max="7233"/>
    <col width="1.44140625" customWidth="1" style="69" min="7234" max="7285"/>
    <col width="8.88671875" customWidth="1" style="69" min="7286" max="7423"/>
    <col width="1.44140625" customWidth="1" style="69" min="7424" max="7488"/>
    <col width="4.77734375" customWidth="1" style="69" min="7489" max="7489"/>
    <col width="1.44140625" customWidth="1" style="69" min="7490" max="7541"/>
    <col width="8.88671875" customWidth="1" style="69" min="7542" max="7679"/>
    <col width="1.44140625" customWidth="1" style="69" min="7680" max="7744"/>
    <col width="4.77734375" customWidth="1" style="69" min="7745" max="7745"/>
    <col width="1.44140625" customWidth="1" style="69" min="7746" max="7797"/>
    <col width="8.88671875" customWidth="1" style="69" min="7798" max="7935"/>
    <col width="1.44140625" customWidth="1" style="69" min="7936" max="8000"/>
    <col width="4.77734375" customWidth="1" style="69" min="8001" max="8001"/>
    <col width="1.44140625" customWidth="1" style="69" min="8002" max="8053"/>
    <col width="8.88671875" customWidth="1" style="69" min="8054" max="8191"/>
    <col width="1.44140625" customWidth="1" style="69" min="8192" max="8256"/>
    <col width="4.77734375" customWidth="1" style="69" min="8257" max="8257"/>
    <col width="1.44140625" customWidth="1" style="69" min="8258" max="8309"/>
    <col width="8.88671875" customWidth="1" style="69" min="8310" max="8447"/>
    <col width="1.44140625" customWidth="1" style="69" min="8448" max="8512"/>
    <col width="4.77734375" customWidth="1" style="69" min="8513" max="8513"/>
    <col width="1.44140625" customWidth="1" style="69" min="8514" max="8565"/>
    <col width="8.88671875" customWidth="1" style="69" min="8566" max="8703"/>
    <col width="1.44140625" customWidth="1" style="69" min="8704" max="8768"/>
    <col width="4.77734375" customWidth="1" style="69" min="8769" max="8769"/>
    <col width="1.44140625" customWidth="1" style="69" min="8770" max="8821"/>
    <col width="8.88671875" customWidth="1" style="69" min="8822" max="8959"/>
    <col width="1.44140625" customWidth="1" style="69" min="8960" max="9024"/>
    <col width="4.77734375" customWidth="1" style="69" min="9025" max="9025"/>
    <col width="1.44140625" customWidth="1" style="69" min="9026" max="9077"/>
    <col width="8.88671875" customWidth="1" style="69" min="9078" max="9215"/>
    <col width="1.44140625" customWidth="1" style="69" min="9216" max="9280"/>
    <col width="4.77734375" customWidth="1" style="69" min="9281" max="9281"/>
    <col width="1.44140625" customWidth="1" style="69" min="9282" max="9333"/>
    <col width="8.88671875" customWidth="1" style="69" min="9334" max="9471"/>
    <col width="1.44140625" customWidth="1" style="69" min="9472" max="9536"/>
    <col width="4.77734375" customWidth="1" style="69" min="9537" max="9537"/>
    <col width="1.44140625" customWidth="1" style="69" min="9538" max="9589"/>
    <col width="8.88671875" customWidth="1" style="69" min="9590" max="9727"/>
    <col width="1.44140625" customWidth="1" style="69" min="9728" max="9792"/>
    <col width="4.77734375" customWidth="1" style="69" min="9793" max="9793"/>
    <col width="1.44140625" customWidth="1" style="69" min="9794" max="9845"/>
    <col width="8.88671875" customWidth="1" style="69" min="9846" max="9983"/>
    <col width="1.44140625" customWidth="1" style="69" min="9984" max="10048"/>
    <col width="4.77734375" customWidth="1" style="69" min="10049" max="10049"/>
    <col width="1.44140625" customWidth="1" style="69" min="10050" max="10101"/>
    <col width="8.88671875" customWidth="1" style="69" min="10102" max="10239"/>
    <col width="1.44140625" customWidth="1" style="69" min="10240" max="10304"/>
    <col width="4.77734375" customWidth="1" style="69" min="10305" max="10305"/>
    <col width="1.44140625" customWidth="1" style="69" min="10306" max="10357"/>
    <col width="8.88671875" customWidth="1" style="69" min="10358" max="10495"/>
    <col width="1.44140625" customWidth="1" style="69" min="10496" max="10560"/>
    <col width="4.77734375" customWidth="1" style="69" min="10561" max="10561"/>
    <col width="1.44140625" customWidth="1" style="69" min="10562" max="10613"/>
    <col width="8.88671875" customWidth="1" style="69" min="10614" max="10751"/>
    <col width="1.44140625" customWidth="1" style="69" min="10752" max="10816"/>
    <col width="4.77734375" customWidth="1" style="69" min="10817" max="10817"/>
    <col width="1.44140625" customWidth="1" style="69" min="10818" max="10869"/>
    <col width="8.88671875" customWidth="1" style="69" min="10870" max="11007"/>
    <col width="1.44140625" customWidth="1" style="69" min="11008" max="11072"/>
    <col width="4.77734375" customWidth="1" style="69" min="11073" max="11073"/>
    <col width="1.44140625" customWidth="1" style="69" min="11074" max="11125"/>
    <col width="8.88671875" customWidth="1" style="69" min="11126" max="11263"/>
    <col width="1.44140625" customWidth="1" style="69" min="11264" max="11328"/>
    <col width="4.77734375" customWidth="1" style="69" min="11329" max="11329"/>
    <col width="1.44140625" customWidth="1" style="69" min="11330" max="11381"/>
    <col width="8.88671875" customWidth="1" style="69" min="11382" max="11519"/>
    <col width="1.44140625" customWidth="1" style="69" min="11520" max="11584"/>
    <col width="4.77734375" customWidth="1" style="69" min="11585" max="11585"/>
    <col width="1.44140625" customWidth="1" style="69" min="11586" max="11637"/>
    <col width="8.88671875" customWidth="1" style="69" min="11638" max="11775"/>
    <col width="1.44140625" customWidth="1" style="69" min="11776" max="11840"/>
    <col width="4.77734375" customWidth="1" style="69" min="11841" max="11841"/>
    <col width="1.44140625" customWidth="1" style="69" min="11842" max="11893"/>
    <col width="8.88671875" customWidth="1" style="69" min="11894" max="12031"/>
    <col width="1.44140625" customWidth="1" style="69" min="12032" max="12096"/>
    <col width="4.77734375" customWidth="1" style="69" min="12097" max="12097"/>
    <col width="1.44140625" customWidth="1" style="69" min="12098" max="12149"/>
    <col width="8.88671875" customWidth="1" style="69" min="12150" max="12287"/>
    <col width="1.44140625" customWidth="1" style="69" min="12288" max="12352"/>
    <col width="4.77734375" customWidth="1" style="69" min="12353" max="12353"/>
    <col width="1.44140625" customWidth="1" style="69" min="12354" max="12405"/>
    <col width="8.88671875" customWidth="1" style="69" min="12406" max="12543"/>
    <col width="1.44140625" customWidth="1" style="69" min="12544" max="12608"/>
    <col width="4.77734375" customWidth="1" style="69" min="12609" max="12609"/>
    <col width="1.44140625" customWidth="1" style="69" min="12610" max="12661"/>
    <col width="8.88671875" customWidth="1" style="69" min="12662" max="12799"/>
    <col width="1.44140625" customWidth="1" style="69" min="12800" max="12864"/>
    <col width="4.77734375" customWidth="1" style="69" min="12865" max="12865"/>
    <col width="1.44140625" customWidth="1" style="69" min="12866" max="12917"/>
    <col width="8.88671875" customWidth="1" style="69" min="12918" max="13055"/>
    <col width="1.44140625" customWidth="1" style="69" min="13056" max="13120"/>
    <col width="4.77734375" customWidth="1" style="69" min="13121" max="13121"/>
    <col width="1.44140625" customWidth="1" style="69" min="13122" max="13173"/>
    <col width="8.88671875" customWidth="1" style="69" min="13174" max="13311"/>
    <col width="1.44140625" customWidth="1" style="69" min="13312" max="13376"/>
    <col width="4.77734375" customWidth="1" style="69" min="13377" max="13377"/>
    <col width="1.44140625" customWidth="1" style="69" min="13378" max="13429"/>
    <col width="8.88671875" customWidth="1" style="69" min="13430" max="13567"/>
    <col width="1.44140625" customWidth="1" style="69" min="13568" max="13632"/>
    <col width="4.77734375" customWidth="1" style="69" min="13633" max="13633"/>
    <col width="1.44140625" customWidth="1" style="69" min="13634" max="13685"/>
    <col width="8.88671875" customWidth="1" style="69" min="13686" max="13823"/>
    <col width="1.44140625" customWidth="1" style="69" min="13824" max="13888"/>
    <col width="4.77734375" customWidth="1" style="69" min="13889" max="13889"/>
    <col width="1.44140625" customWidth="1" style="69" min="13890" max="13941"/>
    <col width="8.88671875" customWidth="1" style="69" min="13942" max="14079"/>
    <col width="1.44140625" customWidth="1" style="69" min="14080" max="14144"/>
    <col width="4.77734375" customWidth="1" style="69" min="14145" max="14145"/>
    <col width="1.44140625" customWidth="1" style="69" min="14146" max="14197"/>
    <col width="8.88671875" customWidth="1" style="69" min="14198" max="14335"/>
    <col width="1.44140625" customWidth="1" style="69" min="14336" max="14400"/>
    <col width="4.77734375" customWidth="1" style="69" min="14401" max="14401"/>
    <col width="1.44140625" customWidth="1" style="69" min="14402" max="14453"/>
    <col width="8.88671875" customWidth="1" style="69" min="14454" max="14591"/>
    <col width="1.44140625" customWidth="1" style="69" min="14592" max="14656"/>
    <col width="4.77734375" customWidth="1" style="69" min="14657" max="14657"/>
    <col width="1.44140625" customWidth="1" style="69" min="14658" max="14709"/>
    <col width="8.88671875" customWidth="1" style="69" min="14710" max="14847"/>
    <col width="1.44140625" customWidth="1" style="69" min="14848" max="14912"/>
    <col width="4.77734375" customWidth="1" style="69" min="14913" max="14913"/>
    <col width="1.44140625" customWidth="1" style="69" min="14914" max="14965"/>
    <col width="8.88671875" customWidth="1" style="69" min="14966" max="15103"/>
    <col width="1.44140625" customWidth="1" style="69" min="15104" max="15168"/>
    <col width="4.77734375" customWidth="1" style="69" min="15169" max="15169"/>
    <col width="1.44140625" customWidth="1" style="69" min="15170" max="15221"/>
    <col width="8.88671875" customWidth="1" style="69" min="15222" max="15359"/>
    <col width="1.44140625" customWidth="1" style="69" min="15360" max="15424"/>
    <col width="4.77734375" customWidth="1" style="69" min="15425" max="15425"/>
    <col width="1.44140625" customWidth="1" style="69" min="15426" max="15477"/>
    <col width="8.88671875" customWidth="1" style="69" min="15478" max="15615"/>
    <col width="1.44140625" customWidth="1" style="69" min="15616" max="15680"/>
    <col width="4.77734375" customWidth="1" style="69" min="15681" max="15681"/>
    <col width="1.44140625" customWidth="1" style="69" min="15682" max="15733"/>
    <col width="8.88671875" customWidth="1" style="69" min="15734" max="15871"/>
    <col width="1.44140625" customWidth="1" style="69" min="15872" max="15936"/>
    <col width="4.77734375" customWidth="1" style="69" min="15937" max="15937"/>
    <col width="1.44140625" customWidth="1" style="69" min="15938" max="15989"/>
    <col width="8.88671875" customWidth="1" style="69" min="15990" max="16127"/>
    <col width="1.44140625" customWidth="1" style="69" min="16128" max="16192"/>
    <col width="4.77734375" customWidth="1" style="69" min="16193" max="16193"/>
    <col width="1.44140625" customWidth="1" style="69" min="16194" max="16245"/>
    <col width="8.88671875" customWidth="1" style="69" min="16246" max="16384"/>
  </cols>
  <sheetData>
    <row r="1" ht="36.75" customHeight="1" thickTop="1">
      <c r="A1" s="47" t="n"/>
      <c r="B1" s="48" t="n"/>
      <c r="C1" s="48" t="n"/>
      <c r="D1" s="48" t="n"/>
      <c r="E1" s="48" t="n"/>
      <c r="F1" s="48" t="n"/>
      <c r="G1" s="48" t="n"/>
      <c r="H1" s="48" t="n"/>
      <c r="I1" s="48" t="n"/>
      <c r="J1" s="48" t="n"/>
      <c r="K1" s="48" t="n"/>
      <c r="L1" s="49" t="n"/>
      <c r="M1" s="49" t="n"/>
      <c r="N1" s="50" t="n"/>
      <c r="O1" s="689" t="inlineStr">
        <is>
          <t>절차 SẢN XUẤT THỬ NGHIỆM
(TRIAL PRODUCTION PROCEDURE)</t>
        </is>
      </c>
      <c r="P1" s="648" t="n"/>
      <c r="Q1" s="648" t="n"/>
      <c r="R1" s="648" t="n"/>
      <c r="S1" s="648" t="n"/>
      <c r="T1" s="648" t="n"/>
      <c r="U1" s="648" t="n"/>
      <c r="V1" s="648" t="n"/>
      <c r="W1" s="648" t="n"/>
      <c r="X1" s="648" t="n"/>
      <c r="Y1" s="648" t="n"/>
      <c r="Z1" s="648" t="n"/>
      <c r="AA1" s="648" t="n"/>
      <c r="AB1" s="648" t="n"/>
      <c r="AC1" s="648" t="n"/>
      <c r="AD1" s="648" t="n"/>
      <c r="AE1" s="648" t="n"/>
      <c r="AF1" s="648" t="n"/>
      <c r="AG1" s="648" t="n"/>
      <c r="AH1" s="648" t="n"/>
      <c r="AI1" s="648" t="n"/>
      <c r="AJ1" s="648" t="n"/>
      <c r="AK1" s="648" t="n"/>
      <c r="AL1" s="648" t="n"/>
      <c r="AM1" s="648" t="n"/>
      <c r="AN1" s="648" t="n"/>
      <c r="AO1" s="648" t="n"/>
      <c r="AP1" s="648" t="n"/>
      <c r="AQ1" s="648" t="n"/>
      <c r="AR1" s="648" t="n"/>
      <c r="AS1" s="648" t="n"/>
      <c r="AT1" s="648" t="n"/>
      <c r="AU1" s="648" t="n"/>
      <c r="AV1" s="648" t="n"/>
      <c r="AW1" s="648" t="n"/>
      <c r="AX1" s="648" t="n"/>
      <c r="AY1" s="649" t="n"/>
      <c r="AZ1" s="444" t="inlineStr">
        <is>
          <t>부서장
(그룹)</t>
        </is>
      </c>
      <c r="BA1" s="690" t="n"/>
      <c r="BB1" s="690" t="n"/>
      <c r="BC1" s="690" t="n"/>
      <c r="BD1" s="690" t="n"/>
      <c r="BE1" s="690" t="n"/>
      <c r="BF1" s="691" t="n"/>
      <c r="BG1" s="444" t="inlineStr">
        <is>
          <t>팀이 개발하다
(연구개발)</t>
        </is>
      </c>
      <c r="BH1" s="690" t="n"/>
      <c r="BI1" s="690" t="n"/>
      <c r="BJ1" s="690" t="n"/>
      <c r="BK1" s="690" t="n"/>
      <c r="BL1" s="690" t="n"/>
      <c r="BM1" s="691" t="n"/>
      <c r="BN1" s="444" t="inlineStr">
        <is>
          <t>개정 번호</t>
        </is>
      </c>
      <c r="BO1" s="690" t="n"/>
      <c r="BP1" s="690" t="n"/>
      <c r="BQ1" s="690" t="n"/>
      <c r="BR1" s="690" t="n"/>
      <c r="BS1" s="690" t="n"/>
      <c r="BT1" s="691" t="n"/>
      <c r="BU1" s="446" t="inlineStr">
        <is>
          <t>02</t>
        </is>
      </c>
      <c r="BV1" s="690" t="n"/>
      <c r="BW1" s="690" t="n"/>
      <c r="BX1" s="690" t="n"/>
      <c r="BY1" s="691" t="n"/>
    </row>
    <row r="2" ht="38.25" customHeight="1" thickBot="1">
      <c r="A2" s="52" t="n"/>
      <c r="B2" s="53" t="n"/>
      <c r="C2" s="53" t="n"/>
      <c r="D2" s="53" t="n"/>
      <c r="E2" s="53" t="n"/>
      <c r="F2" s="53" t="n"/>
      <c r="G2" s="53" t="n"/>
      <c r="H2" s="53" t="n"/>
      <c r="I2" s="53" t="n"/>
      <c r="J2" s="53" t="n"/>
      <c r="K2" s="53" t="n"/>
      <c r="L2" s="54" t="n"/>
      <c r="M2" s="54" t="n"/>
      <c r="N2" s="55" t="n"/>
      <c r="O2" s="675" t="n"/>
      <c r="P2" s="670" t="n"/>
      <c r="Q2" s="670" t="n"/>
      <c r="R2" s="670" t="n"/>
      <c r="S2" s="670" t="n"/>
      <c r="T2" s="670" t="n"/>
      <c r="U2" s="670" t="n"/>
      <c r="V2" s="670" t="n"/>
      <c r="W2" s="670" t="n"/>
      <c r="X2" s="670" t="n"/>
      <c r="Y2" s="670" t="n"/>
      <c r="Z2" s="670" t="n"/>
      <c r="AA2" s="670" t="n"/>
      <c r="AB2" s="670" t="n"/>
      <c r="AC2" s="670" t="n"/>
      <c r="AD2" s="670" t="n"/>
      <c r="AE2" s="670" t="n"/>
      <c r="AF2" s="670" t="n"/>
      <c r="AG2" s="670" t="n"/>
      <c r="AH2" s="670" t="n"/>
      <c r="AI2" s="670" t="n"/>
      <c r="AJ2" s="670" t="n"/>
      <c r="AK2" s="670" t="n"/>
      <c r="AL2" s="670" t="n"/>
      <c r="AM2" s="670" t="n"/>
      <c r="AN2" s="670" t="n"/>
      <c r="AO2" s="670" t="n"/>
      <c r="AP2" s="670" t="n"/>
      <c r="AQ2" s="670" t="n"/>
      <c r="AR2" s="670" t="n"/>
      <c r="AS2" s="670" t="n"/>
      <c r="AT2" s="670" t="n"/>
      <c r="AU2" s="670" t="n"/>
      <c r="AV2" s="670" t="n"/>
      <c r="AW2" s="670" t="n"/>
      <c r="AX2" s="670" t="n"/>
      <c r="AY2" s="674" t="n"/>
      <c r="AZ2" s="449" t="inlineStr">
        <is>
          <t>문서 코드
(Doc Code)</t>
        </is>
      </c>
      <c r="BA2" s="665" t="n"/>
      <c r="BB2" s="665" t="n"/>
      <c r="BC2" s="665" t="n"/>
      <c r="BD2" s="665" t="n"/>
      <c r="BE2" s="665" t="n"/>
      <c r="BF2" s="663" t="n"/>
      <c r="BG2" s="451" t="inlineStr">
        <is>
          <t>R&amp;D.02.02.06</t>
        </is>
      </c>
      <c r="BH2" s="665" t="n"/>
      <c r="BI2" s="665" t="n"/>
      <c r="BJ2" s="665" t="n"/>
      <c r="BK2" s="665" t="n"/>
      <c r="BL2" s="665" t="n"/>
      <c r="BM2" s="663" t="n"/>
      <c r="BN2" s="449" t="inlineStr">
        <is>
          <t>Trang
(Page)</t>
        </is>
      </c>
      <c r="BO2" s="665" t="n"/>
      <c r="BP2" s="665" t="n"/>
      <c r="BQ2" s="665" t="n"/>
      <c r="BR2" s="665" t="n"/>
      <c r="BS2" s="665" t="n"/>
      <c r="BT2" s="663" t="n"/>
      <c r="BU2" s="452" t="inlineStr">
        <is>
          <t>3/4</t>
        </is>
      </c>
      <c r="BV2" s="665" t="n"/>
      <c r="BW2" s="665" t="n"/>
      <c r="BX2" s="665" t="n"/>
      <c r="BY2" s="663" t="n"/>
    </row>
    <row r="3" ht="16.5" customHeight="1">
      <c r="A3" s="56" t="n"/>
      <c r="B3" s="57" t="n"/>
      <c r="C3" s="57" t="n"/>
      <c r="D3" s="57" t="n"/>
      <c r="E3" s="57" t="n"/>
      <c r="F3" s="57" t="n"/>
      <c r="G3" s="57" t="n"/>
      <c r="H3" s="57" t="n"/>
      <c r="I3" s="57" t="n"/>
      <c r="J3" s="57" t="n"/>
      <c r="K3" s="57" t="n"/>
      <c r="L3" s="57" t="n"/>
      <c r="M3" s="57" t="n"/>
      <c r="N3" s="57" t="n"/>
      <c r="O3" s="57" t="n"/>
      <c r="P3" s="57" t="n"/>
      <c r="Q3" s="57" t="n"/>
      <c r="R3" s="57" t="n"/>
      <c r="S3" s="57" t="n"/>
      <c r="T3" s="57" t="n"/>
      <c r="U3" s="57" t="n"/>
      <c r="V3" s="57" t="n"/>
      <c r="W3" s="57" t="n"/>
      <c r="X3" s="57" t="n"/>
      <c r="Y3" s="57" t="n"/>
      <c r="Z3" s="57" t="n"/>
      <c r="AA3" s="57" t="n"/>
      <c r="AB3" s="57" t="n"/>
      <c r="AC3" s="57" t="n"/>
      <c r="AD3" s="57" t="n"/>
      <c r="AE3" s="57" t="n"/>
      <c r="AF3" s="57" t="n"/>
      <c r="AG3" s="57" t="n"/>
      <c r="AH3" s="57" t="n"/>
      <c r="AI3" s="57" t="n"/>
      <c r="AJ3" s="57" t="n"/>
      <c r="AK3" s="57" t="n"/>
      <c r="AL3" s="57" t="n"/>
      <c r="AM3" s="58"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9" t="n"/>
    </row>
    <row r="4" ht="16.5" customHeight="1">
      <c r="A4" s="692" t="inlineStr">
        <is>
          <t xml:space="preserve">     1. General provision</t>
        </is>
      </c>
      <c r="AL4" s="636" t="n"/>
      <c r="AM4" s="60" t="n"/>
      <c r="AN4" s="61" t="n"/>
      <c r="AO4" s="61" t="n"/>
      <c r="AP4" s="437" t="n"/>
      <c r="BX4" s="61" t="n"/>
      <c r="BY4" s="62" t="n"/>
    </row>
    <row r="5" ht="33" customHeight="1" thickBot="1">
      <c r="A5" s="275" t="n"/>
      <c r="B5" s="276" t="n"/>
      <c r="C5" s="276" t="inlineStr">
        <is>
          <t xml:space="preserve">    1.1 Signature by function</t>
        </is>
      </c>
      <c r="D5" s="276" t="n"/>
      <c r="E5" s="276" t="n"/>
      <c r="F5" s="276" t="n"/>
      <c r="G5" s="276" t="n"/>
      <c r="H5" s="276" t="n"/>
      <c r="I5" s="276" t="n"/>
      <c r="J5" s="276" t="n"/>
      <c r="K5" s="276" t="n"/>
      <c r="L5" s="276" t="n"/>
      <c r="M5" s="276" t="n"/>
      <c r="N5" s="276" t="n"/>
      <c r="O5" s="276" t="n"/>
      <c r="P5" s="276" t="n"/>
      <c r="Q5" s="276" t="n"/>
      <c r="R5" s="276" t="n"/>
      <c r="S5" s="276" t="n"/>
      <c r="T5" s="276" t="n"/>
      <c r="U5" s="276" t="n"/>
      <c r="V5" s="276" t="n"/>
      <c r="W5" s="276" t="n"/>
      <c r="X5" s="276" t="n"/>
      <c r="Y5" s="276" t="n"/>
      <c r="Z5" s="276" t="n"/>
      <c r="AA5" s="276" t="n"/>
      <c r="AB5" s="276" t="n"/>
      <c r="AC5" s="276" t="n"/>
      <c r="AD5" s="276" t="n"/>
      <c r="AE5" s="276" t="n"/>
      <c r="AF5" s="276" t="n"/>
      <c r="AG5" s="276" t="n"/>
      <c r="AH5" s="276" t="n"/>
      <c r="AI5" s="276" t="n"/>
      <c r="AJ5" s="276" t="n"/>
      <c r="AK5" s="276" t="n"/>
      <c r="AL5" s="276" t="n"/>
      <c r="AM5" s="60" t="n"/>
      <c r="AN5" s="61" t="n"/>
      <c r="AO5" s="61" t="n"/>
      <c r="BX5" s="61" t="n"/>
      <c r="BY5" s="62" t="n"/>
    </row>
    <row r="6" ht="35.25" customHeight="1">
      <c r="A6" s="64" t="n"/>
      <c r="B6" s="65" t="n"/>
      <c r="C6" s="65" t="n"/>
      <c r="D6" s="466" t="inlineStr">
        <is>
          <t>기능</t>
        </is>
      </c>
      <c r="E6" s="652" t="n"/>
      <c r="F6" s="652" t="n"/>
      <c r="G6" s="652" t="n"/>
      <c r="H6" s="652" t="n"/>
      <c r="I6" s="652" t="n"/>
      <c r="J6" s="652" t="n"/>
      <c r="K6" s="652" t="n"/>
      <c r="L6" s="652" t="n"/>
      <c r="M6" s="652" t="n"/>
      <c r="N6" s="652" t="n"/>
      <c r="O6" s="617" t="n"/>
      <c r="P6" s="467" t="inlineStr">
        <is>
          <t>부서명(베트남어)</t>
        </is>
      </c>
      <c r="Q6" s="652" t="n"/>
      <c r="R6" s="652" t="n"/>
      <c r="S6" s="652" t="n"/>
      <c r="T6" s="652" t="n"/>
      <c r="U6" s="652" t="n"/>
      <c r="V6" s="652" t="n"/>
      <c r="W6" s="652" t="n"/>
      <c r="X6" s="652" t="n"/>
      <c r="Y6" s="652" t="n"/>
      <c r="Z6" s="652" t="n"/>
      <c r="AA6" s="617" t="n"/>
      <c r="AB6" s="693" t="inlineStr">
        <is>
          <t>부서명(영문)</t>
        </is>
      </c>
      <c r="AC6" s="652" t="n"/>
      <c r="AD6" s="652" t="n"/>
      <c r="AE6" s="652" t="n"/>
      <c r="AF6" s="652" t="n"/>
      <c r="AG6" s="652" t="n"/>
      <c r="AH6" s="652" t="n"/>
      <c r="AI6" s="652" t="n"/>
      <c r="AJ6" s="619" t="n"/>
      <c r="AK6" s="65" t="n"/>
      <c r="AL6" s="65" t="n"/>
      <c r="AM6" s="66" t="n"/>
      <c r="AN6" s="65" t="n"/>
      <c r="AO6" s="65" t="n"/>
      <c r="BX6" s="65" t="n"/>
      <c r="BY6" s="67" t="n"/>
    </row>
    <row r="7" ht="35.25" customHeight="1">
      <c r="A7" s="68" t="n"/>
      <c r="B7" s="69" t="n"/>
      <c r="C7" s="69" t="n"/>
      <c r="D7" s="454" t="inlineStr">
        <is>
          <t>Administration, Human Resources, and Accounting</t>
        </is>
      </c>
      <c r="E7" s="654" t="n"/>
      <c r="F7" s="654" t="n"/>
      <c r="G7" s="654" t="n"/>
      <c r="H7" s="654" t="n"/>
      <c r="I7" s="654" t="n"/>
      <c r="J7" s="654" t="n"/>
      <c r="K7" s="654" t="n"/>
      <c r="L7" s="654" t="n"/>
      <c r="M7" s="654" t="n"/>
      <c r="N7" s="654" t="n"/>
      <c r="O7" s="624" t="n"/>
      <c r="P7" s="456" t="inlineStr">
        <is>
          <t>팀 매니저</t>
        </is>
      </c>
      <c r="Q7" s="654" t="n"/>
      <c r="R7" s="654" t="n"/>
      <c r="S7" s="654" t="n"/>
      <c r="T7" s="654" t="n"/>
      <c r="U7" s="654" t="n"/>
      <c r="V7" s="654" t="n"/>
      <c r="W7" s="654" t="n"/>
      <c r="X7" s="654" t="n"/>
      <c r="Y7" s="654" t="n"/>
      <c r="Z7" s="654" t="n"/>
      <c r="AA7" s="624" t="n"/>
      <c r="AB7" s="694" t="inlineStr">
        <is>
          <t>Management Group</t>
        </is>
      </c>
      <c r="AC7" s="654" t="n"/>
      <c r="AD7" s="654" t="n"/>
      <c r="AE7" s="654" t="n"/>
      <c r="AF7" s="654" t="n"/>
      <c r="AG7" s="654" t="n"/>
      <c r="AH7" s="654" t="n"/>
      <c r="AI7" s="654" t="n"/>
      <c r="AJ7" s="626" t="n"/>
      <c r="AK7" s="69" t="n"/>
      <c r="AL7" s="69" t="n"/>
      <c r="AM7" s="70" t="n"/>
      <c r="AN7" s="69" t="n"/>
      <c r="AO7" s="69" t="n"/>
      <c r="BX7" s="69" t="n"/>
      <c r="BY7" s="71" t="n"/>
    </row>
    <row r="8" ht="35.25" customHeight="1">
      <c r="A8" s="68" t="n"/>
      <c r="B8" s="69" t="n"/>
      <c r="C8" s="69" t="n"/>
      <c r="D8" s="454" t="inlineStr">
        <is>
          <t>Purchase, sale, warehouse,
import and export</t>
        </is>
      </c>
      <c r="E8" s="654" t="n"/>
      <c r="F8" s="654" t="n"/>
      <c r="G8" s="654" t="n"/>
      <c r="H8" s="654" t="n"/>
      <c r="I8" s="654" t="n"/>
      <c r="J8" s="654" t="n"/>
      <c r="K8" s="654" t="n"/>
      <c r="L8" s="654" t="n"/>
      <c r="M8" s="654" t="n"/>
      <c r="N8" s="654" t="n"/>
      <c r="O8" s="624" t="n"/>
      <c r="P8" s="456" t="inlineStr">
        <is>
          <t>팀 kinh doanh</t>
        </is>
      </c>
      <c r="Q8" s="654" t="n"/>
      <c r="R8" s="654" t="n"/>
      <c r="S8" s="654" t="n"/>
      <c r="T8" s="654" t="n"/>
      <c r="U8" s="654" t="n"/>
      <c r="V8" s="654" t="n"/>
      <c r="W8" s="654" t="n"/>
      <c r="X8" s="654" t="n"/>
      <c r="Y8" s="654" t="n"/>
      <c r="Z8" s="654" t="n"/>
      <c r="AA8" s="624" t="n"/>
      <c r="AB8" s="694" t="inlineStr">
        <is>
          <t>Sales Group</t>
        </is>
      </c>
      <c r="AC8" s="654" t="n"/>
      <c r="AD8" s="654" t="n"/>
      <c r="AE8" s="654" t="n"/>
      <c r="AF8" s="654" t="n"/>
      <c r="AG8" s="654" t="n"/>
      <c r="AH8" s="654" t="n"/>
      <c r="AI8" s="654" t="n"/>
      <c r="AJ8" s="626" t="n"/>
      <c r="AK8" s="69" t="n"/>
      <c r="AL8" s="69" t="n"/>
      <c r="AM8" s="70" t="n"/>
      <c r="AN8" s="69" t="n"/>
      <c r="AO8" s="69" t="n"/>
      <c r="BX8" s="69" t="n"/>
      <c r="BY8" s="71" t="n"/>
    </row>
    <row r="9" ht="35.25" customHeight="1">
      <c r="A9" s="68" t="n"/>
      <c r="B9" s="69" t="n"/>
      <c r="C9" s="69" t="n"/>
      <c r="D9" s="454" t="inlineStr">
        <is>
          <t>Quality of input, output,
stages, customers</t>
        </is>
      </c>
      <c r="E9" s="654" t="n"/>
      <c r="F9" s="654" t="n"/>
      <c r="G9" s="654" t="n"/>
      <c r="H9" s="654" t="n"/>
      <c r="I9" s="654" t="n"/>
      <c r="J9" s="654" t="n"/>
      <c r="K9" s="654" t="n"/>
      <c r="L9" s="654" t="n"/>
      <c r="M9" s="654" t="n"/>
      <c r="N9" s="654" t="n"/>
      <c r="O9" s="624" t="n"/>
      <c r="P9" s="456" t="inlineStr">
        <is>
          <t>팀 품질</t>
        </is>
      </c>
      <c r="Q9" s="654" t="n"/>
      <c r="R9" s="654" t="n"/>
      <c r="S9" s="654" t="n"/>
      <c r="T9" s="654" t="n"/>
      <c r="U9" s="654" t="n"/>
      <c r="V9" s="654" t="n"/>
      <c r="W9" s="654" t="n"/>
      <c r="X9" s="654" t="n"/>
      <c r="Y9" s="654" t="n"/>
      <c r="Z9" s="654" t="n"/>
      <c r="AA9" s="624" t="n"/>
      <c r="AB9" s="694" t="inlineStr">
        <is>
          <t>QC Group</t>
        </is>
      </c>
      <c r="AC9" s="654" t="n"/>
      <c r="AD9" s="654" t="n"/>
      <c r="AE9" s="654" t="n"/>
      <c r="AF9" s="654" t="n"/>
      <c r="AG9" s="654" t="n"/>
      <c r="AH9" s="654" t="n"/>
      <c r="AI9" s="654" t="n"/>
      <c r="AJ9" s="626" t="n"/>
      <c r="AK9" s="69" t="n"/>
      <c r="AL9" s="69" t="n"/>
      <c r="AM9" s="70" t="n"/>
      <c r="AN9" s="69" t="n"/>
      <c r="AO9" s="69" t="n"/>
      <c r="BX9" s="69" t="n"/>
      <c r="BY9" s="71" t="n"/>
    </row>
    <row r="10" ht="35.25" customHeight="1">
      <c r="A10" s="68" t="n"/>
      <c r="B10" s="69" t="n"/>
      <c r="C10" s="69" t="n"/>
      <c r="D10" s="454" t="inlineStr">
        <is>
          <t>Product research and development</t>
        </is>
      </c>
      <c r="E10" s="654" t="n"/>
      <c r="F10" s="654" t="n"/>
      <c r="G10" s="654" t="n"/>
      <c r="H10" s="654" t="n"/>
      <c r="I10" s="654" t="n"/>
      <c r="J10" s="654" t="n"/>
      <c r="K10" s="654" t="n"/>
      <c r="L10" s="654" t="n"/>
      <c r="M10" s="654" t="n"/>
      <c r="N10" s="654" t="n"/>
      <c r="O10" s="624" t="n"/>
      <c r="P10" s="456" t="inlineStr">
        <is>
          <t>팀 연구 및 개발</t>
        </is>
      </c>
      <c r="Q10" s="654" t="n"/>
      <c r="R10" s="654" t="n"/>
      <c r="S10" s="654" t="n"/>
      <c r="T10" s="654" t="n"/>
      <c r="U10" s="654" t="n"/>
      <c r="V10" s="654" t="n"/>
      <c r="W10" s="654" t="n"/>
      <c r="X10" s="654" t="n"/>
      <c r="Y10" s="654" t="n"/>
      <c r="Z10" s="654" t="n"/>
      <c r="AA10" s="624" t="n"/>
      <c r="AB10" s="694" t="inlineStr">
        <is>
          <t>R&amp;D Group</t>
        </is>
      </c>
      <c r="AC10" s="654" t="n"/>
      <c r="AD10" s="654" t="n"/>
      <c r="AE10" s="654" t="n"/>
      <c r="AF10" s="654" t="n"/>
      <c r="AG10" s="654" t="n"/>
      <c r="AH10" s="654" t="n"/>
      <c r="AI10" s="654" t="n"/>
      <c r="AJ10" s="626" t="n"/>
      <c r="AK10" s="69" t="n"/>
      <c r="AL10" s="69" t="n"/>
      <c r="AM10" s="70" t="n"/>
      <c r="AN10" s="69" t="n"/>
      <c r="AO10" s="69" t="n"/>
      <c r="BX10" s="69" t="n"/>
      <c r="BY10" s="71" t="n"/>
    </row>
    <row r="11" ht="35.25" customHeight="1" thickBot="1">
      <c r="A11" s="104" t="n"/>
      <c r="B11" s="105" t="n"/>
      <c r="C11" s="105" t="n"/>
      <c r="D11" s="475" t="inlineStr">
        <is>
          <t>Production: AI casting, stamping, cnc, grinding, painting, assembling ...</t>
        </is>
      </c>
      <c r="E11" s="665" t="n"/>
      <c r="F11" s="665" t="n"/>
      <c r="G11" s="665" t="n"/>
      <c r="H11" s="665" t="n"/>
      <c r="I11" s="665" t="n"/>
      <c r="J11" s="665" t="n"/>
      <c r="K11" s="665" t="n"/>
      <c r="L11" s="665" t="n"/>
      <c r="M11" s="665" t="n"/>
      <c r="N11" s="665" t="n"/>
      <c r="O11" s="663" t="n"/>
      <c r="P11" s="477" t="inlineStr">
        <is>
          <t>팀제작</t>
        </is>
      </c>
      <c r="Q11" s="665" t="n"/>
      <c r="R11" s="665" t="n"/>
      <c r="S11" s="665" t="n"/>
      <c r="T11" s="665" t="n"/>
      <c r="U11" s="665" t="n"/>
      <c r="V11" s="665" t="n"/>
      <c r="W11" s="665" t="n"/>
      <c r="X11" s="665" t="n"/>
      <c r="Y11" s="665" t="n"/>
      <c r="Z11" s="665" t="n"/>
      <c r="AA11" s="663" t="n"/>
      <c r="AB11" s="695" t="inlineStr">
        <is>
          <t>Production Group</t>
        </is>
      </c>
      <c r="AC11" s="665" t="n"/>
      <c r="AD11" s="665" t="n"/>
      <c r="AE11" s="665" t="n"/>
      <c r="AF11" s="665" t="n"/>
      <c r="AG11" s="665" t="n"/>
      <c r="AH11" s="665" t="n"/>
      <c r="AI11" s="665" t="n"/>
      <c r="AJ11" s="666" t="n"/>
      <c r="AK11" s="105" t="n"/>
      <c r="AL11" s="106" t="n"/>
      <c r="AM11" s="60" t="n"/>
      <c r="AN11" s="61" t="n"/>
      <c r="AO11" s="61" t="n"/>
      <c r="AP11" s="61" t="n"/>
      <c r="AQ11" s="61" t="n"/>
      <c r="AR11" s="460" t="n"/>
      <c r="AW11" s="460" t="n"/>
      <c r="BC11" s="460" t="n"/>
      <c r="BG11" s="460" t="n"/>
      <c r="BY11" s="62" t="n"/>
    </row>
    <row r="12" ht="16.5" customHeight="1">
      <c r="A12" s="63" t="n"/>
      <c r="B12" s="61" t="n"/>
      <c r="C12" s="61" t="n"/>
      <c r="D12" s="107" t="n"/>
      <c r="E12" s="108" t="n"/>
      <c r="F12" s="108" t="n"/>
      <c r="G12" s="108" t="n"/>
      <c r="H12" s="108" t="n"/>
      <c r="I12" s="108" t="n"/>
      <c r="J12" s="108" t="n"/>
      <c r="K12" s="108" t="n"/>
      <c r="L12" s="108" t="n"/>
      <c r="M12" s="108" t="n"/>
      <c r="N12" s="108" t="n"/>
      <c r="O12" s="108" t="n"/>
      <c r="P12" s="108" t="n"/>
      <c r="Q12" s="108" t="n"/>
      <c r="R12" s="108" t="n"/>
      <c r="S12" s="108" t="n"/>
      <c r="T12" s="108" t="n"/>
      <c r="U12" s="108" t="n"/>
      <c r="V12" s="108" t="n"/>
      <c r="W12" s="108" t="n"/>
      <c r="X12" s="108" t="n"/>
      <c r="Y12" s="108" t="n"/>
      <c r="Z12" s="108" t="n"/>
      <c r="AA12" s="108" t="n"/>
      <c r="AB12" s="108" t="n"/>
      <c r="AC12" s="108" t="n"/>
      <c r="AD12" s="108" t="n"/>
      <c r="AE12" s="108" t="n"/>
      <c r="AF12" s="108" t="n"/>
      <c r="AG12" s="108" t="n"/>
      <c r="AH12" s="108" t="n"/>
      <c r="AI12" s="108" t="n"/>
      <c r="AJ12" s="108" t="n"/>
      <c r="AK12" s="108" t="n"/>
      <c r="AL12" s="109" t="n"/>
      <c r="AM12" s="60" t="n"/>
      <c r="AN12" s="61" t="n"/>
      <c r="AO12" s="61" t="n"/>
      <c r="AP12" s="61" t="n"/>
      <c r="AQ12" s="61" t="n"/>
      <c r="AR12" s="460" t="n"/>
      <c r="AW12" s="460" t="n"/>
      <c r="BC12" s="460" t="n"/>
      <c r="BG12" s="461" t="n"/>
      <c r="BY12" s="62" t="n"/>
    </row>
    <row r="13" ht="16.5" customHeight="1">
      <c r="A13" s="696" t="inlineStr">
        <is>
          <t xml:space="preserve">   2. Applied standard:</t>
        </is>
      </c>
      <c r="AL13" s="636" t="n"/>
      <c r="AM13" s="70" t="n"/>
      <c r="AN13" s="69" t="n"/>
      <c r="AO13" s="69" t="n"/>
      <c r="AP13" s="69" t="n"/>
      <c r="AQ13" s="69" t="n"/>
      <c r="BY13" s="71" t="n"/>
    </row>
    <row r="14" ht="16.5" customHeight="1">
      <c r="A14" s="68" t="n"/>
      <c r="B14" s="69" t="n"/>
      <c r="C14" s="69" t="n"/>
      <c r="D14" s="116" t="inlineStr">
        <is>
          <t>- Testing standard</t>
        </is>
      </c>
      <c r="E14" s="108" t="n"/>
      <c r="F14" s="108" t="n"/>
      <c r="G14" s="108" t="n"/>
      <c r="H14" s="108" t="n"/>
      <c r="I14" s="108" t="n"/>
      <c r="J14" s="108" t="n"/>
      <c r="K14" s="108" t="n"/>
      <c r="L14" s="108" t="n"/>
      <c r="M14" s="108" t="n"/>
      <c r="N14" s="108" t="n"/>
      <c r="O14" s="108" t="n"/>
      <c r="P14" s="108" t="n"/>
      <c r="Q14" s="108" t="n"/>
      <c r="R14" s="108" t="n"/>
      <c r="S14" s="108" t="n"/>
      <c r="T14" s="108" t="n"/>
      <c r="U14" s="108" t="n"/>
      <c r="V14" s="108" t="n"/>
      <c r="W14" s="108" t="n"/>
      <c r="X14" s="108" t="n"/>
      <c r="Y14" s="108" t="n"/>
      <c r="Z14" s="108" t="n"/>
      <c r="AA14" s="108" t="n"/>
      <c r="AB14" s="108" t="n"/>
      <c r="AC14" s="108" t="n"/>
      <c r="AD14" s="108" t="n"/>
      <c r="AE14" s="108" t="n"/>
      <c r="AF14" s="108" t="n"/>
      <c r="AG14" s="108" t="n"/>
      <c r="AH14" s="108" t="n"/>
      <c r="AI14" s="108" t="n"/>
      <c r="AJ14" s="108" t="n"/>
      <c r="AK14" s="108" t="n"/>
      <c r="AL14" s="109" t="n"/>
      <c r="AM14" s="70" t="n"/>
      <c r="AN14" s="69" t="n"/>
      <c r="AO14" s="69" t="n"/>
      <c r="AP14" s="69" t="n"/>
      <c r="AQ14" s="69" t="n"/>
      <c r="BY14" s="71" t="n"/>
    </row>
    <row r="15" ht="16.5" customHeight="1">
      <c r="A15" s="68" t="n"/>
      <c r="B15" s="69" t="n"/>
      <c r="C15" s="69" t="n"/>
      <c r="D15" s="116" t="n"/>
      <c r="E15" s="108" t="n"/>
      <c r="F15" s="108" t="n"/>
      <c r="G15" s="108" t="n"/>
      <c r="H15" s="108" t="n"/>
      <c r="I15" s="108" t="n"/>
      <c r="J15" s="108" t="n"/>
      <c r="K15" s="108" t="n"/>
      <c r="L15" s="108" t="n"/>
      <c r="M15" s="108" t="n"/>
      <c r="N15" s="108" t="n"/>
      <c r="O15" s="108" t="n"/>
      <c r="P15" s="108" t="n"/>
      <c r="Q15" s="108" t="n"/>
      <c r="R15" s="108" t="n"/>
      <c r="S15" s="108" t="n"/>
      <c r="T15" s="108" t="n"/>
      <c r="U15" s="108" t="n"/>
      <c r="V15" s="108" t="n"/>
      <c r="W15" s="108" t="n"/>
      <c r="X15" s="108" t="n"/>
      <c r="Y15" s="108" t="n"/>
      <c r="Z15" s="108" t="n"/>
      <c r="AA15" s="108" t="n"/>
      <c r="AB15" s="108" t="n"/>
      <c r="AC15" s="108" t="n"/>
      <c r="AD15" s="108" t="n"/>
      <c r="AE15" s="108" t="n"/>
      <c r="AF15" s="108" t="n"/>
      <c r="AG15" s="108" t="n"/>
      <c r="AH15" s="108" t="n"/>
      <c r="AI15" s="108" t="n"/>
      <c r="AJ15" s="108" t="n"/>
      <c r="AK15" s="108" t="n"/>
      <c r="AL15" s="109" t="n"/>
      <c r="AM15" s="70" t="n"/>
      <c r="AN15" s="69" t="n"/>
      <c r="AO15" s="69" t="n"/>
      <c r="AP15" s="69" t="n"/>
      <c r="AQ15" s="69" t="n"/>
      <c r="AR15" s="460" t="n"/>
      <c r="AW15" s="460" t="n"/>
      <c r="BC15" s="460" t="n"/>
      <c r="BG15" s="461" t="n"/>
      <c r="BY15" s="71" t="n"/>
    </row>
    <row r="16" ht="16.5" customHeight="1">
      <c r="A16" s="104" t="n"/>
      <c r="B16" s="105" t="n"/>
      <c r="C16" s="105" t="n"/>
      <c r="D16" s="105" t="n"/>
      <c r="E16" s="105" t="n"/>
      <c r="F16" s="105" t="n"/>
      <c r="G16" s="105" t="n"/>
      <c r="H16" s="105" t="n"/>
      <c r="I16" s="105" t="n"/>
      <c r="J16" s="105" t="n"/>
      <c r="K16" s="105" t="n"/>
      <c r="L16" s="105" t="n"/>
      <c r="M16" s="105" t="n"/>
      <c r="N16" s="105" t="n"/>
      <c r="O16" s="105" t="n"/>
      <c r="P16" s="105" t="n"/>
      <c r="Q16" s="105" t="n"/>
      <c r="R16" s="105" t="n"/>
      <c r="S16" s="105" t="n"/>
      <c r="T16" s="105" t="n"/>
      <c r="U16" s="105" t="n"/>
      <c r="V16" s="105" t="n"/>
      <c r="W16" s="105" t="n"/>
      <c r="X16" s="105" t="n"/>
      <c r="Y16" s="105" t="n"/>
      <c r="Z16" s="105" t="n"/>
      <c r="AA16" s="105" t="n"/>
      <c r="AB16" s="105" t="n"/>
      <c r="AC16" s="105" t="n"/>
      <c r="AD16" s="105" t="n"/>
      <c r="AE16" s="105" t="n"/>
      <c r="AF16" s="105" t="n"/>
      <c r="AG16" s="105" t="n"/>
      <c r="AH16" s="105" t="n"/>
      <c r="AI16" s="105" t="n"/>
      <c r="AJ16" s="105" t="n"/>
      <c r="AK16" s="105" t="n"/>
      <c r="AL16" s="106" t="n"/>
      <c r="AM16" s="70" t="n"/>
      <c r="AN16" s="69" t="n"/>
      <c r="AO16" s="69" t="n"/>
      <c r="AP16" s="69" t="n"/>
      <c r="AQ16" s="69" t="n"/>
      <c r="BY16" s="71" t="n"/>
    </row>
    <row r="17" ht="16.5" customHeight="1">
      <c r="A17" s="63" t="n"/>
      <c r="B17" s="61" t="n"/>
      <c r="C17" s="61" t="n"/>
      <c r="D17" s="107" t="n"/>
      <c r="E17" s="108" t="n"/>
      <c r="F17" s="108" t="n"/>
      <c r="G17" s="108" t="n"/>
      <c r="H17" s="108" t="n"/>
      <c r="I17" s="108" t="n"/>
      <c r="J17" s="108" t="n"/>
      <c r="K17" s="108" t="n"/>
      <c r="L17" s="108" t="n"/>
      <c r="M17" s="108" t="n"/>
      <c r="N17" s="108" t="n"/>
      <c r="O17" s="108" t="n"/>
      <c r="P17" s="108" t="n"/>
      <c r="Q17" s="108" t="n"/>
      <c r="R17" s="108" t="n"/>
      <c r="S17" s="108" t="n"/>
      <c r="T17" s="108" t="n"/>
      <c r="U17" s="108" t="n"/>
      <c r="V17" s="108" t="n"/>
      <c r="W17" s="108" t="n"/>
      <c r="X17" s="108" t="n"/>
      <c r="Y17" s="108" t="n"/>
      <c r="Z17" s="108" t="n"/>
      <c r="AA17" s="108" t="n"/>
      <c r="AB17" s="108" t="n"/>
      <c r="AC17" s="108" t="n"/>
      <c r="AD17" s="108" t="n"/>
      <c r="AE17" s="108" t="n"/>
      <c r="AF17" s="108" t="n"/>
      <c r="AG17" s="108" t="n"/>
      <c r="AH17" s="108" t="n"/>
      <c r="AI17" s="108" t="n"/>
      <c r="AJ17" s="108" t="n"/>
      <c r="AK17" s="108" t="n"/>
      <c r="AL17" s="109" t="n"/>
      <c r="AM17" s="70" t="n"/>
      <c r="AN17" s="69" t="n"/>
      <c r="AO17" s="69" t="n"/>
      <c r="AP17" s="69" t="n"/>
      <c r="AQ17" s="69" t="n"/>
      <c r="BY17" s="71" t="n"/>
    </row>
    <row r="18" ht="16.5" customHeight="1">
      <c r="A18" s="68" t="n"/>
      <c r="B18" s="69" t="n"/>
      <c r="C18" s="69" t="n"/>
      <c r="D18" s="108" t="n"/>
      <c r="E18" s="108" t="n"/>
      <c r="F18" s="108" t="n"/>
      <c r="G18" s="108" t="n"/>
      <c r="H18" s="108" t="n"/>
      <c r="I18" s="108" t="n"/>
      <c r="J18" s="108" t="n"/>
      <c r="K18" s="108" t="n"/>
      <c r="L18" s="108" t="n"/>
      <c r="M18" s="108" t="n"/>
      <c r="N18" s="108" t="n"/>
      <c r="O18" s="108" t="n"/>
      <c r="P18" s="108" t="n"/>
      <c r="Q18" s="108" t="n"/>
      <c r="R18" s="108" t="n"/>
      <c r="S18" s="108" t="n"/>
      <c r="T18" s="108" t="n"/>
      <c r="U18" s="108" t="n"/>
      <c r="V18" s="108" t="n"/>
      <c r="W18" s="108" t="n"/>
      <c r="X18" s="108" t="n"/>
      <c r="Y18" s="108" t="n"/>
      <c r="Z18" s="108" t="n"/>
      <c r="AA18" s="108" t="n"/>
      <c r="AB18" s="108" t="n"/>
      <c r="AC18" s="108" t="n"/>
      <c r="AD18" s="108" t="n"/>
      <c r="AE18" s="108" t="n"/>
      <c r="AF18" s="108" t="n"/>
      <c r="AG18" s="108" t="n"/>
      <c r="AH18" s="108" t="n"/>
      <c r="AI18" s="108" t="n"/>
      <c r="AJ18" s="108" t="n"/>
      <c r="AK18" s="108" t="n"/>
      <c r="AL18" s="109" t="n"/>
      <c r="AM18" s="70" t="n"/>
      <c r="AN18" s="69" t="n"/>
      <c r="AO18" s="69" t="n"/>
      <c r="AP18" s="69" t="n"/>
      <c r="AQ18" s="69" t="n"/>
      <c r="AR18" s="460" t="n"/>
      <c r="AW18" s="460" t="n"/>
      <c r="BC18" s="460" t="n"/>
      <c r="BG18" s="461" t="n"/>
      <c r="BY18" s="71" t="n"/>
    </row>
    <row r="19" ht="16.5" customHeight="1">
      <c r="A19" s="68" t="n"/>
      <c r="B19" s="69" t="n"/>
      <c r="C19" s="69" t="n"/>
      <c r="D19" s="108" t="n"/>
      <c r="E19" s="108" t="n"/>
      <c r="F19" s="108" t="n"/>
      <c r="G19" s="108" t="n"/>
      <c r="H19" s="108" t="n"/>
      <c r="I19" s="108" t="n"/>
      <c r="J19" s="108" t="n"/>
      <c r="K19" s="108" t="n"/>
      <c r="L19" s="108" t="n"/>
      <c r="M19" s="108" t="n"/>
      <c r="N19" s="108" t="n"/>
      <c r="O19" s="108" t="n"/>
      <c r="P19" s="108" t="n"/>
      <c r="Q19" s="108" t="n"/>
      <c r="R19" s="108" t="n"/>
      <c r="S19" s="108" t="n"/>
      <c r="T19" s="108" t="n"/>
      <c r="U19" s="108" t="n"/>
      <c r="V19" s="108" t="n"/>
      <c r="W19" s="108" t="n"/>
      <c r="X19" s="108" t="n"/>
      <c r="Y19" s="108" t="n"/>
      <c r="Z19" s="108" t="n"/>
      <c r="AA19" s="108" t="n"/>
      <c r="AB19" s="108" t="n"/>
      <c r="AC19" s="108" t="n"/>
      <c r="AD19" s="108" t="n"/>
      <c r="AE19" s="108" t="n"/>
      <c r="AF19" s="108" t="n"/>
      <c r="AG19" s="108" t="n"/>
      <c r="AH19" s="108" t="n"/>
      <c r="AI19" s="108" t="n"/>
      <c r="AJ19" s="108" t="n"/>
      <c r="AK19" s="108" t="n"/>
      <c r="AL19" s="109" t="n"/>
      <c r="AM19" s="70" t="n"/>
      <c r="AN19" s="69" t="n"/>
      <c r="AO19" s="69" t="n"/>
      <c r="AP19" s="69" t="n"/>
      <c r="AQ19" s="69" t="n"/>
      <c r="BY19" s="71" t="n"/>
    </row>
    <row r="20" ht="16.5" customHeight="1">
      <c r="A20" s="68" t="n"/>
      <c r="B20" s="69" t="n"/>
      <c r="C20" s="69" t="n"/>
      <c r="D20" s="108" t="n"/>
      <c r="E20" s="108" t="n"/>
      <c r="F20" s="108" t="n"/>
      <c r="G20" s="108" t="n"/>
      <c r="H20" s="108" t="n"/>
      <c r="I20" s="108" t="n"/>
      <c r="J20" s="108" t="n"/>
      <c r="K20" s="108" t="n"/>
      <c r="L20" s="108" t="n"/>
      <c r="M20" s="108" t="n"/>
      <c r="N20" s="108" t="n"/>
      <c r="O20" s="108" t="inlineStr">
        <is>
          <t xml:space="preserve"> </t>
        </is>
      </c>
      <c r="P20" s="108" t="n"/>
      <c r="Q20" s="108" t="n"/>
      <c r="R20" s="108" t="n"/>
      <c r="S20" s="108" t="n"/>
      <c r="T20" s="108" t="n"/>
      <c r="U20" s="108" t="n"/>
      <c r="V20" s="108" t="n"/>
      <c r="W20" s="108" t="n"/>
      <c r="X20" s="108" t="n"/>
      <c r="Y20" s="108" t="n"/>
      <c r="Z20" s="108" t="n"/>
      <c r="AA20" s="108" t="n"/>
      <c r="AB20" s="108" t="n"/>
      <c r="AC20" s="108" t="n"/>
      <c r="AD20" s="108" t="n"/>
      <c r="AE20" s="108" t="n"/>
      <c r="AF20" s="108" t="n"/>
      <c r="AG20" s="108" t="n"/>
      <c r="AH20" s="108" t="n"/>
      <c r="AI20" s="108" t="n"/>
      <c r="AJ20" s="108" t="n"/>
      <c r="AK20" s="108" t="n"/>
      <c r="AL20" s="109" t="n"/>
      <c r="AM20" s="70" t="n"/>
      <c r="AN20" s="69" t="n"/>
      <c r="AO20" s="69" t="n"/>
      <c r="AP20" s="69" t="n"/>
      <c r="AQ20" s="69" t="n"/>
      <c r="BY20" s="71" t="n"/>
    </row>
    <row r="21" ht="16.5" customHeight="1">
      <c r="A21" s="697" t="n"/>
      <c r="AL21" s="636" t="n"/>
      <c r="AM21" s="70" t="n"/>
      <c r="AN21" s="69" t="n"/>
      <c r="AO21" s="69" t="n"/>
      <c r="AP21" s="69" t="n"/>
      <c r="AQ21" s="69" t="n"/>
      <c r="AW21" s="460" t="n"/>
      <c r="BC21" s="460" t="n"/>
      <c r="BG21" s="461" t="n"/>
      <c r="BY21" s="71" t="n"/>
    </row>
    <row r="22" ht="16.5" customHeight="1">
      <c r="A22" s="63" t="n"/>
      <c r="B22" s="61" t="n"/>
      <c r="C22" s="61" t="n"/>
      <c r="D22" s="465" t="n"/>
      <c r="AL22" s="636" t="n"/>
      <c r="AM22" s="70" t="n"/>
      <c r="AN22" s="69" t="n"/>
      <c r="AO22" s="69" t="n"/>
      <c r="AP22" s="69" t="n"/>
      <c r="AQ22" s="69" t="n"/>
      <c r="BY22" s="71" t="n"/>
    </row>
    <row r="23" ht="16.5" customHeight="1">
      <c r="A23" s="68" t="n"/>
      <c r="B23" s="69" t="n"/>
      <c r="C23" s="69" t="n"/>
      <c r="AL23" s="636" t="n"/>
      <c r="AM23" s="70" t="n"/>
      <c r="AN23" s="69" t="n"/>
      <c r="AO23" s="69" t="n"/>
      <c r="AP23" s="69" t="n"/>
      <c r="AQ23" s="69" t="n"/>
      <c r="BY23" s="71" t="n"/>
    </row>
    <row r="24" ht="16.5" customHeight="1">
      <c r="A24" s="68" t="n"/>
      <c r="B24" s="69" t="n"/>
      <c r="C24" s="69" t="n"/>
      <c r="AL24" s="636" t="n"/>
      <c r="AM24" s="70" t="n"/>
      <c r="AN24" s="69" t="n"/>
      <c r="AO24" s="69" t="n"/>
      <c r="AP24" s="69" t="n"/>
      <c r="AQ24" s="69" t="n"/>
      <c r="AR24" s="460" t="n"/>
      <c r="AW24" s="460" t="n"/>
      <c r="BC24" s="460" t="n"/>
      <c r="BG24" s="461" t="n"/>
      <c r="BY24" s="71" t="n"/>
    </row>
    <row r="25" ht="16.5" customHeight="1">
      <c r="A25" s="68" t="n"/>
      <c r="B25" s="69" t="n"/>
      <c r="C25" s="69" t="n"/>
      <c r="AL25" s="636" t="n"/>
      <c r="AM25" s="70" t="n"/>
      <c r="AN25" s="69" t="n"/>
      <c r="AO25" s="69" t="n"/>
      <c r="AP25" s="69" t="n"/>
      <c r="AQ25" s="69" t="n"/>
      <c r="BY25" s="71" t="n"/>
    </row>
    <row r="26" ht="16.5" customHeight="1">
      <c r="A26" s="68" t="n"/>
      <c r="B26" s="69" t="n"/>
      <c r="C26" s="69" t="n"/>
      <c r="AL26" s="636" t="n"/>
      <c r="AM26" s="70" t="n"/>
      <c r="AN26" s="69" t="n"/>
      <c r="AO26" s="69" t="n"/>
      <c r="AP26" s="69" t="n"/>
      <c r="AQ26" s="69" t="n"/>
      <c r="BY26" s="71" t="n"/>
    </row>
    <row r="27" ht="16.5" customHeight="1">
      <c r="A27" s="68" t="n"/>
      <c r="B27" s="69" t="n"/>
      <c r="C27" s="69" t="n"/>
      <c r="AL27" s="636" t="n"/>
      <c r="AM27" s="70" t="n"/>
      <c r="AN27" s="69" t="n"/>
      <c r="AO27" s="69" t="n"/>
      <c r="AP27" s="69" t="n"/>
      <c r="AQ27" s="69" t="n"/>
      <c r="AW27" s="460" t="n"/>
      <c r="BC27" s="460" t="n"/>
      <c r="BG27" s="461" t="n"/>
      <c r="BY27" s="71" t="n"/>
    </row>
    <row r="28" ht="16.5" customHeight="1">
      <c r="A28" s="68" t="n"/>
      <c r="B28" s="69" t="n"/>
      <c r="C28" s="69" t="n"/>
      <c r="AL28" s="636" t="n"/>
      <c r="AM28" s="70" t="n"/>
      <c r="AN28" s="69" t="n"/>
      <c r="AO28" s="69" t="n"/>
      <c r="AP28" s="69" t="n"/>
      <c r="AQ28" s="69" t="n"/>
      <c r="BY28" s="71" t="n"/>
    </row>
    <row r="29" ht="16.5" customHeight="1">
      <c r="A29" s="68" t="n"/>
      <c r="B29" s="69" t="n"/>
      <c r="C29" s="69" t="n"/>
      <c r="AL29" s="636" t="n"/>
      <c r="AM29" s="70" t="n"/>
      <c r="AN29" s="69" t="n"/>
      <c r="AO29" s="69" t="n"/>
      <c r="AP29" s="69" t="n"/>
      <c r="AQ29" s="69" t="n"/>
      <c r="BY29" s="71" t="n"/>
    </row>
    <row r="30" ht="16.5" customHeight="1">
      <c r="A30" s="68" t="n"/>
      <c r="B30" s="69" t="n"/>
      <c r="C30" s="69" t="n"/>
      <c r="AL30" s="636" t="n"/>
      <c r="AM30" s="70" t="n"/>
      <c r="AN30" s="69" t="n"/>
      <c r="AO30" s="69" t="n"/>
      <c r="AP30" s="69" t="n"/>
      <c r="AQ30" s="69" t="n"/>
      <c r="AR30" s="69" t="n"/>
      <c r="AS30" s="69" t="n"/>
      <c r="AT30" s="69" t="n"/>
      <c r="AU30" s="69" t="n"/>
      <c r="AV30" s="69" t="n"/>
      <c r="AW30" s="69" t="n"/>
      <c r="AX30" s="69" t="n"/>
      <c r="AY30" s="69" t="n"/>
      <c r="AZ30" s="69" t="n"/>
      <c r="BA30" s="69" t="n"/>
      <c r="BB30" s="69" t="n"/>
      <c r="BC30" s="69" t="n"/>
      <c r="BD30" s="69" t="n"/>
      <c r="BE30" s="69" t="n"/>
      <c r="BF30" s="69" t="n"/>
      <c r="BG30" s="69" t="n"/>
      <c r="BH30" s="69" t="n"/>
      <c r="BI30" s="69" t="n"/>
      <c r="BJ30" s="69" t="n"/>
      <c r="BK30" s="69" t="n"/>
      <c r="BL30" s="69" t="n"/>
      <c r="BM30" s="69" t="n"/>
      <c r="BN30" s="69" t="n"/>
      <c r="BO30" s="69" t="n"/>
      <c r="BP30" s="69" t="n"/>
      <c r="BQ30" s="69" t="n"/>
      <c r="BR30" s="69" t="n"/>
      <c r="BS30" s="69" t="n"/>
      <c r="BT30" s="69" t="n"/>
      <c r="BU30" s="69" t="n"/>
      <c r="BV30" s="69" t="n"/>
      <c r="BW30" s="69" t="n"/>
      <c r="BX30" s="69" t="n"/>
      <c r="BY30" s="71" t="n"/>
    </row>
    <row r="31" ht="16.5" customHeight="1">
      <c r="A31" s="68" t="n"/>
      <c r="B31" s="69" t="n"/>
      <c r="C31" s="69" t="n"/>
      <c r="AL31" s="636" t="n"/>
      <c r="AM31" s="70" t="n"/>
      <c r="AN31" s="69" t="n"/>
      <c r="AO31" s="69" t="n"/>
      <c r="AP31" s="69" t="n"/>
      <c r="AQ31" s="69" t="n"/>
      <c r="AR31" s="69" t="n"/>
      <c r="AS31" s="69" t="n"/>
      <c r="AT31" s="69" t="n"/>
      <c r="AU31" s="69" t="n"/>
      <c r="AV31" s="69" t="n"/>
      <c r="AW31" s="69" t="n"/>
      <c r="AX31" s="69" t="n"/>
      <c r="AY31" s="69" t="n"/>
      <c r="AZ31" s="69" t="n"/>
      <c r="BA31" s="69" t="n"/>
      <c r="BB31" s="69" t="n"/>
      <c r="BC31" s="69" t="n"/>
      <c r="BD31" s="69" t="n"/>
      <c r="BE31" s="69" t="n"/>
      <c r="BF31" s="69" t="n"/>
      <c r="BG31" s="69" t="n"/>
      <c r="BH31" s="69" t="n"/>
      <c r="BI31" s="69" t="n"/>
      <c r="BJ31" s="69" t="n"/>
      <c r="BK31" s="69" t="n"/>
      <c r="BL31" s="69" t="n"/>
      <c r="BM31" s="69" t="n"/>
      <c r="BN31" s="69" t="n"/>
      <c r="BO31" s="69" t="n"/>
      <c r="BP31" s="69" t="n"/>
      <c r="BQ31" s="69" t="n"/>
      <c r="BR31" s="69" t="n"/>
      <c r="BS31" s="69" t="n"/>
      <c r="BT31" s="69" t="n"/>
      <c r="BU31" s="69" t="n"/>
      <c r="BV31" s="69" t="n"/>
      <c r="BW31" s="69" t="n"/>
      <c r="BX31" s="69" t="n"/>
      <c r="BY31" s="71" t="n"/>
    </row>
    <row r="32" ht="16.5" customHeight="1" thickBot="1">
      <c r="A32" s="72" t="n"/>
      <c r="B32" s="73" t="n"/>
      <c r="C32" s="73" t="n"/>
      <c r="D32" s="73" t="n"/>
      <c r="E32" s="73" t="n"/>
      <c r="F32" s="73" t="n"/>
      <c r="G32" s="73" t="n"/>
      <c r="H32" s="73" t="n"/>
      <c r="I32" s="73" t="n"/>
      <c r="J32" s="73" t="n"/>
      <c r="K32" s="73" t="n"/>
      <c r="L32" s="73" t="n"/>
      <c r="M32" s="73" t="n"/>
      <c r="N32" s="73" t="n"/>
      <c r="O32" s="73" t="n"/>
      <c r="P32" s="73" t="n"/>
      <c r="Q32" s="73" t="n"/>
      <c r="R32" s="73" t="n"/>
      <c r="S32" s="73" t="n"/>
      <c r="T32" s="73" t="n"/>
      <c r="U32" s="73" t="n"/>
      <c r="V32" s="73" t="n"/>
      <c r="W32" s="73" t="n"/>
      <c r="X32" s="73" t="n"/>
      <c r="Y32" s="73" t="n"/>
      <c r="Z32" s="73" t="n"/>
      <c r="AA32" s="73" t="n"/>
      <c r="AB32" s="73" t="n"/>
      <c r="AC32" s="73" t="n"/>
      <c r="AD32" s="73" t="n"/>
      <c r="AE32" s="73" t="n"/>
      <c r="AF32" s="73" t="n"/>
      <c r="AG32" s="73" t="n"/>
      <c r="AH32" s="73" t="n"/>
      <c r="AI32" s="73" t="n"/>
      <c r="AJ32" s="73" t="n"/>
      <c r="AK32" s="73" t="n"/>
      <c r="AL32" s="73" t="n"/>
      <c r="AM32" s="74"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3" t="n"/>
      <c r="BH32" s="73" t="n"/>
      <c r="BI32" s="73" t="n"/>
      <c r="BJ32" s="73" t="n"/>
      <c r="BK32" s="73" t="n"/>
      <c r="BL32" s="73" t="n"/>
      <c r="BM32" s="73" t="n"/>
      <c r="BN32" s="73" t="n"/>
      <c r="BO32" s="73" t="n"/>
      <c r="BP32" s="73" t="n"/>
      <c r="BQ32" s="73" t="n"/>
      <c r="BR32" s="73" t="n"/>
      <c r="BS32" s="73" t="n"/>
      <c r="BT32" s="73" t="n"/>
      <c r="BU32" s="73" t="n"/>
      <c r="BV32" s="73" t="n"/>
      <c r="BW32" s="73" t="n"/>
      <c r="BX32" s="73" t="n"/>
      <c r="BY32" s="75" t="n"/>
    </row>
    <row r="33" ht="16.5" customHeight="1" thickTop="1"/>
    <row r="34" ht="16.5" customHeight="1"/>
    <row r="35" ht="16.5" customHeight="1"/>
  </sheetData>
  <mergeCells count="58">
    <mergeCell ref="BC24:BF26"/>
    <mergeCell ref="BN1:BT1"/>
    <mergeCell ref="BC18:BF20"/>
    <mergeCell ref="P6:AA6"/>
    <mergeCell ref="D11:O11"/>
    <mergeCell ref="P11:AA11"/>
    <mergeCell ref="P8:AA8"/>
    <mergeCell ref="A13:AL13"/>
    <mergeCell ref="AB9:AJ9"/>
    <mergeCell ref="AW18:BB20"/>
    <mergeCell ref="BU2:BY2"/>
    <mergeCell ref="D7:O7"/>
    <mergeCell ref="AZ2:BF2"/>
    <mergeCell ref="AW15:BB17"/>
    <mergeCell ref="BN2:BT2"/>
    <mergeCell ref="P7:AA7"/>
    <mergeCell ref="D22:AL31"/>
    <mergeCell ref="AW24:BB26"/>
    <mergeCell ref="AB11:AJ11"/>
    <mergeCell ref="AR24:AV29"/>
    <mergeCell ref="BG15:BX17"/>
    <mergeCell ref="BG11:BX11"/>
    <mergeCell ref="AB8:AJ8"/>
    <mergeCell ref="O1:AY2"/>
    <mergeCell ref="D9:O9"/>
    <mergeCell ref="BG27:BX29"/>
    <mergeCell ref="BU1:BY1"/>
    <mergeCell ref="BC15:BF17"/>
    <mergeCell ref="AB7:AJ7"/>
    <mergeCell ref="BC11:BF11"/>
    <mergeCell ref="AZ1:BF1"/>
    <mergeCell ref="D8:O8"/>
    <mergeCell ref="BC27:BF29"/>
    <mergeCell ref="D6:O6"/>
    <mergeCell ref="AB10:AJ10"/>
    <mergeCell ref="A21:AL21"/>
    <mergeCell ref="AR15:AV17"/>
    <mergeCell ref="AW12:BB14"/>
    <mergeCell ref="AW21:BB23"/>
    <mergeCell ref="BG1:BM1"/>
    <mergeCell ref="AB6:AJ6"/>
    <mergeCell ref="D10:O10"/>
    <mergeCell ref="AP4:BW10"/>
    <mergeCell ref="AR18:AV23"/>
    <mergeCell ref="AW11:BB11"/>
    <mergeCell ref="AR12:AV14"/>
    <mergeCell ref="BG12:BX14"/>
    <mergeCell ref="AR11:AV11"/>
    <mergeCell ref="P10:AA10"/>
    <mergeCell ref="AW27:BB29"/>
    <mergeCell ref="BG21:BX23"/>
    <mergeCell ref="BC12:BF14"/>
    <mergeCell ref="P9:AA9"/>
    <mergeCell ref="BC21:BF23"/>
    <mergeCell ref="BG24:BX26"/>
    <mergeCell ref="A4:AL4"/>
    <mergeCell ref="BG18:BX20"/>
    <mergeCell ref="BG2:BM2"/>
  </mergeCells>
  <pageMargins left="1.338582677165354" right="0.2362204724409449" top="0.5511811023622047" bottom="0.1968503937007874" header="0.3149606299212598" footer="0.1574803149606299"/>
  <pageSetup orientation="landscape" paperSize="9" scale="76"/>
  <drawing xmlns:r="http://schemas.openxmlformats.org/officeDocument/2006/relationships" r:id="rId1"/>
</worksheet>
</file>

<file path=xl/worksheets/sheet5.xml><?xml version="1.0" encoding="utf-8"?>
<worksheet xmlns="http://schemas.openxmlformats.org/spreadsheetml/2006/main">
  <sheetPr>
    <tabColor rgb="FFFF0000"/>
    <outlinePr summaryBelow="1" summaryRight="1"/>
    <pageSetUpPr fitToPage="1"/>
  </sheetPr>
  <dimension ref="A1:L18"/>
  <sheetViews>
    <sheetView tabSelected="1" view="pageBreakPreview" zoomScale="85" zoomScaleNormal="85" zoomScaleSheetLayoutView="85" workbookViewId="0">
      <selection activeCell="H13" sqref="H13:J14"/>
    </sheetView>
  </sheetViews>
  <sheetFormatPr baseColWidth="8" defaultRowHeight="14.25"/>
  <cols>
    <col width="5.5546875" customWidth="1" style="113" min="1" max="1"/>
    <col width="5.77734375" customWidth="1" style="113" min="2" max="3"/>
    <col width="8.21875" customWidth="1" style="113" min="4" max="7"/>
    <col width="14.88671875" customWidth="1" style="113" min="8" max="8"/>
    <col width="37.44140625" customWidth="1" style="113" min="9" max="9"/>
    <col width="12.6640625" customWidth="1" style="113" min="10" max="10"/>
    <col width="25" customWidth="1" style="113" min="11" max="11"/>
    <col width="14.21875" customWidth="1" style="113" min="12" max="12"/>
    <col width="4.77734375" customWidth="1" style="113" min="13" max="13"/>
    <col width="5.77734375" customWidth="1" style="113" min="14" max="15"/>
    <col width="8.21875" customWidth="1" style="113" min="16" max="20"/>
    <col width="37.44140625" customWidth="1" style="113" min="21" max="21"/>
    <col width="12.6640625" customWidth="1" style="113" min="22" max="22"/>
    <col width="17.6640625" customWidth="1" style="113" min="23" max="23"/>
    <col width="12" customWidth="1" style="113" min="24" max="24"/>
    <col width="8.88671875" customWidth="1" style="113" min="25" max="268"/>
    <col width="4.77734375" customWidth="1" style="113" min="269" max="269"/>
    <col width="5.77734375" customWidth="1" style="113" min="270" max="271"/>
    <col width="8.21875" customWidth="1" style="113" min="272" max="276"/>
    <col width="37.44140625" customWidth="1" style="113" min="277" max="277"/>
    <col width="12.6640625" customWidth="1" style="113" min="278" max="278"/>
    <col width="17.6640625" customWidth="1" style="113" min="279" max="279"/>
    <col width="12" customWidth="1" style="113" min="280" max="280"/>
    <col width="8.88671875" customWidth="1" style="113" min="281" max="524"/>
    <col width="4.77734375" customWidth="1" style="113" min="525" max="525"/>
    <col width="5.77734375" customWidth="1" style="113" min="526" max="527"/>
    <col width="8.21875" customWidth="1" style="113" min="528" max="532"/>
    <col width="37.44140625" customWidth="1" style="113" min="533" max="533"/>
    <col width="12.6640625" customWidth="1" style="113" min="534" max="534"/>
    <col width="17.6640625" customWidth="1" style="113" min="535" max="535"/>
    <col width="12" customWidth="1" style="113" min="536" max="536"/>
    <col width="8.88671875" customWidth="1" style="113" min="537" max="780"/>
    <col width="4.77734375" customWidth="1" style="113" min="781" max="781"/>
    <col width="5.77734375" customWidth="1" style="113" min="782" max="783"/>
    <col width="8.21875" customWidth="1" style="113" min="784" max="788"/>
    <col width="37.44140625" customWidth="1" style="113" min="789" max="789"/>
    <col width="12.6640625" customWidth="1" style="113" min="790" max="790"/>
    <col width="17.6640625" customWidth="1" style="113" min="791" max="791"/>
    <col width="12" customWidth="1" style="113" min="792" max="792"/>
    <col width="8.88671875" customWidth="1" style="113" min="793" max="1036"/>
    <col width="4.77734375" customWidth="1" style="113" min="1037" max="1037"/>
    <col width="5.77734375" customWidth="1" style="113" min="1038" max="1039"/>
    <col width="8.21875" customWidth="1" style="113" min="1040" max="1044"/>
    <col width="37.44140625" customWidth="1" style="113" min="1045" max="1045"/>
    <col width="12.6640625" customWidth="1" style="113" min="1046" max="1046"/>
    <col width="17.6640625" customWidth="1" style="113" min="1047" max="1047"/>
    <col width="12" customWidth="1" style="113" min="1048" max="1048"/>
    <col width="8.88671875" customWidth="1" style="113" min="1049" max="1292"/>
    <col width="4.77734375" customWidth="1" style="113" min="1293" max="1293"/>
    <col width="5.77734375" customWidth="1" style="113" min="1294" max="1295"/>
    <col width="8.21875" customWidth="1" style="113" min="1296" max="1300"/>
    <col width="37.44140625" customWidth="1" style="113" min="1301" max="1301"/>
    <col width="12.6640625" customWidth="1" style="113" min="1302" max="1302"/>
    <col width="17.6640625" customWidth="1" style="113" min="1303" max="1303"/>
    <col width="12" customWidth="1" style="113" min="1304" max="1304"/>
    <col width="8.88671875" customWidth="1" style="113" min="1305" max="1548"/>
    <col width="4.77734375" customWidth="1" style="113" min="1549" max="1549"/>
    <col width="5.77734375" customWidth="1" style="113" min="1550" max="1551"/>
    <col width="8.21875" customWidth="1" style="113" min="1552" max="1556"/>
    <col width="37.44140625" customWidth="1" style="113" min="1557" max="1557"/>
    <col width="12.6640625" customWidth="1" style="113" min="1558" max="1558"/>
    <col width="17.6640625" customWidth="1" style="113" min="1559" max="1559"/>
    <col width="12" customWidth="1" style="113" min="1560" max="1560"/>
    <col width="8.88671875" customWidth="1" style="113" min="1561" max="1804"/>
    <col width="4.77734375" customWidth="1" style="113" min="1805" max="1805"/>
    <col width="5.77734375" customWidth="1" style="113" min="1806" max="1807"/>
    <col width="8.21875" customWidth="1" style="113" min="1808" max="1812"/>
    <col width="37.44140625" customWidth="1" style="113" min="1813" max="1813"/>
    <col width="12.6640625" customWidth="1" style="113" min="1814" max="1814"/>
    <col width="17.6640625" customWidth="1" style="113" min="1815" max="1815"/>
    <col width="12" customWidth="1" style="113" min="1816" max="1816"/>
    <col width="8.88671875" customWidth="1" style="113" min="1817" max="2060"/>
    <col width="4.77734375" customWidth="1" style="113" min="2061" max="2061"/>
    <col width="5.77734375" customWidth="1" style="113" min="2062" max="2063"/>
    <col width="8.21875" customWidth="1" style="113" min="2064" max="2068"/>
    <col width="37.44140625" customWidth="1" style="113" min="2069" max="2069"/>
    <col width="12.6640625" customWidth="1" style="113" min="2070" max="2070"/>
    <col width="17.6640625" customWidth="1" style="113" min="2071" max="2071"/>
    <col width="12" customWidth="1" style="113" min="2072" max="2072"/>
    <col width="8.88671875" customWidth="1" style="113" min="2073" max="2316"/>
    <col width="4.77734375" customWidth="1" style="113" min="2317" max="2317"/>
    <col width="5.77734375" customWidth="1" style="113" min="2318" max="2319"/>
    <col width="8.21875" customWidth="1" style="113" min="2320" max="2324"/>
    <col width="37.44140625" customWidth="1" style="113" min="2325" max="2325"/>
    <col width="12.6640625" customWidth="1" style="113" min="2326" max="2326"/>
    <col width="17.6640625" customWidth="1" style="113" min="2327" max="2327"/>
    <col width="12" customWidth="1" style="113" min="2328" max="2328"/>
    <col width="8.88671875" customWidth="1" style="113" min="2329" max="2572"/>
    <col width="4.77734375" customWidth="1" style="113" min="2573" max="2573"/>
    <col width="5.77734375" customWidth="1" style="113" min="2574" max="2575"/>
    <col width="8.21875" customWidth="1" style="113" min="2576" max="2580"/>
    <col width="37.44140625" customWidth="1" style="113" min="2581" max="2581"/>
    <col width="12.6640625" customWidth="1" style="113" min="2582" max="2582"/>
    <col width="17.6640625" customWidth="1" style="113" min="2583" max="2583"/>
    <col width="12" customWidth="1" style="113" min="2584" max="2584"/>
    <col width="8.88671875" customWidth="1" style="113" min="2585" max="2828"/>
    <col width="4.77734375" customWidth="1" style="113" min="2829" max="2829"/>
    <col width="5.77734375" customWidth="1" style="113" min="2830" max="2831"/>
    <col width="8.21875" customWidth="1" style="113" min="2832" max="2836"/>
    <col width="37.44140625" customWidth="1" style="113" min="2837" max="2837"/>
    <col width="12.6640625" customWidth="1" style="113" min="2838" max="2838"/>
    <col width="17.6640625" customWidth="1" style="113" min="2839" max="2839"/>
    <col width="12" customWidth="1" style="113" min="2840" max="2840"/>
    <col width="8.88671875" customWidth="1" style="113" min="2841" max="3084"/>
    <col width="4.77734375" customWidth="1" style="113" min="3085" max="3085"/>
    <col width="5.77734375" customWidth="1" style="113" min="3086" max="3087"/>
    <col width="8.21875" customWidth="1" style="113" min="3088" max="3092"/>
    <col width="37.44140625" customWidth="1" style="113" min="3093" max="3093"/>
    <col width="12.6640625" customWidth="1" style="113" min="3094" max="3094"/>
    <col width="17.6640625" customWidth="1" style="113" min="3095" max="3095"/>
    <col width="12" customWidth="1" style="113" min="3096" max="3096"/>
    <col width="8.88671875" customWidth="1" style="113" min="3097" max="3340"/>
    <col width="4.77734375" customWidth="1" style="113" min="3341" max="3341"/>
    <col width="5.77734375" customWidth="1" style="113" min="3342" max="3343"/>
    <col width="8.21875" customWidth="1" style="113" min="3344" max="3348"/>
    <col width="37.44140625" customWidth="1" style="113" min="3349" max="3349"/>
    <col width="12.6640625" customWidth="1" style="113" min="3350" max="3350"/>
    <col width="17.6640625" customWidth="1" style="113" min="3351" max="3351"/>
    <col width="12" customWidth="1" style="113" min="3352" max="3352"/>
    <col width="8.88671875" customWidth="1" style="113" min="3353" max="3596"/>
    <col width="4.77734375" customWidth="1" style="113" min="3597" max="3597"/>
    <col width="5.77734375" customWidth="1" style="113" min="3598" max="3599"/>
    <col width="8.21875" customWidth="1" style="113" min="3600" max="3604"/>
    <col width="37.44140625" customWidth="1" style="113" min="3605" max="3605"/>
    <col width="12.6640625" customWidth="1" style="113" min="3606" max="3606"/>
    <col width="17.6640625" customWidth="1" style="113" min="3607" max="3607"/>
    <col width="12" customWidth="1" style="113" min="3608" max="3608"/>
    <col width="8.88671875" customWidth="1" style="113" min="3609" max="3852"/>
    <col width="4.77734375" customWidth="1" style="113" min="3853" max="3853"/>
    <col width="5.77734375" customWidth="1" style="113" min="3854" max="3855"/>
    <col width="8.21875" customWidth="1" style="113" min="3856" max="3860"/>
    <col width="37.44140625" customWidth="1" style="113" min="3861" max="3861"/>
    <col width="12.6640625" customWidth="1" style="113" min="3862" max="3862"/>
    <col width="17.6640625" customWidth="1" style="113" min="3863" max="3863"/>
    <col width="12" customWidth="1" style="113" min="3864" max="3864"/>
    <col width="8.88671875" customWidth="1" style="113" min="3865" max="4108"/>
    <col width="4.77734375" customWidth="1" style="113" min="4109" max="4109"/>
    <col width="5.77734375" customWidth="1" style="113" min="4110" max="4111"/>
    <col width="8.21875" customWidth="1" style="113" min="4112" max="4116"/>
    <col width="37.44140625" customWidth="1" style="113" min="4117" max="4117"/>
    <col width="12.6640625" customWidth="1" style="113" min="4118" max="4118"/>
    <col width="17.6640625" customWidth="1" style="113" min="4119" max="4119"/>
    <col width="12" customWidth="1" style="113" min="4120" max="4120"/>
    <col width="8.88671875" customWidth="1" style="113" min="4121" max="4364"/>
    <col width="4.77734375" customWidth="1" style="113" min="4365" max="4365"/>
    <col width="5.77734375" customWidth="1" style="113" min="4366" max="4367"/>
    <col width="8.21875" customWidth="1" style="113" min="4368" max="4372"/>
    <col width="37.44140625" customWidth="1" style="113" min="4373" max="4373"/>
    <col width="12.6640625" customWidth="1" style="113" min="4374" max="4374"/>
    <col width="17.6640625" customWidth="1" style="113" min="4375" max="4375"/>
    <col width="12" customWidth="1" style="113" min="4376" max="4376"/>
    <col width="8.88671875" customWidth="1" style="113" min="4377" max="4620"/>
    <col width="4.77734375" customWidth="1" style="113" min="4621" max="4621"/>
    <col width="5.77734375" customWidth="1" style="113" min="4622" max="4623"/>
    <col width="8.21875" customWidth="1" style="113" min="4624" max="4628"/>
    <col width="37.44140625" customWidth="1" style="113" min="4629" max="4629"/>
    <col width="12.6640625" customWidth="1" style="113" min="4630" max="4630"/>
    <col width="17.6640625" customWidth="1" style="113" min="4631" max="4631"/>
    <col width="12" customWidth="1" style="113" min="4632" max="4632"/>
    <col width="8.88671875" customWidth="1" style="113" min="4633" max="4876"/>
    <col width="4.77734375" customWidth="1" style="113" min="4877" max="4877"/>
    <col width="5.77734375" customWidth="1" style="113" min="4878" max="4879"/>
    <col width="8.21875" customWidth="1" style="113" min="4880" max="4884"/>
    <col width="37.44140625" customWidth="1" style="113" min="4885" max="4885"/>
    <col width="12.6640625" customWidth="1" style="113" min="4886" max="4886"/>
    <col width="17.6640625" customWidth="1" style="113" min="4887" max="4887"/>
    <col width="12" customWidth="1" style="113" min="4888" max="4888"/>
    <col width="8.88671875" customWidth="1" style="113" min="4889" max="5132"/>
    <col width="4.77734375" customWidth="1" style="113" min="5133" max="5133"/>
    <col width="5.77734375" customWidth="1" style="113" min="5134" max="5135"/>
    <col width="8.21875" customWidth="1" style="113" min="5136" max="5140"/>
    <col width="37.44140625" customWidth="1" style="113" min="5141" max="5141"/>
    <col width="12.6640625" customWidth="1" style="113" min="5142" max="5142"/>
    <col width="17.6640625" customWidth="1" style="113" min="5143" max="5143"/>
    <col width="12" customWidth="1" style="113" min="5144" max="5144"/>
    <col width="8.88671875" customWidth="1" style="113" min="5145" max="5388"/>
    <col width="4.77734375" customWidth="1" style="113" min="5389" max="5389"/>
    <col width="5.77734375" customWidth="1" style="113" min="5390" max="5391"/>
    <col width="8.21875" customWidth="1" style="113" min="5392" max="5396"/>
    <col width="37.44140625" customWidth="1" style="113" min="5397" max="5397"/>
    <col width="12.6640625" customWidth="1" style="113" min="5398" max="5398"/>
    <col width="17.6640625" customWidth="1" style="113" min="5399" max="5399"/>
    <col width="12" customWidth="1" style="113" min="5400" max="5400"/>
    <col width="8.88671875" customWidth="1" style="113" min="5401" max="5644"/>
    <col width="4.77734375" customWidth="1" style="113" min="5645" max="5645"/>
    <col width="5.77734375" customWidth="1" style="113" min="5646" max="5647"/>
    <col width="8.21875" customWidth="1" style="113" min="5648" max="5652"/>
    <col width="37.44140625" customWidth="1" style="113" min="5653" max="5653"/>
    <col width="12.6640625" customWidth="1" style="113" min="5654" max="5654"/>
    <col width="17.6640625" customWidth="1" style="113" min="5655" max="5655"/>
    <col width="12" customWidth="1" style="113" min="5656" max="5656"/>
    <col width="8.88671875" customWidth="1" style="113" min="5657" max="5900"/>
    <col width="4.77734375" customWidth="1" style="113" min="5901" max="5901"/>
    <col width="5.77734375" customWidth="1" style="113" min="5902" max="5903"/>
    <col width="8.21875" customWidth="1" style="113" min="5904" max="5908"/>
    <col width="37.44140625" customWidth="1" style="113" min="5909" max="5909"/>
    <col width="12.6640625" customWidth="1" style="113" min="5910" max="5910"/>
    <col width="17.6640625" customWidth="1" style="113" min="5911" max="5911"/>
    <col width="12" customWidth="1" style="113" min="5912" max="5912"/>
    <col width="8.88671875" customWidth="1" style="113" min="5913" max="6156"/>
    <col width="4.77734375" customWidth="1" style="113" min="6157" max="6157"/>
    <col width="5.77734375" customWidth="1" style="113" min="6158" max="6159"/>
    <col width="8.21875" customWidth="1" style="113" min="6160" max="6164"/>
    <col width="37.44140625" customWidth="1" style="113" min="6165" max="6165"/>
    <col width="12.6640625" customWidth="1" style="113" min="6166" max="6166"/>
    <col width="17.6640625" customWidth="1" style="113" min="6167" max="6167"/>
    <col width="12" customWidth="1" style="113" min="6168" max="6168"/>
    <col width="8.88671875" customWidth="1" style="113" min="6169" max="6412"/>
    <col width="4.77734375" customWidth="1" style="113" min="6413" max="6413"/>
    <col width="5.77734375" customWidth="1" style="113" min="6414" max="6415"/>
    <col width="8.21875" customWidth="1" style="113" min="6416" max="6420"/>
    <col width="37.44140625" customWidth="1" style="113" min="6421" max="6421"/>
    <col width="12.6640625" customWidth="1" style="113" min="6422" max="6422"/>
    <col width="17.6640625" customWidth="1" style="113" min="6423" max="6423"/>
    <col width="12" customWidth="1" style="113" min="6424" max="6424"/>
    <col width="8.88671875" customWidth="1" style="113" min="6425" max="6668"/>
    <col width="4.77734375" customWidth="1" style="113" min="6669" max="6669"/>
    <col width="5.77734375" customWidth="1" style="113" min="6670" max="6671"/>
    <col width="8.21875" customWidth="1" style="113" min="6672" max="6676"/>
    <col width="37.44140625" customWidth="1" style="113" min="6677" max="6677"/>
    <col width="12.6640625" customWidth="1" style="113" min="6678" max="6678"/>
    <col width="17.6640625" customWidth="1" style="113" min="6679" max="6679"/>
    <col width="12" customWidth="1" style="113" min="6680" max="6680"/>
    <col width="8.88671875" customWidth="1" style="113" min="6681" max="6924"/>
    <col width="4.77734375" customWidth="1" style="113" min="6925" max="6925"/>
    <col width="5.77734375" customWidth="1" style="113" min="6926" max="6927"/>
    <col width="8.21875" customWidth="1" style="113" min="6928" max="6932"/>
    <col width="37.44140625" customWidth="1" style="113" min="6933" max="6933"/>
    <col width="12.6640625" customWidth="1" style="113" min="6934" max="6934"/>
    <col width="17.6640625" customWidth="1" style="113" min="6935" max="6935"/>
    <col width="12" customWidth="1" style="113" min="6936" max="6936"/>
    <col width="8.88671875" customWidth="1" style="113" min="6937" max="7180"/>
    <col width="4.77734375" customWidth="1" style="113" min="7181" max="7181"/>
    <col width="5.77734375" customWidth="1" style="113" min="7182" max="7183"/>
    <col width="8.21875" customWidth="1" style="113" min="7184" max="7188"/>
    <col width="37.44140625" customWidth="1" style="113" min="7189" max="7189"/>
    <col width="12.6640625" customWidth="1" style="113" min="7190" max="7190"/>
    <col width="17.6640625" customWidth="1" style="113" min="7191" max="7191"/>
    <col width="12" customWidth="1" style="113" min="7192" max="7192"/>
    <col width="8.88671875" customWidth="1" style="113" min="7193" max="7436"/>
    <col width="4.77734375" customWidth="1" style="113" min="7437" max="7437"/>
    <col width="5.77734375" customWidth="1" style="113" min="7438" max="7439"/>
    <col width="8.21875" customWidth="1" style="113" min="7440" max="7444"/>
    <col width="37.44140625" customWidth="1" style="113" min="7445" max="7445"/>
    <col width="12.6640625" customWidth="1" style="113" min="7446" max="7446"/>
    <col width="17.6640625" customWidth="1" style="113" min="7447" max="7447"/>
    <col width="12" customWidth="1" style="113" min="7448" max="7448"/>
    <col width="8.88671875" customWidth="1" style="113" min="7449" max="7692"/>
    <col width="4.77734375" customWidth="1" style="113" min="7693" max="7693"/>
    <col width="5.77734375" customWidth="1" style="113" min="7694" max="7695"/>
    <col width="8.21875" customWidth="1" style="113" min="7696" max="7700"/>
    <col width="37.44140625" customWidth="1" style="113" min="7701" max="7701"/>
    <col width="12.6640625" customWidth="1" style="113" min="7702" max="7702"/>
    <col width="17.6640625" customWidth="1" style="113" min="7703" max="7703"/>
    <col width="12" customWidth="1" style="113" min="7704" max="7704"/>
    <col width="8.88671875" customWidth="1" style="113" min="7705" max="7948"/>
    <col width="4.77734375" customWidth="1" style="113" min="7949" max="7949"/>
    <col width="5.77734375" customWidth="1" style="113" min="7950" max="7951"/>
    <col width="8.21875" customWidth="1" style="113" min="7952" max="7956"/>
    <col width="37.44140625" customWidth="1" style="113" min="7957" max="7957"/>
    <col width="12.6640625" customWidth="1" style="113" min="7958" max="7958"/>
    <col width="17.6640625" customWidth="1" style="113" min="7959" max="7959"/>
    <col width="12" customWidth="1" style="113" min="7960" max="7960"/>
    <col width="8.88671875" customWidth="1" style="113" min="7961" max="8204"/>
    <col width="4.77734375" customWidth="1" style="113" min="8205" max="8205"/>
    <col width="5.77734375" customWidth="1" style="113" min="8206" max="8207"/>
    <col width="8.21875" customWidth="1" style="113" min="8208" max="8212"/>
    <col width="37.44140625" customWidth="1" style="113" min="8213" max="8213"/>
    <col width="12.6640625" customWidth="1" style="113" min="8214" max="8214"/>
    <col width="17.6640625" customWidth="1" style="113" min="8215" max="8215"/>
    <col width="12" customWidth="1" style="113" min="8216" max="8216"/>
    <col width="8.88671875" customWidth="1" style="113" min="8217" max="8460"/>
    <col width="4.77734375" customWidth="1" style="113" min="8461" max="8461"/>
    <col width="5.77734375" customWidth="1" style="113" min="8462" max="8463"/>
    <col width="8.21875" customWidth="1" style="113" min="8464" max="8468"/>
    <col width="37.44140625" customWidth="1" style="113" min="8469" max="8469"/>
    <col width="12.6640625" customWidth="1" style="113" min="8470" max="8470"/>
    <col width="17.6640625" customWidth="1" style="113" min="8471" max="8471"/>
    <col width="12" customWidth="1" style="113" min="8472" max="8472"/>
    <col width="8.88671875" customWidth="1" style="113" min="8473" max="8716"/>
    <col width="4.77734375" customWidth="1" style="113" min="8717" max="8717"/>
    <col width="5.77734375" customWidth="1" style="113" min="8718" max="8719"/>
    <col width="8.21875" customWidth="1" style="113" min="8720" max="8724"/>
    <col width="37.44140625" customWidth="1" style="113" min="8725" max="8725"/>
    <col width="12.6640625" customWidth="1" style="113" min="8726" max="8726"/>
    <col width="17.6640625" customWidth="1" style="113" min="8727" max="8727"/>
    <col width="12" customWidth="1" style="113" min="8728" max="8728"/>
    <col width="8.88671875" customWidth="1" style="113" min="8729" max="8972"/>
    <col width="4.77734375" customWidth="1" style="113" min="8973" max="8973"/>
    <col width="5.77734375" customWidth="1" style="113" min="8974" max="8975"/>
    <col width="8.21875" customWidth="1" style="113" min="8976" max="8980"/>
    <col width="37.44140625" customWidth="1" style="113" min="8981" max="8981"/>
    <col width="12.6640625" customWidth="1" style="113" min="8982" max="8982"/>
    <col width="17.6640625" customWidth="1" style="113" min="8983" max="8983"/>
    <col width="12" customWidth="1" style="113" min="8984" max="8984"/>
    <col width="8.88671875" customWidth="1" style="113" min="8985" max="9228"/>
    <col width="4.77734375" customWidth="1" style="113" min="9229" max="9229"/>
    <col width="5.77734375" customWidth="1" style="113" min="9230" max="9231"/>
    <col width="8.21875" customWidth="1" style="113" min="9232" max="9236"/>
    <col width="37.44140625" customWidth="1" style="113" min="9237" max="9237"/>
    <col width="12.6640625" customWidth="1" style="113" min="9238" max="9238"/>
    <col width="17.6640625" customWidth="1" style="113" min="9239" max="9239"/>
    <col width="12" customWidth="1" style="113" min="9240" max="9240"/>
    <col width="8.88671875" customWidth="1" style="113" min="9241" max="9484"/>
    <col width="4.77734375" customWidth="1" style="113" min="9485" max="9485"/>
    <col width="5.77734375" customWidth="1" style="113" min="9486" max="9487"/>
    <col width="8.21875" customWidth="1" style="113" min="9488" max="9492"/>
    <col width="37.44140625" customWidth="1" style="113" min="9493" max="9493"/>
    <col width="12.6640625" customWidth="1" style="113" min="9494" max="9494"/>
    <col width="17.6640625" customWidth="1" style="113" min="9495" max="9495"/>
    <col width="12" customWidth="1" style="113" min="9496" max="9496"/>
    <col width="8.88671875" customWidth="1" style="113" min="9497" max="9740"/>
    <col width="4.77734375" customWidth="1" style="113" min="9741" max="9741"/>
    <col width="5.77734375" customWidth="1" style="113" min="9742" max="9743"/>
    <col width="8.21875" customWidth="1" style="113" min="9744" max="9748"/>
    <col width="37.44140625" customWidth="1" style="113" min="9749" max="9749"/>
    <col width="12.6640625" customWidth="1" style="113" min="9750" max="9750"/>
    <col width="17.6640625" customWidth="1" style="113" min="9751" max="9751"/>
    <col width="12" customWidth="1" style="113" min="9752" max="9752"/>
    <col width="8.88671875" customWidth="1" style="113" min="9753" max="9996"/>
    <col width="4.77734375" customWidth="1" style="113" min="9997" max="9997"/>
    <col width="5.77734375" customWidth="1" style="113" min="9998" max="9999"/>
    <col width="8.21875" customWidth="1" style="113" min="10000" max="10004"/>
    <col width="37.44140625" customWidth="1" style="113" min="10005" max="10005"/>
    <col width="12.6640625" customWidth="1" style="113" min="10006" max="10006"/>
    <col width="17.6640625" customWidth="1" style="113" min="10007" max="10007"/>
    <col width="12" customWidth="1" style="113" min="10008" max="10008"/>
    <col width="8.88671875" customWidth="1" style="113" min="10009" max="10252"/>
    <col width="4.77734375" customWidth="1" style="113" min="10253" max="10253"/>
    <col width="5.77734375" customWidth="1" style="113" min="10254" max="10255"/>
    <col width="8.21875" customWidth="1" style="113" min="10256" max="10260"/>
    <col width="37.44140625" customWidth="1" style="113" min="10261" max="10261"/>
    <col width="12.6640625" customWidth="1" style="113" min="10262" max="10262"/>
    <col width="17.6640625" customWidth="1" style="113" min="10263" max="10263"/>
    <col width="12" customWidth="1" style="113" min="10264" max="10264"/>
    <col width="8.88671875" customWidth="1" style="113" min="10265" max="10508"/>
    <col width="4.77734375" customWidth="1" style="113" min="10509" max="10509"/>
    <col width="5.77734375" customWidth="1" style="113" min="10510" max="10511"/>
    <col width="8.21875" customWidth="1" style="113" min="10512" max="10516"/>
    <col width="37.44140625" customWidth="1" style="113" min="10517" max="10517"/>
    <col width="12.6640625" customWidth="1" style="113" min="10518" max="10518"/>
    <col width="17.6640625" customWidth="1" style="113" min="10519" max="10519"/>
    <col width="12" customWidth="1" style="113" min="10520" max="10520"/>
    <col width="8.88671875" customWidth="1" style="113" min="10521" max="10764"/>
    <col width="4.77734375" customWidth="1" style="113" min="10765" max="10765"/>
    <col width="5.77734375" customWidth="1" style="113" min="10766" max="10767"/>
    <col width="8.21875" customWidth="1" style="113" min="10768" max="10772"/>
    <col width="37.44140625" customWidth="1" style="113" min="10773" max="10773"/>
    <col width="12.6640625" customWidth="1" style="113" min="10774" max="10774"/>
    <col width="17.6640625" customWidth="1" style="113" min="10775" max="10775"/>
    <col width="12" customWidth="1" style="113" min="10776" max="10776"/>
    <col width="8.88671875" customWidth="1" style="113" min="10777" max="11020"/>
    <col width="4.77734375" customWidth="1" style="113" min="11021" max="11021"/>
    <col width="5.77734375" customWidth="1" style="113" min="11022" max="11023"/>
    <col width="8.21875" customWidth="1" style="113" min="11024" max="11028"/>
    <col width="37.44140625" customWidth="1" style="113" min="11029" max="11029"/>
    <col width="12.6640625" customWidth="1" style="113" min="11030" max="11030"/>
    <col width="17.6640625" customWidth="1" style="113" min="11031" max="11031"/>
    <col width="12" customWidth="1" style="113" min="11032" max="11032"/>
    <col width="8.88671875" customWidth="1" style="113" min="11033" max="11276"/>
    <col width="4.77734375" customWidth="1" style="113" min="11277" max="11277"/>
    <col width="5.77734375" customWidth="1" style="113" min="11278" max="11279"/>
    <col width="8.21875" customWidth="1" style="113" min="11280" max="11284"/>
    <col width="37.44140625" customWidth="1" style="113" min="11285" max="11285"/>
    <col width="12.6640625" customWidth="1" style="113" min="11286" max="11286"/>
    <col width="17.6640625" customWidth="1" style="113" min="11287" max="11287"/>
    <col width="12" customWidth="1" style="113" min="11288" max="11288"/>
    <col width="8.88671875" customWidth="1" style="113" min="11289" max="11532"/>
    <col width="4.77734375" customWidth="1" style="113" min="11533" max="11533"/>
    <col width="5.77734375" customWidth="1" style="113" min="11534" max="11535"/>
    <col width="8.21875" customWidth="1" style="113" min="11536" max="11540"/>
    <col width="37.44140625" customWidth="1" style="113" min="11541" max="11541"/>
    <col width="12.6640625" customWidth="1" style="113" min="11542" max="11542"/>
    <col width="17.6640625" customWidth="1" style="113" min="11543" max="11543"/>
    <col width="12" customWidth="1" style="113" min="11544" max="11544"/>
    <col width="8.88671875" customWidth="1" style="113" min="11545" max="11788"/>
    <col width="4.77734375" customWidth="1" style="113" min="11789" max="11789"/>
    <col width="5.77734375" customWidth="1" style="113" min="11790" max="11791"/>
    <col width="8.21875" customWidth="1" style="113" min="11792" max="11796"/>
    <col width="37.44140625" customWidth="1" style="113" min="11797" max="11797"/>
    <col width="12.6640625" customWidth="1" style="113" min="11798" max="11798"/>
    <col width="17.6640625" customWidth="1" style="113" min="11799" max="11799"/>
    <col width="12" customWidth="1" style="113" min="11800" max="11800"/>
    <col width="8.88671875" customWidth="1" style="113" min="11801" max="12044"/>
    <col width="4.77734375" customWidth="1" style="113" min="12045" max="12045"/>
    <col width="5.77734375" customWidth="1" style="113" min="12046" max="12047"/>
    <col width="8.21875" customWidth="1" style="113" min="12048" max="12052"/>
    <col width="37.44140625" customWidth="1" style="113" min="12053" max="12053"/>
    <col width="12.6640625" customWidth="1" style="113" min="12054" max="12054"/>
    <col width="17.6640625" customWidth="1" style="113" min="12055" max="12055"/>
    <col width="12" customWidth="1" style="113" min="12056" max="12056"/>
    <col width="8.88671875" customWidth="1" style="113" min="12057" max="12300"/>
    <col width="4.77734375" customWidth="1" style="113" min="12301" max="12301"/>
    <col width="5.77734375" customWidth="1" style="113" min="12302" max="12303"/>
    <col width="8.21875" customWidth="1" style="113" min="12304" max="12308"/>
    <col width="37.44140625" customWidth="1" style="113" min="12309" max="12309"/>
    <col width="12.6640625" customWidth="1" style="113" min="12310" max="12310"/>
    <col width="17.6640625" customWidth="1" style="113" min="12311" max="12311"/>
    <col width="12" customWidth="1" style="113" min="12312" max="12312"/>
    <col width="8.88671875" customWidth="1" style="113" min="12313" max="12556"/>
    <col width="4.77734375" customWidth="1" style="113" min="12557" max="12557"/>
    <col width="5.77734375" customWidth="1" style="113" min="12558" max="12559"/>
    <col width="8.21875" customWidth="1" style="113" min="12560" max="12564"/>
    <col width="37.44140625" customWidth="1" style="113" min="12565" max="12565"/>
    <col width="12.6640625" customWidth="1" style="113" min="12566" max="12566"/>
    <col width="17.6640625" customWidth="1" style="113" min="12567" max="12567"/>
    <col width="12" customWidth="1" style="113" min="12568" max="12568"/>
    <col width="8.88671875" customWidth="1" style="113" min="12569" max="12812"/>
    <col width="4.77734375" customWidth="1" style="113" min="12813" max="12813"/>
    <col width="5.77734375" customWidth="1" style="113" min="12814" max="12815"/>
    <col width="8.21875" customWidth="1" style="113" min="12816" max="12820"/>
    <col width="37.44140625" customWidth="1" style="113" min="12821" max="12821"/>
    <col width="12.6640625" customWidth="1" style="113" min="12822" max="12822"/>
    <col width="17.6640625" customWidth="1" style="113" min="12823" max="12823"/>
    <col width="12" customWidth="1" style="113" min="12824" max="12824"/>
    <col width="8.88671875" customWidth="1" style="113" min="12825" max="13068"/>
    <col width="4.77734375" customWidth="1" style="113" min="13069" max="13069"/>
    <col width="5.77734375" customWidth="1" style="113" min="13070" max="13071"/>
    <col width="8.21875" customWidth="1" style="113" min="13072" max="13076"/>
    <col width="37.44140625" customWidth="1" style="113" min="13077" max="13077"/>
    <col width="12.6640625" customWidth="1" style="113" min="13078" max="13078"/>
    <col width="17.6640625" customWidth="1" style="113" min="13079" max="13079"/>
    <col width="12" customWidth="1" style="113" min="13080" max="13080"/>
    <col width="8.88671875" customWidth="1" style="113" min="13081" max="13324"/>
    <col width="4.77734375" customWidth="1" style="113" min="13325" max="13325"/>
    <col width="5.77734375" customWidth="1" style="113" min="13326" max="13327"/>
    <col width="8.21875" customWidth="1" style="113" min="13328" max="13332"/>
    <col width="37.44140625" customWidth="1" style="113" min="13333" max="13333"/>
    <col width="12.6640625" customWidth="1" style="113" min="13334" max="13334"/>
    <col width="17.6640625" customWidth="1" style="113" min="13335" max="13335"/>
    <col width="12" customWidth="1" style="113" min="13336" max="13336"/>
    <col width="8.88671875" customWidth="1" style="113" min="13337" max="13580"/>
    <col width="4.77734375" customWidth="1" style="113" min="13581" max="13581"/>
    <col width="5.77734375" customWidth="1" style="113" min="13582" max="13583"/>
    <col width="8.21875" customWidth="1" style="113" min="13584" max="13588"/>
    <col width="37.44140625" customWidth="1" style="113" min="13589" max="13589"/>
    <col width="12.6640625" customWidth="1" style="113" min="13590" max="13590"/>
    <col width="17.6640625" customWidth="1" style="113" min="13591" max="13591"/>
    <col width="12" customWidth="1" style="113" min="13592" max="13592"/>
    <col width="8.88671875" customWidth="1" style="113" min="13593" max="13836"/>
    <col width="4.77734375" customWidth="1" style="113" min="13837" max="13837"/>
    <col width="5.77734375" customWidth="1" style="113" min="13838" max="13839"/>
    <col width="8.21875" customWidth="1" style="113" min="13840" max="13844"/>
    <col width="37.44140625" customWidth="1" style="113" min="13845" max="13845"/>
    <col width="12.6640625" customWidth="1" style="113" min="13846" max="13846"/>
    <col width="17.6640625" customWidth="1" style="113" min="13847" max="13847"/>
    <col width="12" customWidth="1" style="113" min="13848" max="13848"/>
    <col width="8.88671875" customWidth="1" style="113" min="13849" max="14092"/>
    <col width="4.77734375" customWidth="1" style="113" min="14093" max="14093"/>
    <col width="5.77734375" customWidth="1" style="113" min="14094" max="14095"/>
    <col width="8.21875" customWidth="1" style="113" min="14096" max="14100"/>
    <col width="37.44140625" customWidth="1" style="113" min="14101" max="14101"/>
    <col width="12.6640625" customWidth="1" style="113" min="14102" max="14102"/>
    <col width="17.6640625" customWidth="1" style="113" min="14103" max="14103"/>
    <col width="12" customWidth="1" style="113" min="14104" max="14104"/>
    <col width="8.88671875" customWidth="1" style="113" min="14105" max="14348"/>
    <col width="4.77734375" customWidth="1" style="113" min="14349" max="14349"/>
    <col width="5.77734375" customWidth="1" style="113" min="14350" max="14351"/>
    <col width="8.21875" customWidth="1" style="113" min="14352" max="14356"/>
    <col width="37.44140625" customWidth="1" style="113" min="14357" max="14357"/>
    <col width="12.6640625" customWidth="1" style="113" min="14358" max="14358"/>
    <col width="17.6640625" customWidth="1" style="113" min="14359" max="14359"/>
    <col width="12" customWidth="1" style="113" min="14360" max="14360"/>
    <col width="8.88671875" customWidth="1" style="113" min="14361" max="14604"/>
    <col width="4.77734375" customWidth="1" style="113" min="14605" max="14605"/>
    <col width="5.77734375" customWidth="1" style="113" min="14606" max="14607"/>
    <col width="8.21875" customWidth="1" style="113" min="14608" max="14612"/>
    <col width="37.44140625" customWidth="1" style="113" min="14613" max="14613"/>
    <col width="12.6640625" customWidth="1" style="113" min="14614" max="14614"/>
    <col width="17.6640625" customWidth="1" style="113" min="14615" max="14615"/>
    <col width="12" customWidth="1" style="113" min="14616" max="14616"/>
    <col width="8.88671875" customWidth="1" style="113" min="14617" max="14860"/>
    <col width="4.77734375" customWidth="1" style="113" min="14861" max="14861"/>
    <col width="5.77734375" customWidth="1" style="113" min="14862" max="14863"/>
    <col width="8.21875" customWidth="1" style="113" min="14864" max="14868"/>
    <col width="37.44140625" customWidth="1" style="113" min="14869" max="14869"/>
    <col width="12.6640625" customWidth="1" style="113" min="14870" max="14870"/>
    <col width="17.6640625" customWidth="1" style="113" min="14871" max="14871"/>
    <col width="12" customWidth="1" style="113" min="14872" max="14872"/>
    <col width="8.88671875" customWidth="1" style="113" min="14873" max="15116"/>
    <col width="4.77734375" customWidth="1" style="113" min="15117" max="15117"/>
    <col width="5.77734375" customWidth="1" style="113" min="15118" max="15119"/>
    <col width="8.21875" customWidth="1" style="113" min="15120" max="15124"/>
    <col width="37.44140625" customWidth="1" style="113" min="15125" max="15125"/>
    <col width="12.6640625" customWidth="1" style="113" min="15126" max="15126"/>
    <col width="17.6640625" customWidth="1" style="113" min="15127" max="15127"/>
    <col width="12" customWidth="1" style="113" min="15128" max="15128"/>
    <col width="8.88671875" customWidth="1" style="113" min="15129" max="15372"/>
    <col width="4.77734375" customWidth="1" style="113" min="15373" max="15373"/>
    <col width="5.77734375" customWidth="1" style="113" min="15374" max="15375"/>
    <col width="8.21875" customWidth="1" style="113" min="15376" max="15380"/>
    <col width="37.44140625" customWidth="1" style="113" min="15381" max="15381"/>
    <col width="12.6640625" customWidth="1" style="113" min="15382" max="15382"/>
    <col width="17.6640625" customWidth="1" style="113" min="15383" max="15383"/>
    <col width="12" customWidth="1" style="113" min="15384" max="15384"/>
    <col width="8.88671875" customWidth="1" style="113" min="15385" max="15628"/>
    <col width="4.77734375" customWidth="1" style="113" min="15629" max="15629"/>
    <col width="5.77734375" customWidth="1" style="113" min="15630" max="15631"/>
    <col width="8.21875" customWidth="1" style="113" min="15632" max="15636"/>
    <col width="37.44140625" customWidth="1" style="113" min="15637" max="15637"/>
    <col width="12.6640625" customWidth="1" style="113" min="15638" max="15638"/>
    <col width="17.6640625" customWidth="1" style="113" min="15639" max="15639"/>
    <col width="12" customWidth="1" style="113" min="15640" max="15640"/>
    <col width="8.88671875" customWidth="1" style="113" min="15641" max="15884"/>
    <col width="4.77734375" customWidth="1" style="113" min="15885" max="15885"/>
    <col width="5.77734375" customWidth="1" style="113" min="15886" max="15887"/>
    <col width="8.21875" customWidth="1" style="113" min="15888" max="15892"/>
    <col width="37.44140625" customWidth="1" style="113" min="15893" max="15893"/>
    <col width="12.6640625" customWidth="1" style="113" min="15894" max="15894"/>
    <col width="17.6640625" customWidth="1" style="113" min="15895" max="15895"/>
    <col width="12" customWidth="1" style="113" min="15896" max="15896"/>
    <col width="8.88671875" customWidth="1" style="113" min="15897" max="16384"/>
  </cols>
  <sheetData>
    <row r="1" ht="38.25" customHeight="1" thickTop="1">
      <c r="A1" s="484" t="n"/>
      <c r="B1" s="648" t="n"/>
      <c r="C1" s="648" t="n"/>
      <c r="D1" s="649" t="n"/>
      <c r="E1" s="488" t="inlineStr">
        <is>
          <t>절차 SẢN XUẤT THỬ NGHIỆM
(TRIAL PRODUCTION PROCEDURE)</t>
        </is>
      </c>
      <c r="F1" s="648" t="n"/>
      <c r="G1" s="648" t="n"/>
      <c r="H1" s="648" t="n"/>
      <c r="I1" s="649" t="n"/>
      <c r="J1" s="110" t="inlineStr">
        <is>
          <t>부서장
(그룹)</t>
        </is>
      </c>
      <c r="K1" s="111" t="inlineStr">
        <is>
          <t>팀 연구개발
(연구개발)</t>
        </is>
      </c>
      <c r="L1" s="112" t="inlineStr">
        <is>
          <t>Trang
(Page)</t>
        </is>
      </c>
    </row>
    <row r="2" ht="34.5" customHeight="1">
      <c r="A2" s="698" t="n"/>
      <c r="B2" s="629" t="n"/>
      <c r="C2" s="629" t="n"/>
      <c r="D2" s="630" t="n"/>
      <c r="E2" s="631" t="n"/>
      <c r="F2" s="629" t="n"/>
      <c r="G2" s="629" t="n"/>
      <c r="H2" s="629" t="n"/>
      <c r="I2" s="630" t="n"/>
      <c r="J2" s="114" t="inlineStr">
        <is>
          <t>문서 코드
(Doc Code)</t>
        </is>
      </c>
      <c r="K2" s="124" t="inlineStr">
        <is>
          <t>R&amp;D.02.02.06</t>
        </is>
      </c>
      <c r="L2" s="115" t="inlineStr">
        <is>
          <t>4/4</t>
        </is>
      </c>
    </row>
    <row r="3" ht="35.25" customHeight="1">
      <c r="A3" s="491" t="inlineStr">
        <is>
          <t>기록목록(품질/환경/보건안전)
기록목록(품질/환경/안전보건)</t>
        </is>
      </c>
      <c r="B3" s="654" t="n"/>
      <c r="C3" s="654" t="n"/>
      <c r="D3" s="654" t="n"/>
      <c r="E3" s="654" t="n"/>
      <c r="F3" s="654" t="n"/>
      <c r="G3" s="654" t="n"/>
      <c r="H3" s="654" t="n"/>
      <c r="I3" s="654" t="n"/>
      <c r="J3" s="654" t="n"/>
      <c r="K3" s="654" t="n"/>
      <c r="L3" s="624" t="n"/>
    </row>
    <row r="4" ht="21" customHeight="1">
      <c r="A4" s="486" t="inlineStr">
        <is>
          <t>No</t>
        </is>
      </c>
      <c r="B4" s="510" t="inlineStr">
        <is>
          <t>Document</t>
        </is>
      </c>
      <c r="C4" s="633" t="n"/>
      <c r="D4" s="633" t="n"/>
      <c r="E4" s="633" t="n"/>
      <c r="F4" s="634" t="n"/>
      <c r="G4" s="510" t="inlineStr">
        <is>
          <t>Code</t>
        </is>
      </c>
      <c r="H4" s="634" t="n"/>
      <c r="I4" s="510" t="inlineStr">
        <is>
          <t>Management</t>
        </is>
      </c>
      <c r="J4" s="510" t="inlineStr">
        <is>
          <t>Record duration</t>
        </is>
      </c>
      <c r="K4" s="624" t="n"/>
      <c r="L4" s="699" t="inlineStr">
        <is>
          <t>Method of removal</t>
        </is>
      </c>
    </row>
    <row r="5" ht="27" customHeight="1">
      <c r="A5" s="486" t="n"/>
      <c r="B5" s="631" t="n"/>
      <c r="C5" s="629" t="n"/>
      <c r="D5" s="629" t="n"/>
      <c r="E5" s="629" t="n"/>
      <c r="F5" s="630" t="n"/>
      <c r="G5" s="631" t="n"/>
      <c r="H5" s="630" t="n"/>
      <c r="I5" s="700" t="n"/>
      <c r="J5" s="277" t="inlineStr">
        <is>
          <t>Existing records</t>
        </is>
      </c>
      <c r="K5" s="278" t="inlineStr">
        <is>
          <t>New issuance</t>
        </is>
      </c>
      <c r="L5" s="701" t="n"/>
    </row>
    <row r="6" ht="33.75" customHeight="1">
      <c r="A6" s="486" t="n">
        <v>1</v>
      </c>
      <c r="B6" s="702" t="inlineStr">
        <is>
          <t>Plan and development status</t>
        </is>
      </c>
      <c r="C6" s="654" t="n"/>
      <c r="D6" s="654" t="n"/>
      <c r="E6" s="654" t="n"/>
      <c r="F6" s="624" t="n"/>
      <c r="G6" s="702" t="inlineStr">
        <is>
          <t>R&amp;D.04.00.11</t>
        </is>
      </c>
      <c r="H6" s="624" t="n"/>
      <c r="I6" s="150" t="inlineStr">
        <is>
          <t>R&amp;D Department</t>
        </is>
      </c>
      <c r="J6" s="151" t="n"/>
      <c r="K6" s="152" t="inlineStr">
        <is>
          <t>Out-of-date documents</t>
        </is>
      </c>
      <c r="L6" s="282" t="inlineStr">
        <is>
          <t>Chopped, shredded</t>
        </is>
      </c>
    </row>
    <row r="7" ht="33.75" customHeight="1">
      <c r="A7" s="486" t="n">
        <v>2</v>
      </c>
      <c r="B7" s="702" t="inlineStr">
        <is>
          <t>CPK Check Sheet</t>
        </is>
      </c>
      <c r="C7" s="654" t="n"/>
      <c r="D7" s="654" t="n"/>
      <c r="E7" s="654" t="n"/>
      <c r="F7" s="624" t="n"/>
      <c r="G7" s="702" t="inlineStr">
        <is>
          <t>R&amp;D.04.00.03</t>
        </is>
      </c>
      <c r="H7" s="624" t="n"/>
      <c r="I7" s="150" t="inlineStr">
        <is>
          <t>R&amp;D Department</t>
        </is>
      </c>
      <c r="J7" s="151" t="n"/>
      <c r="K7" s="152" t="inlineStr">
        <is>
          <t>Out-of-date documents</t>
        </is>
      </c>
      <c r="L7" s="282" t="inlineStr">
        <is>
          <t>Chopped, shredded</t>
        </is>
      </c>
    </row>
    <row r="8" ht="33.75" customHeight="1">
      <c r="A8" s="486" t="n">
        <v>3</v>
      </c>
      <c r="B8" s="702" t="inlineStr">
        <is>
          <t>Error stage report</t>
        </is>
      </c>
      <c r="C8" s="654" t="n"/>
      <c r="D8" s="654" t="n"/>
      <c r="E8" s="654" t="n"/>
      <c r="F8" s="624" t="n"/>
      <c r="G8" s="702" t="inlineStr">
        <is>
          <t>R&amp;D.04.00.04</t>
        </is>
      </c>
      <c r="H8" s="624" t="n"/>
      <c r="I8" s="150" t="inlineStr">
        <is>
          <t>R&amp;D Department</t>
        </is>
      </c>
      <c r="J8" s="151" t="n"/>
      <c r="K8" s="152" t="inlineStr">
        <is>
          <t>Out-of-date documents</t>
        </is>
      </c>
      <c r="L8" s="282" t="inlineStr">
        <is>
          <t>Chopped, shredded</t>
        </is>
      </c>
    </row>
    <row r="9" ht="33.75" customHeight="1">
      <c r="A9" s="486" t="n">
        <v>4</v>
      </c>
      <c r="B9" s="702" t="inlineStr">
        <is>
          <t>Performance report</t>
        </is>
      </c>
      <c r="C9" s="654" t="n"/>
      <c r="D9" s="654" t="n"/>
      <c r="E9" s="654" t="n"/>
      <c r="F9" s="624" t="n"/>
      <c r="G9" s="702" t="inlineStr">
        <is>
          <t>R&amp;D.04.00.05</t>
        </is>
      </c>
      <c r="H9" s="624" t="n"/>
      <c r="I9" s="150" t="inlineStr">
        <is>
          <t>R&amp;D Department</t>
        </is>
      </c>
      <c r="J9" s="151" t="n"/>
      <c r="K9" s="152" t="inlineStr">
        <is>
          <t>Out-of-date documents</t>
        </is>
      </c>
      <c r="L9" s="282" t="inlineStr">
        <is>
          <t>Chopped, shredded</t>
        </is>
      </c>
    </row>
    <row r="10" ht="33.75" customHeight="1" thickBot="1">
      <c r="A10" s="153" t="n"/>
      <c r="B10" s="154" t="n"/>
      <c r="C10" s="154" t="n"/>
      <c r="D10" s="154" t="n"/>
      <c r="E10" s="154" t="n"/>
      <c r="F10" s="154" t="n"/>
      <c r="G10" s="154" t="n"/>
      <c r="H10" s="154" t="n"/>
      <c r="I10" s="154" t="n"/>
      <c r="J10" s="154" t="n"/>
      <c r="K10" s="154" t="n"/>
      <c r="L10" s="154" t="n"/>
    </row>
    <row r="11" ht="24" customHeight="1" thickTop="1">
      <c r="A11" s="507" t="inlineStr">
        <is>
          <t>Key Performance Indicator ( KPI )</t>
        </is>
      </c>
      <c r="B11" s="690" t="n"/>
      <c r="C11" s="690" t="n"/>
      <c r="D11" s="690" t="n"/>
      <c r="E11" s="690" t="n"/>
      <c r="F11" s="690" t="n"/>
      <c r="G11" s="690" t="n"/>
      <c r="H11" s="690" t="n"/>
      <c r="I11" s="690" t="n"/>
      <c r="J11" s="690" t="n"/>
      <c r="K11" s="690" t="n"/>
      <c r="L11" s="691" t="n"/>
    </row>
    <row r="12" ht="26.25" customHeight="1">
      <c r="A12" s="279" t="inlineStr">
        <is>
          <t>No</t>
        </is>
      </c>
      <c r="B12" s="510" t="inlineStr">
        <is>
          <t>Indicator</t>
        </is>
      </c>
      <c r="C12" s="654" t="n"/>
      <c r="D12" s="654" t="n"/>
      <c r="E12" s="654" t="n"/>
      <c r="F12" s="654" t="n"/>
      <c r="G12" s="624" t="n"/>
      <c r="H12" s="510" t="inlineStr">
        <is>
          <t>Calculation method</t>
        </is>
      </c>
      <c r="I12" s="654" t="n"/>
      <c r="J12" s="624" t="n"/>
      <c r="K12" s="510" t="inlineStr">
        <is>
          <t>Management</t>
        </is>
      </c>
      <c r="L12" s="512" t="inlineStr">
        <is>
          <t>Interval</t>
        </is>
      </c>
    </row>
    <row r="13">
      <c r="A13" s="486" t="n">
        <v>1</v>
      </c>
      <c r="B13" s="511" t="inlineStr">
        <is>
          <t>Rate of production success</t>
        </is>
      </c>
      <c r="C13" s="633" t="n"/>
      <c r="D13" s="633" t="n"/>
      <c r="E13" s="633" t="n"/>
      <c r="F13" s="633" t="n"/>
      <c r="G13" s="634" t="n"/>
      <c r="H13" s="511" t="inlineStr">
        <is>
          <t>Number of mass product / number of evaluated product X 100</t>
        </is>
      </c>
      <c r="I13" s="633" t="n"/>
      <c r="J13" s="634" t="n"/>
      <c r="K13" s="510">
        <f>I9</f>
        <v/>
      </c>
      <c r="L13" s="512" t="inlineStr">
        <is>
          <t>Quarterly</t>
        </is>
      </c>
    </row>
    <row r="14" ht="19.5" customHeight="1">
      <c r="A14" s="703" t="n"/>
      <c r="B14" s="631" t="n"/>
      <c r="C14" s="629" t="n"/>
      <c r="D14" s="629" t="n"/>
      <c r="E14" s="629" t="n"/>
      <c r="F14" s="629" t="n"/>
      <c r="G14" s="630" t="n"/>
      <c r="H14" s="631" t="n"/>
      <c r="I14" s="629" t="n"/>
      <c r="J14" s="630" t="n"/>
      <c r="K14" s="700" t="n"/>
      <c r="L14" s="701" t="n"/>
    </row>
    <row r="15">
      <c r="A15" s="486" t="n"/>
      <c r="B15" s="487" t="n"/>
      <c r="C15" s="633" t="n"/>
      <c r="D15" s="633" t="n"/>
      <c r="E15" s="633" t="n"/>
      <c r="F15" s="633" t="n"/>
      <c r="G15" s="634" t="n"/>
      <c r="H15" s="487" t="n"/>
      <c r="I15" s="633" t="n"/>
      <c r="J15" s="634" t="n"/>
      <c r="K15" s="487" t="n"/>
      <c r="L15" s="515" t="n"/>
    </row>
    <row r="16">
      <c r="A16" s="703" t="n"/>
      <c r="B16" s="631" t="n"/>
      <c r="C16" s="629" t="n"/>
      <c r="D16" s="629" t="n"/>
      <c r="E16" s="629" t="n"/>
      <c r="F16" s="629" t="n"/>
      <c r="G16" s="630" t="n"/>
      <c r="H16" s="631" t="n"/>
      <c r="I16" s="629" t="n"/>
      <c r="J16" s="630" t="n"/>
      <c r="K16" s="700" t="n"/>
      <c r="L16" s="701" t="n"/>
    </row>
    <row r="17">
      <c r="A17" s="486" t="n"/>
      <c r="B17" s="487" t="n"/>
      <c r="C17" s="633" t="n"/>
      <c r="D17" s="633" t="n"/>
      <c r="E17" s="633" t="n"/>
      <c r="F17" s="633" t="n"/>
      <c r="G17" s="634" t="n"/>
      <c r="H17" s="487" t="n"/>
      <c r="I17" s="633" t="n"/>
      <c r="J17" s="634" t="n"/>
      <c r="K17" s="487" t="n"/>
      <c r="L17" s="515" t="n"/>
    </row>
    <row r="18" ht="15" customHeight="1" thickBot="1">
      <c r="A18" s="703" t="n"/>
      <c r="B18" s="631" t="n"/>
      <c r="C18" s="629" t="n"/>
      <c r="D18" s="629" t="n"/>
      <c r="E18" s="629" t="n"/>
      <c r="F18" s="629" t="n"/>
      <c r="G18" s="630" t="n"/>
      <c r="H18" s="631" t="n"/>
      <c r="I18" s="629" t="n"/>
      <c r="J18" s="630" t="n"/>
      <c r="K18" s="700" t="n"/>
      <c r="L18" s="701" t="n"/>
    </row>
    <row r="19" ht="15" customHeight="1" thickTop="1"/>
  </sheetData>
  <mergeCells count="34">
    <mergeCell ref="A1:D2"/>
    <mergeCell ref="H15:J16"/>
    <mergeCell ref="B7:F7"/>
    <mergeCell ref="L13:L14"/>
    <mergeCell ref="G8:H8"/>
    <mergeCell ref="A3:L3"/>
    <mergeCell ref="L15:L16"/>
    <mergeCell ref="G4:H5"/>
    <mergeCell ref="G7:H7"/>
    <mergeCell ref="L4:L5"/>
    <mergeCell ref="H12:J12"/>
    <mergeCell ref="G6:H6"/>
    <mergeCell ref="B8:F8"/>
    <mergeCell ref="B4:F5"/>
    <mergeCell ref="B17:G18"/>
    <mergeCell ref="J4:K4"/>
    <mergeCell ref="A17:A18"/>
    <mergeCell ref="K17:K18"/>
    <mergeCell ref="A13:A14"/>
    <mergeCell ref="I4:I5"/>
    <mergeCell ref="K13:K14"/>
    <mergeCell ref="B13:G14"/>
    <mergeCell ref="H17:J18"/>
    <mergeCell ref="B9:F9"/>
    <mergeCell ref="B6:F6"/>
    <mergeCell ref="A11:L11"/>
    <mergeCell ref="L17:L18"/>
    <mergeCell ref="B15:G16"/>
    <mergeCell ref="H13:J14"/>
    <mergeCell ref="A15:A16"/>
    <mergeCell ref="E1:I2"/>
    <mergeCell ref="B12:G12"/>
    <mergeCell ref="K15:K16"/>
    <mergeCell ref="G9:H9"/>
  </mergeCells>
  <pageMargins left="0.7" right="0.7" top="0.75" bottom="0.75" header="0.3" footer="0.3"/>
  <pageSetup orientation="landscape" paperSize="9" scale="74" fitToHeight="0"/>
  <colBreaks count="1" manualBreakCount="1">
    <brk id="12" min="0" max="1048575" man="1"/>
  </colBreaks>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L19"/>
  <sheetViews>
    <sheetView showGridLines="0" view="pageBreakPreview" zoomScale="85" zoomScaleNormal="85" zoomScaleSheetLayoutView="85" workbookViewId="0">
      <pane xSplit="5" ySplit="6" topLeftCell="F7" activePane="bottomRight" state="frozen"/>
      <selection pane="topRight" activeCell="F1" sqref="F1"/>
      <selection pane="bottomLeft" activeCell="A7" sqref="A7"/>
      <selection pane="bottomRight" activeCell="B19" sqref="B19:D19"/>
    </sheetView>
  </sheetViews>
  <sheetFormatPr baseColWidth="8" defaultRowHeight="14.25"/>
  <cols>
    <col width="1.33203125" customWidth="1" style="256" min="1" max="1"/>
    <col width="9.33203125" customWidth="1" style="251" min="2" max="2"/>
    <col width="5.21875" bestFit="1" customWidth="1" style="251" min="3" max="3"/>
    <col width="14.88671875" bestFit="1" customWidth="1" style="273" min="4" max="4"/>
    <col width="7.109375" bestFit="1" customWidth="1" style="256" min="5" max="5"/>
    <col width="3.6640625" customWidth="1" style="256" min="6" max="35"/>
    <col width="5.77734375" customWidth="1" style="251" min="36" max="36"/>
    <col width="31.88671875" bestFit="1" customWidth="1" style="256" min="37" max="37"/>
    <col width="13.33203125" customWidth="1" style="256" min="38" max="38"/>
    <col width="8.88671875" customWidth="1" style="256" min="39" max="256"/>
    <col width="1.33203125" customWidth="1" style="256" min="257" max="257"/>
    <col width="9.33203125" customWidth="1" style="256" min="258" max="258"/>
    <col width="5.21875" bestFit="1" customWidth="1" style="256" min="259" max="259"/>
    <col width="14.88671875" bestFit="1" customWidth="1" style="256" min="260" max="260"/>
    <col width="7.109375" bestFit="1" customWidth="1" style="256" min="261" max="261"/>
    <col width="3.6640625" customWidth="1" style="256" min="262" max="291"/>
    <col width="5.77734375" customWidth="1" style="256" min="292" max="292"/>
    <col width="31.88671875" bestFit="1" customWidth="1" style="256" min="293" max="293"/>
    <col width="13.33203125" customWidth="1" style="256" min="294" max="294"/>
    <col width="8.88671875" customWidth="1" style="256" min="295" max="512"/>
    <col width="1.33203125" customWidth="1" style="256" min="513" max="513"/>
    <col width="9.33203125" customWidth="1" style="256" min="514" max="514"/>
    <col width="5.21875" bestFit="1" customWidth="1" style="256" min="515" max="515"/>
    <col width="14.88671875" bestFit="1" customWidth="1" style="256" min="516" max="516"/>
    <col width="7.109375" bestFit="1" customWidth="1" style="256" min="517" max="517"/>
    <col width="3.6640625" customWidth="1" style="256" min="518" max="547"/>
    <col width="5.77734375" customWidth="1" style="256" min="548" max="548"/>
    <col width="31.88671875" bestFit="1" customWidth="1" style="256" min="549" max="549"/>
    <col width="13.33203125" customWidth="1" style="256" min="550" max="550"/>
    <col width="8.88671875" customWidth="1" style="256" min="551" max="768"/>
    <col width="1.33203125" customWidth="1" style="256" min="769" max="769"/>
    <col width="9.33203125" customWidth="1" style="256" min="770" max="770"/>
    <col width="5.21875" bestFit="1" customWidth="1" style="256" min="771" max="771"/>
    <col width="14.88671875" bestFit="1" customWidth="1" style="256" min="772" max="772"/>
    <col width="7.109375" bestFit="1" customWidth="1" style="256" min="773" max="773"/>
    <col width="3.6640625" customWidth="1" style="256" min="774" max="803"/>
    <col width="5.77734375" customWidth="1" style="256" min="804" max="804"/>
    <col width="31.88671875" bestFit="1" customWidth="1" style="256" min="805" max="805"/>
    <col width="13.33203125" customWidth="1" style="256" min="806" max="806"/>
    <col width="8.88671875" customWidth="1" style="256" min="807" max="1024"/>
    <col width="1.33203125" customWidth="1" style="256" min="1025" max="1025"/>
    <col width="9.33203125" customWidth="1" style="256" min="1026" max="1026"/>
    <col width="5.21875" bestFit="1" customWidth="1" style="256" min="1027" max="1027"/>
    <col width="14.88671875" bestFit="1" customWidth="1" style="256" min="1028" max="1028"/>
    <col width="7.109375" bestFit="1" customWidth="1" style="256" min="1029" max="1029"/>
    <col width="3.6640625" customWidth="1" style="256" min="1030" max="1059"/>
    <col width="5.77734375" customWidth="1" style="256" min="1060" max="1060"/>
    <col width="31.88671875" bestFit="1" customWidth="1" style="256" min="1061" max="1061"/>
    <col width="13.33203125" customWidth="1" style="256" min="1062" max="1062"/>
    <col width="8.88671875" customWidth="1" style="256" min="1063" max="1280"/>
    <col width="1.33203125" customWidth="1" style="256" min="1281" max="1281"/>
    <col width="9.33203125" customWidth="1" style="256" min="1282" max="1282"/>
    <col width="5.21875" bestFit="1" customWidth="1" style="256" min="1283" max="1283"/>
    <col width="14.88671875" bestFit="1" customWidth="1" style="256" min="1284" max="1284"/>
    <col width="7.109375" bestFit="1" customWidth="1" style="256" min="1285" max="1285"/>
    <col width="3.6640625" customWidth="1" style="256" min="1286" max="1315"/>
    <col width="5.77734375" customWidth="1" style="256" min="1316" max="1316"/>
    <col width="31.88671875" bestFit="1" customWidth="1" style="256" min="1317" max="1317"/>
    <col width="13.33203125" customWidth="1" style="256" min="1318" max="1318"/>
    <col width="8.88671875" customWidth="1" style="256" min="1319" max="1536"/>
    <col width="1.33203125" customWidth="1" style="256" min="1537" max="1537"/>
    <col width="9.33203125" customWidth="1" style="256" min="1538" max="1538"/>
    <col width="5.21875" bestFit="1" customWidth="1" style="256" min="1539" max="1539"/>
    <col width="14.88671875" bestFit="1" customWidth="1" style="256" min="1540" max="1540"/>
    <col width="7.109375" bestFit="1" customWidth="1" style="256" min="1541" max="1541"/>
    <col width="3.6640625" customWidth="1" style="256" min="1542" max="1571"/>
    <col width="5.77734375" customWidth="1" style="256" min="1572" max="1572"/>
    <col width="31.88671875" bestFit="1" customWidth="1" style="256" min="1573" max="1573"/>
    <col width="13.33203125" customWidth="1" style="256" min="1574" max="1574"/>
    <col width="8.88671875" customWidth="1" style="256" min="1575" max="1792"/>
    <col width="1.33203125" customWidth="1" style="256" min="1793" max="1793"/>
    <col width="9.33203125" customWidth="1" style="256" min="1794" max="1794"/>
    <col width="5.21875" bestFit="1" customWidth="1" style="256" min="1795" max="1795"/>
    <col width="14.88671875" bestFit="1" customWidth="1" style="256" min="1796" max="1796"/>
    <col width="7.109375" bestFit="1" customWidth="1" style="256" min="1797" max="1797"/>
    <col width="3.6640625" customWidth="1" style="256" min="1798" max="1827"/>
    <col width="5.77734375" customWidth="1" style="256" min="1828" max="1828"/>
    <col width="31.88671875" bestFit="1" customWidth="1" style="256" min="1829" max="1829"/>
    <col width="13.33203125" customWidth="1" style="256" min="1830" max="1830"/>
    <col width="8.88671875" customWidth="1" style="256" min="1831" max="2048"/>
    <col width="1.33203125" customWidth="1" style="256" min="2049" max="2049"/>
    <col width="9.33203125" customWidth="1" style="256" min="2050" max="2050"/>
    <col width="5.21875" bestFit="1" customWidth="1" style="256" min="2051" max="2051"/>
    <col width="14.88671875" bestFit="1" customWidth="1" style="256" min="2052" max="2052"/>
    <col width="7.109375" bestFit="1" customWidth="1" style="256" min="2053" max="2053"/>
    <col width="3.6640625" customWidth="1" style="256" min="2054" max="2083"/>
    <col width="5.77734375" customWidth="1" style="256" min="2084" max="2084"/>
    <col width="31.88671875" bestFit="1" customWidth="1" style="256" min="2085" max="2085"/>
    <col width="13.33203125" customWidth="1" style="256" min="2086" max="2086"/>
    <col width="8.88671875" customWidth="1" style="256" min="2087" max="2304"/>
    <col width="1.33203125" customWidth="1" style="256" min="2305" max="2305"/>
    <col width="9.33203125" customWidth="1" style="256" min="2306" max="2306"/>
    <col width="5.21875" bestFit="1" customWidth="1" style="256" min="2307" max="2307"/>
    <col width="14.88671875" bestFit="1" customWidth="1" style="256" min="2308" max="2308"/>
    <col width="7.109375" bestFit="1" customWidth="1" style="256" min="2309" max="2309"/>
    <col width="3.6640625" customWidth="1" style="256" min="2310" max="2339"/>
    <col width="5.77734375" customWidth="1" style="256" min="2340" max="2340"/>
    <col width="31.88671875" bestFit="1" customWidth="1" style="256" min="2341" max="2341"/>
    <col width="13.33203125" customWidth="1" style="256" min="2342" max="2342"/>
    <col width="8.88671875" customWidth="1" style="256" min="2343" max="2560"/>
    <col width="1.33203125" customWidth="1" style="256" min="2561" max="2561"/>
    <col width="9.33203125" customWidth="1" style="256" min="2562" max="2562"/>
    <col width="5.21875" bestFit="1" customWidth="1" style="256" min="2563" max="2563"/>
    <col width="14.88671875" bestFit="1" customWidth="1" style="256" min="2564" max="2564"/>
    <col width="7.109375" bestFit="1" customWidth="1" style="256" min="2565" max="2565"/>
    <col width="3.6640625" customWidth="1" style="256" min="2566" max="2595"/>
    <col width="5.77734375" customWidth="1" style="256" min="2596" max="2596"/>
    <col width="31.88671875" bestFit="1" customWidth="1" style="256" min="2597" max="2597"/>
    <col width="13.33203125" customWidth="1" style="256" min="2598" max="2598"/>
    <col width="8.88671875" customWidth="1" style="256" min="2599" max="2816"/>
    <col width="1.33203125" customWidth="1" style="256" min="2817" max="2817"/>
    <col width="9.33203125" customWidth="1" style="256" min="2818" max="2818"/>
    <col width="5.21875" bestFit="1" customWidth="1" style="256" min="2819" max="2819"/>
    <col width="14.88671875" bestFit="1" customWidth="1" style="256" min="2820" max="2820"/>
    <col width="7.109375" bestFit="1" customWidth="1" style="256" min="2821" max="2821"/>
    <col width="3.6640625" customWidth="1" style="256" min="2822" max="2851"/>
    <col width="5.77734375" customWidth="1" style="256" min="2852" max="2852"/>
    <col width="31.88671875" bestFit="1" customWidth="1" style="256" min="2853" max="2853"/>
    <col width="13.33203125" customWidth="1" style="256" min="2854" max="2854"/>
    <col width="8.88671875" customWidth="1" style="256" min="2855" max="3072"/>
    <col width="1.33203125" customWidth="1" style="256" min="3073" max="3073"/>
    <col width="9.33203125" customWidth="1" style="256" min="3074" max="3074"/>
    <col width="5.21875" bestFit="1" customWidth="1" style="256" min="3075" max="3075"/>
    <col width="14.88671875" bestFit="1" customWidth="1" style="256" min="3076" max="3076"/>
    <col width="7.109375" bestFit="1" customWidth="1" style="256" min="3077" max="3077"/>
    <col width="3.6640625" customWidth="1" style="256" min="3078" max="3107"/>
    <col width="5.77734375" customWidth="1" style="256" min="3108" max="3108"/>
    <col width="31.88671875" bestFit="1" customWidth="1" style="256" min="3109" max="3109"/>
    <col width="13.33203125" customWidth="1" style="256" min="3110" max="3110"/>
    <col width="8.88671875" customWidth="1" style="256" min="3111" max="3328"/>
    <col width="1.33203125" customWidth="1" style="256" min="3329" max="3329"/>
    <col width="9.33203125" customWidth="1" style="256" min="3330" max="3330"/>
    <col width="5.21875" bestFit="1" customWidth="1" style="256" min="3331" max="3331"/>
    <col width="14.88671875" bestFit="1" customWidth="1" style="256" min="3332" max="3332"/>
    <col width="7.109375" bestFit="1" customWidth="1" style="256" min="3333" max="3333"/>
    <col width="3.6640625" customWidth="1" style="256" min="3334" max="3363"/>
    <col width="5.77734375" customWidth="1" style="256" min="3364" max="3364"/>
    <col width="31.88671875" bestFit="1" customWidth="1" style="256" min="3365" max="3365"/>
    <col width="13.33203125" customWidth="1" style="256" min="3366" max="3366"/>
    <col width="8.88671875" customWidth="1" style="256" min="3367" max="3584"/>
    <col width="1.33203125" customWidth="1" style="256" min="3585" max="3585"/>
    <col width="9.33203125" customWidth="1" style="256" min="3586" max="3586"/>
    <col width="5.21875" bestFit="1" customWidth="1" style="256" min="3587" max="3587"/>
    <col width="14.88671875" bestFit="1" customWidth="1" style="256" min="3588" max="3588"/>
    <col width="7.109375" bestFit="1" customWidth="1" style="256" min="3589" max="3589"/>
    <col width="3.6640625" customWidth="1" style="256" min="3590" max="3619"/>
    <col width="5.77734375" customWidth="1" style="256" min="3620" max="3620"/>
    <col width="31.88671875" bestFit="1" customWidth="1" style="256" min="3621" max="3621"/>
    <col width="13.33203125" customWidth="1" style="256" min="3622" max="3622"/>
    <col width="8.88671875" customWidth="1" style="256" min="3623" max="3840"/>
    <col width="1.33203125" customWidth="1" style="256" min="3841" max="3841"/>
    <col width="9.33203125" customWidth="1" style="256" min="3842" max="3842"/>
    <col width="5.21875" bestFit="1" customWidth="1" style="256" min="3843" max="3843"/>
    <col width="14.88671875" bestFit="1" customWidth="1" style="256" min="3844" max="3844"/>
    <col width="7.109375" bestFit="1" customWidth="1" style="256" min="3845" max="3845"/>
    <col width="3.6640625" customWidth="1" style="256" min="3846" max="3875"/>
    <col width="5.77734375" customWidth="1" style="256" min="3876" max="3876"/>
    <col width="31.88671875" bestFit="1" customWidth="1" style="256" min="3877" max="3877"/>
    <col width="13.33203125" customWidth="1" style="256" min="3878" max="3878"/>
    <col width="8.88671875" customWidth="1" style="256" min="3879" max="4096"/>
    <col width="1.33203125" customWidth="1" style="256" min="4097" max="4097"/>
    <col width="9.33203125" customWidth="1" style="256" min="4098" max="4098"/>
    <col width="5.21875" bestFit="1" customWidth="1" style="256" min="4099" max="4099"/>
    <col width="14.88671875" bestFit="1" customWidth="1" style="256" min="4100" max="4100"/>
    <col width="7.109375" bestFit="1" customWidth="1" style="256" min="4101" max="4101"/>
    <col width="3.6640625" customWidth="1" style="256" min="4102" max="4131"/>
    <col width="5.77734375" customWidth="1" style="256" min="4132" max="4132"/>
    <col width="31.88671875" bestFit="1" customWidth="1" style="256" min="4133" max="4133"/>
    <col width="13.33203125" customWidth="1" style="256" min="4134" max="4134"/>
    <col width="8.88671875" customWidth="1" style="256" min="4135" max="4352"/>
    <col width="1.33203125" customWidth="1" style="256" min="4353" max="4353"/>
    <col width="9.33203125" customWidth="1" style="256" min="4354" max="4354"/>
    <col width="5.21875" bestFit="1" customWidth="1" style="256" min="4355" max="4355"/>
    <col width="14.88671875" bestFit="1" customWidth="1" style="256" min="4356" max="4356"/>
    <col width="7.109375" bestFit="1" customWidth="1" style="256" min="4357" max="4357"/>
    <col width="3.6640625" customWidth="1" style="256" min="4358" max="4387"/>
    <col width="5.77734375" customWidth="1" style="256" min="4388" max="4388"/>
    <col width="31.88671875" bestFit="1" customWidth="1" style="256" min="4389" max="4389"/>
    <col width="13.33203125" customWidth="1" style="256" min="4390" max="4390"/>
    <col width="8.88671875" customWidth="1" style="256" min="4391" max="4608"/>
    <col width="1.33203125" customWidth="1" style="256" min="4609" max="4609"/>
    <col width="9.33203125" customWidth="1" style="256" min="4610" max="4610"/>
    <col width="5.21875" bestFit="1" customWidth="1" style="256" min="4611" max="4611"/>
    <col width="14.88671875" bestFit="1" customWidth="1" style="256" min="4612" max="4612"/>
    <col width="7.109375" bestFit="1" customWidth="1" style="256" min="4613" max="4613"/>
    <col width="3.6640625" customWidth="1" style="256" min="4614" max="4643"/>
    <col width="5.77734375" customWidth="1" style="256" min="4644" max="4644"/>
    <col width="31.88671875" bestFit="1" customWidth="1" style="256" min="4645" max="4645"/>
    <col width="13.33203125" customWidth="1" style="256" min="4646" max="4646"/>
    <col width="8.88671875" customWidth="1" style="256" min="4647" max="4864"/>
    <col width="1.33203125" customWidth="1" style="256" min="4865" max="4865"/>
    <col width="9.33203125" customWidth="1" style="256" min="4866" max="4866"/>
    <col width="5.21875" bestFit="1" customWidth="1" style="256" min="4867" max="4867"/>
    <col width="14.88671875" bestFit="1" customWidth="1" style="256" min="4868" max="4868"/>
    <col width="7.109375" bestFit="1" customWidth="1" style="256" min="4869" max="4869"/>
    <col width="3.6640625" customWidth="1" style="256" min="4870" max="4899"/>
    <col width="5.77734375" customWidth="1" style="256" min="4900" max="4900"/>
    <col width="31.88671875" bestFit="1" customWidth="1" style="256" min="4901" max="4901"/>
    <col width="13.33203125" customWidth="1" style="256" min="4902" max="4902"/>
    <col width="8.88671875" customWidth="1" style="256" min="4903" max="5120"/>
    <col width="1.33203125" customWidth="1" style="256" min="5121" max="5121"/>
    <col width="9.33203125" customWidth="1" style="256" min="5122" max="5122"/>
    <col width="5.21875" bestFit="1" customWidth="1" style="256" min="5123" max="5123"/>
    <col width="14.88671875" bestFit="1" customWidth="1" style="256" min="5124" max="5124"/>
    <col width="7.109375" bestFit="1" customWidth="1" style="256" min="5125" max="5125"/>
    <col width="3.6640625" customWidth="1" style="256" min="5126" max="5155"/>
    <col width="5.77734375" customWidth="1" style="256" min="5156" max="5156"/>
    <col width="31.88671875" bestFit="1" customWidth="1" style="256" min="5157" max="5157"/>
    <col width="13.33203125" customWidth="1" style="256" min="5158" max="5158"/>
    <col width="8.88671875" customWidth="1" style="256" min="5159" max="5376"/>
    <col width="1.33203125" customWidth="1" style="256" min="5377" max="5377"/>
    <col width="9.33203125" customWidth="1" style="256" min="5378" max="5378"/>
    <col width="5.21875" bestFit="1" customWidth="1" style="256" min="5379" max="5379"/>
    <col width="14.88671875" bestFit="1" customWidth="1" style="256" min="5380" max="5380"/>
    <col width="7.109375" bestFit="1" customWidth="1" style="256" min="5381" max="5381"/>
    <col width="3.6640625" customWidth="1" style="256" min="5382" max="5411"/>
    <col width="5.77734375" customWidth="1" style="256" min="5412" max="5412"/>
    <col width="31.88671875" bestFit="1" customWidth="1" style="256" min="5413" max="5413"/>
    <col width="13.33203125" customWidth="1" style="256" min="5414" max="5414"/>
    <col width="8.88671875" customWidth="1" style="256" min="5415" max="5632"/>
    <col width="1.33203125" customWidth="1" style="256" min="5633" max="5633"/>
    <col width="9.33203125" customWidth="1" style="256" min="5634" max="5634"/>
    <col width="5.21875" bestFit="1" customWidth="1" style="256" min="5635" max="5635"/>
    <col width="14.88671875" bestFit="1" customWidth="1" style="256" min="5636" max="5636"/>
    <col width="7.109375" bestFit="1" customWidth="1" style="256" min="5637" max="5637"/>
    <col width="3.6640625" customWidth="1" style="256" min="5638" max="5667"/>
    <col width="5.77734375" customWidth="1" style="256" min="5668" max="5668"/>
    <col width="31.88671875" bestFit="1" customWidth="1" style="256" min="5669" max="5669"/>
    <col width="13.33203125" customWidth="1" style="256" min="5670" max="5670"/>
    <col width="8.88671875" customWidth="1" style="256" min="5671" max="5888"/>
    <col width="1.33203125" customWidth="1" style="256" min="5889" max="5889"/>
    <col width="9.33203125" customWidth="1" style="256" min="5890" max="5890"/>
    <col width="5.21875" bestFit="1" customWidth="1" style="256" min="5891" max="5891"/>
    <col width="14.88671875" bestFit="1" customWidth="1" style="256" min="5892" max="5892"/>
    <col width="7.109375" bestFit="1" customWidth="1" style="256" min="5893" max="5893"/>
    <col width="3.6640625" customWidth="1" style="256" min="5894" max="5923"/>
    <col width="5.77734375" customWidth="1" style="256" min="5924" max="5924"/>
    <col width="31.88671875" bestFit="1" customWidth="1" style="256" min="5925" max="5925"/>
    <col width="13.33203125" customWidth="1" style="256" min="5926" max="5926"/>
    <col width="8.88671875" customWidth="1" style="256" min="5927" max="6144"/>
    <col width="1.33203125" customWidth="1" style="256" min="6145" max="6145"/>
    <col width="9.33203125" customWidth="1" style="256" min="6146" max="6146"/>
    <col width="5.21875" bestFit="1" customWidth="1" style="256" min="6147" max="6147"/>
    <col width="14.88671875" bestFit="1" customWidth="1" style="256" min="6148" max="6148"/>
    <col width="7.109375" bestFit="1" customWidth="1" style="256" min="6149" max="6149"/>
    <col width="3.6640625" customWidth="1" style="256" min="6150" max="6179"/>
    <col width="5.77734375" customWidth="1" style="256" min="6180" max="6180"/>
    <col width="31.88671875" bestFit="1" customWidth="1" style="256" min="6181" max="6181"/>
    <col width="13.33203125" customWidth="1" style="256" min="6182" max="6182"/>
    <col width="8.88671875" customWidth="1" style="256" min="6183" max="6400"/>
    <col width="1.33203125" customWidth="1" style="256" min="6401" max="6401"/>
    <col width="9.33203125" customWidth="1" style="256" min="6402" max="6402"/>
    <col width="5.21875" bestFit="1" customWidth="1" style="256" min="6403" max="6403"/>
    <col width="14.88671875" bestFit="1" customWidth="1" style="256" min="6404" max="6404"/>
    <col width="7.109375" bestFit="1" customWidth="1" style="256" min="6405" max="6405"/>
    <col width="3.6640625" customWidth="1" style="256" min="6406" max="6435"/>
    <col width="5.77734375" customWidth="1" style="256" min="6436" max="6436"/>
    <col width="31.88671875" bestFit="1" customWidth="1" style="256" min="6437" max="6437"/>
    <col width="13.33203125" customWidth="1" style="256" min="6438" max="6438"/>
    <col width="8.88671875" customWidth="1" style="256" min="6439" max="6656"/>
    <col width="1.33203125" customWidth="1" style="256" min="6657" max="6657"/>
    <col width="9.33203125" customWidth="1" style="256" min="6658" max="6658"/>
    <col width="5.21875" bestFit="1" customWidth="1" style="256" min="6659" max="6659"/>
    <col width="14.88671875" bestFit="1" customWidth="1" style="256" min="6660" max="6660"/>
    <col width="7.109375" bestFit="1" customWidth="1" style="256" min="6661" max="6661"/>
    <col width="3.6640625" customWidth="1" style="256" min="6662" max="6691"/>
    <col width="5.77734375" customWidth="1" style="256" min="6692" max="6692"/>
    <col width="31.88671875" bestFit="1" customWidth="1" style="256" min="6693" max="6693"/>
    <col width="13.33203125" customWidth="1" style="256" min="6694" max="6694"/>
    <col width="8.88671875" customWidth="1" style="256" min="6695" max="6912"/>
    <col width="1.33203125" customWidth="1" style="256" min="6913" max="6913"/>
    <col width="9.33203125" customWidth="1" style="256" min="6914" max="6914"/>
    <col width="5.21875" bestFit="1" customWidth="1" style="256" min="6915" max="6915"/>
    <col width="14.88671875" bestFit="1" customWidth="1" style="256" min="6916" max="6916"/>
    <col width="7.109375" bestFit="1" customWidth="1" style="256" min="6917" max="6917"/>
    <col width="3.6640625" customWidth="1" style="256" min="6918" max="6947"/>
    <col width="5.77734375" customWidth="1" style="256" min="6948" max="6948"/>
    <col width="31.88671875" bestFit="1" customWidth="1" style="256" min="6949" max="6949"/>
    <col width="13.33203125" customWidth="1" style="256" min="6950" max="6950"/>
    <col width="8.88671875" customWidth="1" style="256" min="6951" max="7168"/>
    <col width="1.33203125" customWidth="1" style="256" min="7169" max="7169"/>
    <col width="9.33203125" customWidth="1" style="256" min="7170" max="7170"/>
    <col width="5.21875" bestFit="1" customWidth="1" style="256" min="7171" max="7171"/>
    <col width="14.88671875" bestFit="1" customWidth="1" style="256" min="7172" max="7172"/>
    <col width="7.109375" bestFit="1" customWidth="1" style="256" min="7173" max="7173"/>
    <col width="3.6640625" customWidth="1" style="256" min="7174" max="7203"/>
    <col width="5.77734375" customWidth="1" style="256" min="7204" max="7204"/>
    <col width="31.88671875" bestFit="1" customWidth="1" style="256" min="7205" max="7205"/>
    <col width="13.33203125" customWidth="1" style="256" min="7206" max="7206"/>
    <col width="8.88671875" customWidth="1" style="256" min="7207" max="7424"/>
    <col width="1.33203125" customWidth="1" style="256" min="7425" max="7425"/>
    <col width="9.33203125" customWidth="1" style="256" min="7426" max="7426"/>
    <col width="5.21875" bestFit="1" customWidth="1" style="256" min="7427" max="7427"/>
    <col width="14.88671875" bestFit="1" customWidth="1" style="256" min="7428" max="7428"/>
    <col width="7.109375" bestFit="1" customWidth="1" style="256" min="7429" max="7429"/>
    <col width="3.6640625" customWidth="1" style="256" min="7430" max="7459"/>
    <col width="5.77734375" customWidth="1" style="256" min="7460" max="7460"/>
    <col width="31.88671875" bestFit="1" customWidth="1" style="256" min="7461" max="7461"/>
    <col width="13.33203125" customWidth="1" style="256" min="7462" max="7462"/>
    <col width="8.88671875" customWidth="1" style="256" min="7463" max="7680"/>
    <col width="1.33203125" customWidth="1" style="256" min="7681" max="7681"/>
    <col width="9.33203125" customWidth="1" style="256" min="7682" max="7682"/>
    <col width="5.21875" bestFit="1" customWidth="1" style="256" min="7683" max="7683"/>
    <col width="14.88671875" bestFit="1" customWidth="1" style="256" min="7684" max="7684"/>
    <col width="7.109375" bestFit="1" customWidth="1" style="256" min="7685" max="7685"/>
    <col width="3.6640625" customWidth="1" style="256" min="7686" max="7715"/>
    <col width="5.77734375" customWidth="1" style="256" min="7716" max="7716"/>
    <col width="31.88671875" bestFit="1" customWidth="1" style="256" min="7717" max="7717"/>
    <col width="13.33203125" customWidth="1" style="256" min="7718" max="7718"/>
    <col width="8.88671875" customWidth="1" style="256" min="7719" max="7936"/>
    <col width="1.33203125" customWidth="1" style="256" min="7937" max="7937"/>
    <col width="9.33203125" customWidth="1" style="256" min="7938" max="7938"/>
    <col width="5.21875" bestFit="1" customWidth="1" style="256" min="7939" max="7939"/>
    <col width="14.88671875" bestFit="1" customWidth="1" style="256" min="7940" max="7940"/>
    <col width="7.109375" bestFit="1" customWidth="1" style="256" min="7941" max="7941"/>
    <col width="3.6640625" customWidth="1" style="256" min="7942" max="7971"/>
    <col width="5.77734375" customWidth="1" style="256" min="7972" max="7972"/>
    <col width="31.88671875" bestFit="1" customWidth="1" style="256" min="7973" max="7973"/>
    <col width="13.33203125" customWidth="1" style="256" min="7974" max="7974"/>
    <col width="8.88671875" customWidth="1" style="256" min="7975" max="8192"/>
    <col width="1.33203125" customWidth="1" style="256" min="8193" max="8193"/>
    <col width="9.33203125" customWidth="1" style="256" min="8194" max="8194"/>
    <col width="5.21875" bestFit="1" customWidth="1" style="256" min="8195" max="8195"/>
    <col width="14.88671875" bestFit="1" customWidth="1" style="256" min="8196" max="8196"/>
    <col width="7.109375" bestFit="1" customWidth="1" style="256" min="8197" max="8197"/>
    <col width="3.6640625" customWidth="1" style="256" min="8198" max="8227"/>
    <col width="5.77734375" customWidth="1" style="256" min="8228" max="8228"/>
    <col width="31.88671875" bestFit="1" customWidth="1" style="256" min="8229" max="8229"/>
    <col width="13.33203125" customWidth="1" style="256" min="8230" max="8230"/>
    <col width="8.88671875" customWidth="1" style="256" min="8231" max="8448"/>
    <col width="1.33203125" customWidth="1" style="256" min="8449" max="8449"/>
    <col width="9.33203125" customWidth="1" style="256" min="8450" max="8450"/>
    <col width="5.21875" bestFit="1" customWidth="1" style="256" min="8451" max="8451"/>
    <col width="14.88671875" bestFit="1" customWidth="1" style="256" min="8452" max="8452"/>
    <col width="7.109375" bestFit="1" customWidth="1" style="256" min="8453" max="8453"/>
    <col width="3.6640625" customWidth="1" style="256" min="8454" max="8483"/>
    <col width="5.77734375" customWidth="1" style="256" min="8484" max="8484"/>
    <col width="31.88671875" bestFit="1" customWidth="1" style="256" min="8485" max="8485"/>
    <col width="13.33203125" customWidth="1" style="256" min="8486" max="8486"/>
    <col width="8.88671875" customWidth="1" style="256" min="8487" max="8704"/>
    <col width="1.33203125" customWidth="1" style="256" min="8705" max="8705"/>
    <col width="9.33203125" customWidth="1" style="256" min="8706" max="8706"/>
    <col width="5.21875" bestFit="1" customWidth="1" style="256" min="8707" max="8707"/>
    <col width="14.88671875" bestFit="1" customWidth="1" style="256" min="8708" max="8708"/>
    <col width="7.109375" bestFit="1" customWidth="1" style="256" min="8709" max="8709"/>
    <col width="3.6640625" customWidth="1" style="256" min="8710" max="8739"/>
    <col width="5.77734375" customWidth="1" style="256" min="8740" max="8740"/>
    <col width="31.88671875" bestFit="1" customWidth="1" style="256" min="8741" max="8741"/>
    <col width="13.33203125" customWidth="1" style="256" min="8742" max="8742"/>
    <col width="8.88671875" customWidth="1" style="256" min="8743" max="8960"/>
    <col width="1.33203125" customWidth="1" style="256" min="8961" max="8961"/>
    <col width="9.33203125" customWidth="1" style="256" min="8962" max="8962"/>
    <col width="5.21875" bestFit="1" customWidth="1" style="256" min="8963" max="8963"/>
    <col width="14.88671875" bestFit="1" customWidth="1" style="256" min="8964" max="8964"/>
    <col width="7.109375" bestFit="1" customWidth="1" style="256" min="8965" max="8965"/>
    <col width="3.6640625" customWidth="1" style="256" min="8966" max="8995"/>
    <col width="5.77734375" customWidth="1" style="256" min="8996" max="8996"/>
    <col width="31.88671875" bestFit="1" customWidth="1" style="256" min="8997" max="8997"/>
    <col width="13.33203125" customWidth="1" style="256" min="8998" max="8998"/>
    <col width="8.88671875" customWidth="1" style="256" min="8999" max="9216"/>
    <col width="1.33203125" customWidth="1" style="256" min="9217" max="9217"/>
    <col width="9.33203125" customWidth="1" style="256" min="9218" max="9218"/>
    <col width="5.21875" bestFit="1" customWidth="1" style="256" min="9219" max="9219"/>
    <col width="14.88671875" bestFit="1" customWidth="1" style="256" min="9220" max="9220"/>
    <col width="7.109375" bestFit="1" customWidth="1" style="256" min="9221" max="9221"/>
    <col width="3.6640625" customWidth="1" style="256" min="9222" max="9251"/>
    <col width="5.77734375" customWidth="1" style="256" min="9252" max="9252"/>
    <col width="31.88671875" bestFit="1" customWidth="1" style="256" min="9253" max="9253"/>
    <col width="13.33203125" customWidth="1" style="256" min="9254" max="9254"/>
    <col width="8.88671875" customWidth="1" style="256" min="9255" max="9472"/>
    <col width="1.33203125" customWidth="1" style="256" min="9473" max="9473"/>
    <col width="9.33203125" customWidth="1" style="256" min="9474" max="9474"/>
    <col width="5.21875" bestFit="1" customWidth="1" style="256" min="9475" max="9475"/>
    <col width="14.88671875" bestFit="1" customWidth="1" style="256" min="9476" max="9476"/>
    <col width="7.109375" bestFit="1" customWidth="1" style="256" min="9477" max="9477"/>
    <col width="3.6640625" customWidth="1" style="256" min="9478" max="9507"/>
    <col width="5.77734375" customWidth="1" style="256" min="9508" max="9508"/>
    <col width="31.88671875" bestFit="1" customWidth="1" style="256" min="9509" max="9509"/>
    <col width="13.33203125" customWidth="1" style="256" min="9510" max="9510"/>
    <col width="8.88671875" customWidth="1" style="256" min="9511" max="9728"/>
    <col width="1.33203125" customWidth="1" style="256" min="9729" max="9729"/>
    <col width="9.33203125" customWidth="1" style="256" min="9730" max="9730"/>
    <col width="5.21875" bestFit="1" customWidth="1" style="256" min="9731" max="9731"/>
    <col width="14.88671875" bestFit="1" customWidth="1" style="256" min="9732" max="9732"/>
    <col width="7.109375" bestFit="1" customWidth="1" style="256" min="9733" max="9733"/>
    <col width="3.6640625" customWidth="1" style="256" min="9734" max="9763"/>
    <col width="5.77734375" customWidth="1" style="256" min="9764" max="9764"/>
    <col width="31.88671875" bestFit="1" customWidth="1" style="256" min="9765" max="9765"/>
    <col width="13.33203125" customWidth="1" style="256" min="9766" max="9766"/>
    <col width="8.88671875" customWidth="1" style="256" min="9767" max="9984"/>
    <col width="1.33203125" customWidth="1" style="256" min="9985" max="9985"/>
    <col width="9.33203125" customWidth="1" style="256" min="9986" max="9986"/>
    <col width="5.21875" bestFit="1" customWidth="1" style="256" min="9987" max="9987"/>
    <col width="14.88671875" bestFit="1" customWidth="1" style="256" min="9988" max="9988"/>
    <col width="7.109375" bestFit="1" customWidth="1" style="256" min="9989" max="9989"/>
    <col width="3.6640625" customWidth="1" style="256" min="9990" max="10019"/>
    <col width="5.77734375" customWidth="1" style="256" min="10020" max="10020"/>
    <col width="31.88671875" bestFit="1" customWidth="1" style="256" min="10021" max="10021"/>
    <col width="13.33203125" customWidth="1" style="256" min="10022" max="10022"/>
    <col width="8.88671875" customWidth="1" style="256" min="10023" max="10240"/>
    <col width="1.33203125" customWidth="1" style="256" min="10241" max="10241"/>
    <col width="9.33203125" customWidth="1" style="256" min="10242" max="10242"/>
    <col width="5.21875" bestFit="1" customWidth="1" style="256" min="10243" max="10243"/>
    <col width="14.88671875" bestFit="1" customWidth="1" style="256" min="10244" max="10244"/>
    <col width="7.109375" bestFit="1" customWidth="1" style="256" min="10245" max="10245"/>
    <col width="3.6640625" customWidth="1" style="256" min="10246" max="10275"/>
    <col width="5.77734375" customWidth="1" style="256" min="10276" max="10276"/>
    <col width="31.88671875" bestFit="1" customWidth="1" style="256" min="10277" max="10277"/>
    <col width="13.33203125" customWidth="1" style="256" min="10278" max="10278"/>
    <col width="8.88671875" customWidth="1" style="256" min="10279" max="10496"/>
    <col width="1.33203125" customWidth="1" style="256" min="10497" max="10497"/>
    <col width="9.33203125" customWidth="1" style="256" min="10498" max="10498"/>
    <col width="5.21875" bestFit="1" customWidth="1" style="256" min="10499" max="10499"/>
    <col width="14.88671875" bestFit="1" customWidth="1" style="256" min="10500" max="10500"/>
    <col width="7.109375" bestFit="1" customWidth="1" style="256" min="10501" max="10501"/>
    <col width="3.6640625" customWidth="1" style="256" min="10502" max="10531"/>
    <col width="5.77734375" customWidth="1" style="256" min="10532" max="10532"/>
    <col width="31.88671875" bestFit="1" customWidth="1" style="256" min="10533" max="10533"/>
    <col width="13.33203125" customWidth="1" style="256" min="10534" max="10534"/>
    <col width="8.88671875" customWidth="1" style="256" min="10535" max="10752"/>
    <col width="1.33203125" customWidth="1" style="256" min="10753" max="10753"/>
    <col width="9.33203125" customWidth="1" style="256" min="10754" max="10754"/>
    <col width="5.21875" bestFit="1" customWidth="1" style="256" min="10755" max="10755"/>
    <col width="14.88671875" bestFit="1" customWidth="1" style="256" min="10756" max="10756"/>
    <col width="7.109375" bestFit="1" customWidth="1" style="256" min="10757" max="10757"/>
    <col width="3.6640625" customWidth="1" style="256" min="10758" max="10787"/>
    <col width="5.77734375" customWidth="1" style="256" min="10788" max="10788"/>
    <col width="31.88671875" bestFit="1" customWidth="1" style="256" min="10789" max="10789"/>
    <col width="13.33203125" customWidth="1" style="256" min="10790" max="10790"/>
    <col width="8.88671875" customWidth="1" style="256" min="10791" max="11008"/>
    <col width="1.33203125" customWidth="1" style="256" min="11009" max="11009"/>
    <col width="9.33203125" customWidth="1" style="256" min="11010" max="11010"/>
    <col width="5.21875" bestFit="1" customWidth="1" style="256" min="11011" max="11011"/>
    <col width="14.88671875" bestFit="1" customWidth="1" style="256" min="11012" max="11012"/>
    <col width="7.109375" bestFit="1" customWidth="1" style="256" min="11013" max="11013"/>
    <col width="3.6640625" customWidth="1" style="256" min="11014" max="11043"/>
    <col width="5.77734375" customWidth="1" style="256" min="11044" max="11044"/>
    <col width="31.88671875" bestFit="1" customWidth="1" style="256" min="11045" max="11045"/>
    <col width="13.33203125" customWidth="1" style="256" min="11046" max="11046"/>
    <col width="8.88671875" customWidth="1" style="256" min="11047" max="11264"/>
    <col width="1.33203125" customWidth="1" style="256" min="11265" max="11265"/>
    <col width="9.33203125" customWidth="1" style="256" min="11266" max="11266"/>
    <col width="5.21875" bestFit="1" customWidth="1" style="256" min="11267" max="11267"/>
    <col width="14.88671875" bestFit="1" customWidth="1" style="256" min="11268" max="11268"/>
    <col width="7.109375" bestFit="1" customWidth="1" style="256" min="11269" max="11269"/>
    <col width="3.6640625" customWidth="1" style="256" min="11270" max="11299"/>
    <col width="5.77734375" customWidth="1" style="256" min="11300" max="11300"/>
    <col width="31.88671875" bestFit="1" customWidth="1" style="256" min="11301" max="11301"/>
    <col width="13.33203125" customWidth="1" style="256" min="11302" max="11302"/>
    <col width="8.88671875" customWidth="1" style="256" min="11303" max="11520"/>
    <col width="1.33203125" customWidth="1" style="256" min="11521" max="11521"/>
    <col width="9.33203125" customWidth="1" style="256" min="11522" max="11522"/>
    <col width="5.21875" bestFit="1" customWidth="1" style="256" min="11523" max="11523"/>
    <col width="14.88671875" bestFit="1" customWidth="1" style="256" min="11524" max="11524"/>
    <col width="7.109375" bestFit="1" customWidth="1" style="256" min="11525" max="11525"/>
    <col width="3.6640625" customWidth="1" style="256" min="11526" max="11555"/>
    <col width="5.77734375" customWidth="1" style="256" min="11556" max="11556"/>
    <col width="31.88671875" bestFit="1" customWidth="1" style="256" min="11557" max="11557"/>
    <col width="13.33203125" customWidth="1" style="256" min="11558" max="11558"/>
    <col width="8.88671875" customWidth="1" style="256" min="11559" max="11776"/>
    <col width="1.33203125" customWidth="1" style="256" min="11777" max="11777"/>
    <col width="9.33203125" customWidth="1" style="256" min="11778" max="11778"/>
    <col width="5.21875" bestFit="1" customWidth="1" style="256" min="11779" max="11779"/>
    <col width="14.88671875" bestFit="1" customWidth="1" style="256" min="11780" max="11780"/>
    <col width="7.109375" bestFit="1" customWidth="1" style="256" min="11781" max="11781"/>
    <col width="3.6640625" customWidth="1" style="256" min="11782" max="11811"/>
    <col width="5.77734375" customWidth="1" style="256" min="11812" max="11812"/>
    <col width="31.88671875" bestFit="1" customWidth="1" style="256" min="11813" max="11813"/>
    <col width="13.33203125" customWidth="1" style="256" min="11814" max="11814"/>
    <col width="8.88671875" customWidth="1" style="256" min="11815" max="12032"/>
    <col width="1.33203125" customWidth="1" style="256" min="12033" max="12033"/>
    <col width="9.33203125" customWidth="1" style="256" min="12034" max="12034"/>
    <col width="5.21875" bestFit="1" customWidth="1" style="256" min="12035" max="12035"/>
    <col width="14.88671875" bestFit="1" customWidth="1" style="256" min="12036" max="12036"/>
    <col width="7.109375" bestFit="1" customWidth="1" style="256" min="12037" max="12037"/>
    <col width="3.6640625" customWidth="1" style="256" min="12038" max="12067"/>
    <col width="5.77734375" customWidth="1" style="256" min="12068" max="12068"/>
    <col width="31.88671875" bestFit="1" customWidth="1" style="256" min="12069" max="12069"/>
    <col width="13.33203125" customWidth="1" style="256" min="12070" max="12070"/>
    <col width="8.88671875" customWidth="1" style="256" min="12071" max="12288"/>
    <col width="1.33203125" customWidth="1" style="256" min="12289" max="12289"/>
    <col width="9.33203125" customWidth="1" style="256" min="12290" max="12290"/>
    <col width="5.21875" bestFit="1" customWidth="1" style="256" min="12291" max="12291"/>
    <col width="14.88671875" bestFit="1" customWidth="1" style="256" min="12292" max="12292"/>
    <col width="7.109375" bestFit="1" customWidth="1" style="256" min="12293" max="12293"/>
    <col width="3.6640625" customWidth="1" style="256" min="12294" max="12323"/>
    <col width="5.77734375" customWidth="1" style="256" min="12324" max="12324"/>
    <col width="31.88671875" bestFit="1" customWidth="1" style="256" min="12325" max="12325"/>
    <col width="13.33203125" customWidth="1" style="256" min="12326" max="12326"/>
    <col width="8.88671875" customWidth="1" style="256" min="12327" max="12544"/>
    <col width="1.33203125" customWidth="1" style="256" min="12545" max="12545"/>
    <col width="9.33203125" customWidth="1" style="256" min="12546" max="12546"/>
    <col width="5.21875" bestFit="1" customWidth="1" style="256" min="12547" max="12547"/>
    <col width="14.88671875" bestFit="1" customWidth="1" style="256" min="12548" max="12548"/>
    <col width="7.109375" bestFit="1" customWidth="1" style="256" min="12549" max="12549"/>
    <col width="3.6640625" customWidth="1" style="256" min="12550" max="12579"/>
    <col width="5.77734375" customWidth="1" style="256" min="12580" max="12580"/>
    <col width="31.88671875" bestFit="1" customWidth="1" style="256" min="12581" max="12581"/>
    <col width="13.33203125" customWidth="1" style="256" min="12582" max="12582"/>
    <col width="8.88671875" customWidth="1" style="256" min="12583" max="12800"/>
    <col width="1.33203125" customWidth="1" style="256" min="12801" max="12801"/>
    <col width="9.33203125" customWidth="1" style="256" min="12802" max="12802"/>
    <col width="5.21875" bestFit="1" customWidth="1" style="256" min="12803" max="12803"/>
    <col width="14.88671875" bestFit="1" customWidth="1" style="256" min="12804" max="12804"/>
    <col width="7.109375" bestFit="1" customWidth="1" style="256" min="12805" max="12805"/>
    <col width="3.6640625" customWidth="1" style="256" min="12806" max="12835"/>
    <col width="5.77734375" customWidth="1" style="256" min="12836" max="12836"/>
    <col width="31.88671875" bestFit="1" customWidth="1" style="256" min="12837" max="12837"/>
    <col width="13.33203125" customWidth="1" style="256" min="12838" max="12838"/>
    <col width="8.88671875" customWidth="1" style="256" min="12839" max="13056"/>
    <col width="1.33203125" customWidth="1" style="256" min="13057" max="13057"/>
    <col width="9.33203125" customWidth="1" style="256" min="13058" max="13058"/>
    <col width="5.21875" bestFit="1" customWidth="1" style="256" min="13059" max="13059"/>
    <col width="14.88671875" bestFit="1" customWidth="1" style="256" min="13060" max="13060"/>
    <col width="7.109375" bestFit="1" customWidth="1" style="256" min="13061" max="13061"/>
    <col width="3.6640625" customWidth="1" style="256" min="13062" max="13091"/>
    <col width="5.77734375" customWidth="1" style="256" min="13092" max="13092"/>
    <col width="31.88671875" bestFit="1" customWidth="1" style="256" min="13093" max="13093"/>
    <col width="13.33203125" customWidth="1" style="256" min="13094" max="13094"/>
    <col width="8.88671875" customWidth="1" style="256" min="13095" max="13312"/>
    <col width="1.33203125" customWidth="1" style="256" min="13313" max="13313"/>
    <col width="9.33203125" customWidth="1" style="256" min="13314" max="13314"/>
    <col width="5.21875" bestFit="1" customWidth="1" style="256" min="13315" max="13315"/>
    <col width="14.88671875" bestFit="1" customWidth="1" style="256" min="13316" max="13316"/>
    <col width="7.109375" bestFit="1" customWidth="1" style="256" min="13317" max="13317"/>
    <col width="3.6640625" customWidth="1" style="256" min="13318" max="13347"/>
    <col width="5.77734375" customWidth="1" style="256" min="13348" max="13348"/>
    <col width="31.88671875" bestFit="1" customWidth="1" style="256" min="13349" max="13349"/>
    <col width="13.33203125" customWidth="1" style="256" min="13350" max="13350"/>
    <col width="8.88671875" customWidth="1" style="256" min="13351" max="13568"/>
    <col width="1.33203125" customWidth="1" style="256" min="13569" max="13569"/>
    <col width="9.33203125" customWidth="1" style="256" min="13570" max="13570"/>
    <col width="5.21875" bestFit="1" customWidth="1" style="256" min="13571" max="13571"/>
    <col width="14.88671875" bestFit="1" customWidth="1" style="256" min="13572" max="13572"/>
    <col width="7.109375" bestFit="1" customWidth="1" style="256" min="13573" max="13573"/>
    <col width="3.6640625" customWidth="1" style="256" min="13574" max="13603"/>
    <col width="5.77734375" customWidth="1" style="256" min="13604" max="13604"/>
    <col width="31.88671875" bestFit="1" customWidth="1" style="256" min="13605" max="13605"/>
    <col width="13.33203125" customWidth="1" style="256" min="13606" max="13606"/>
    <col width="8.88671875" customWidth="1" style="256" min="13607" max="13824"/>
    <col width="1.33203125" customWidth="1" style="256" min="13825" max="13825"/>
    <col width="9.33203125" customWidth="1" style="256" min="13826" max="13826"/>
    <col width="5.21875" bestFit="1" customWidth="1" style="256" min="13827" max="13827"/>
    <col width="14.88671875" bestFit="1" customWidth="1" style="256" min="13828" max="13828"/>
    <col width="7.109375" bestFit="1" customWidth="1" style="256" min="13829" max="13829"/>
    <col width="3.6640625" customWidth="1" style="256" min="13830" max="13859"/>
    <col width="5.77734375" customWidth="1" style="256" min="13860" max="13860"/>
    <col width="31.88671875" bestFit="1" customWidth="1" style="256" min="13861" max="13861"/>
    <col width="13.33203125" customWidth="1" style="256" min="13862" max="13862"/>
    <col width="8.88671875" customWidth="1" style="256" min="13863" max="14080"/>
    <col width="1.33203125" customWidth="1" style="256" min="14081" max="14081"/>
    <col width="9.33203125" customWidth="1" style="256" min="14082" max="14082"/>
    <col width="5.21875" bestFit="1" customWidth="1" style="256" min="14083" max="14083"/>
    <col width="14.88671875" bestFit="1" customWidth="1" style="256" min="14084" max="14084"/>
    <col width="7.109375" bestFit="1" customWidth="1" style="256" min="14085" max="14085"/>
    <col width="3.6640625" customWidth="1" style="256" min="14086" max="14115"/>
    <col width="5.77734375" customWidth="1" style="256" min="14116" max="14116"/>
    <col width="31.88671875" bestFit="1" customWidth="1" style="256" min="14117" max="14117"/>
    <col width="13.33203125" customWidth="1" style="256" min="14118" max="14118"/>
    <col width="8.88671875" customWidth="1" style="256" min="14119" max="14336"/>
    <col width="1.33203125" customWidth="1" style="256" min="14337" max="14337"/>
    <col width="9.33203125" customWidth="1" style="256" min="14338" max="14338"/>
    <col width="5.21875" bestFit="1" customWidth="1" style="256" min="14339" max="14339"/>
    <col width="14.88671875" bestFit="1" customWidth="1" style="256" min="14340" max="14340"/>
    <col width="7.109375" bestFit="1" customWidth="1" style="256" min="14341" max="14341"/>
    <col width="3.6640625" customWidth="1" style="256" min="14342" max="14371"/>
    <col width="5.77734375" customWidth="1" style="256" min="14372" max="14372"/>
    <col width="31.88671875" bestFit="1" customWidth="1" style="256" min="14373" max="14373"/>
    <col width="13.33203125" customWidth="1" style="256" min="14374" max="14374"/>
    <col width="8.88671875" customWidth="1" style="256" min="14375" max="14592"/>
    <col width="1.33203125" customWidth="1" style="256" min="14593" max="14593"/>
    <col width="9.33203125" customWidth="1" style="256" min="14594" max="14594"/>
    <col width="5.21875" bestFit="1" customWidth="1" style="256" min="14595" max="14595"/>
    <col width="14.88671875" bestFit="1" customWidth="1" style="256" min="14596" max="14596"/>
    <col width="7.109375" bestFit="1" customWidth="1" style="256" min="14597" max="14597"/>
    <col width="3.6640625" customWidth="1" style="256" min="14598" max="14627"/>
    <col width="5.77734375" customWidth="1" style="256" min="14628" max="14628"/>
    <col width="31.88671875" bestFit="1" customWidth="1" style="256" min="14629" max="14629"/>
    <col width="13.33203125" customWidth="1" style="256" min="14630" max="14630"/>
    <col width="8.88671875" customWidth="1" style="256" min="14631" max="14848"/>
    <col width="1.33203125" customWidth="1" style="256" min="14849" max="14849"/>
    <col width="9.33203125" customWidth="1" style="256" min="14850" max="14850"/>
    <col width="5.21875" bestFit="1" customWidth="1" style="256" min="14851" max="14851"/>
    <col width="14.88671875" bestFit="1" customWidth="1" style="256" min="14852" max="14852"/>
    <col width="7.109375" bestFit="1" customWidth="1" style="256" min="14853" max="14853"/>
    <col width="3.6640625" customWidth="1" style="256" min="14854" max="14883"/>
    <col width="5.77734375" customWidth="1" style="256" min="14884" max="14884"/>
    <col width="31.88671875" bestFit="1" customWidth="1" style="256" min="14885" max="14885"/>
    <col width="13.33203125" customWidth="1" style="256" min="14886" max="14886"/>
    <col width="8.88671875" customWidth="1" style="256" min="14887" max="15104"/>
    <col width="1.33203125" customWidth="1" style="256" min="15105" max="15105"/>
    <col width="9.33203125" customWidth="1" style="256" min="15106" max="15106"/>
    <col width="5.21875" bestFit="1" customWidth="1" style="256" min="15107" max="15107"/>
    <col width="14.88671875" bestFit="1" customWidth="1" style="256" min="15108" max="15108"/>
    <col width="7.109375" bestFit="1" customWidth="1" style="256" min="15109" max="15109"/>
    <col width="3.6640625" customWidth="1" style="256" min="15110" max="15139"/>
    <col width="5.77734375" customWidth="1" style="256" min="15140" max="15140"/>
    <col width="31.88671875" bestFit="1" customWidth="1" style="256" min="15141" max="15141"/>
    <col width="13.33203125" customWidth="1" style="256" min="15142" max="15142"/>
    <col width="8.88671875" customWidth="1" style="256" min="15143" max="15360"/>
    <col width="1.33203125" customWidth="1" style="256" min="15361" max="15361"/>
    <col width="9.33203125" customWidth="1" style="256" min="15362" max="15362"/>
    <col width="5.21875" bestFit="1" customWidth="1" style="256" min="15363" max="15363"/>
    <col width="14.88671875" bestFit="1" customWidth="1" style="256" min="15364" max="15364"/>
    <col width="7.109375" bestFit="1" customWidth="1" style="256" min="15365" max="15365"/>
    <col width="3.6640625" customWidth="1" style="256" min="15366" max="15395"/>
    <col width="5.77734375" customWidth="1" style="256" min="15396" max="15396"/>
    <col width="31.88671875" bestFit="1" customWidth="1" style="256" min="15397" max="15397"/>
    <col width="13.33203125" customWidth="1" style="256" min="15398" max="15398"/>
    <col width="8.88671875" customWidth="1" style="256" min="15399" max="15616"/>
    <col width="1.33203125" customWidth="1" style="256" min="15617" max="15617"/>
    <col width="9.33203125" customWidth="1" style="256" min="15618" max="15618"/>
    <col width="5.21875" bestFit="1" customWidth="1" style="256" min="15619" max="15619"/>
    <col width="14.88671875" bestFit="1" customWidth="1" style="256" min="15620" max="15620"/>
    <col width="7.109375" bestFit="1" customWidth="1" style="256" min="15621" max="15621"/>
    <col width="3.6640625" customWidth="1" style="256" min="15622" max="15651"/>
    <col width="5.77734375" customWidth="1" style="256" min="15652" max="15652"/>
    <col width="31.88671875" bestFit="1" customWidth="1" style="256" min="15653" max="15653"/>
    <col width="13.33203125" customWidth="1" style="256" min="15654" max="15654"/>
    <col width="8.88671875" customWidth="1" style="256" min="15655" max="15872"/>
    <col width="1.33203125" customWidth="1" style="256" min="15873" max="15873"/>
    <col width="9.33203125" customWidth="1" style="256" min="15874" max="15874"/>
    <col width="5.21875" bestFit="1" customWidth="1" style="256" min="15875" max="15875"/>
    <col width="14.88671875" bestFit="1" customWidth="1" style="256" min="15876" max="15876"/>
    <col width="7.109375" bestFit="1" customWidth="1" style="256" min="15877" max="15877"/>
    <col width="3.6640625" customWidth="1" style="256" min="15878" max="15907"/>
    <col width="5.77734375" customWidth="1" style="256" min="15908" max="15908"/>
    <col width="31.88671875" bestFit="1" customWidth="1" style="256" min="15909" max="15909"/>
    <col width="13.33203125" customWidth="1" style="256" min="15910" max="15910"/>
    <col width="8.88671875" customWidth="1" style="256" min="15911" max="16128"/>
    <col width="1.33203125" customWidth="1" style="256" min="16129" max="16129"/>
    <col width="9.33203125" customWidth="1" style="256" min="16130" max="16130"/>
    <col width="5.21875" bestFit="1" customWidth="1" style="256" min="16131" max="16131"/>
    <col width="14.88671875" bestFit="1" customWidth="1" style="256" min="16132" max="16132"/>
    <col width="7.109375" bestFit="1" customWidth="1" style="256" min="16133" max="16133"/>
    <col width="3.6640625" customWidth="1" style="256" min="16134" max="16163"/>
    <col width="5.77734375" customWidth="1" style="256" min="16164" max="16164"/>
    <col width="31.88671875" bestFit="1" customWidth="1" style="256" min="16165" max="16165"/>
    <col width="13.33203125" customWidth="1" style="256" min="16166" max="16166"/>
    <col width="8.88671875" customWidth="1" style="256" min="16167" max="16384"/>
  </cols>
  <sheetData>
    <row r="1" ht="57" customHeight="1">
      <c r="D1" s="252" t="n"/>
      <c r="G1" s="529" t="inlineStr">
        <is>
          <t>R&amp;D development status and planing</t>
        </is>
      </c>
      <c r="V1" s="529" t="n"/>
      <c r="W1" s="529" t="n"/>
      <c r="X1" s="529" t="n"/>
      <c r="Y1" s="529" t="n"/>
      <c r="Z1" s="529" t="n"/>
      <c r="AA1" s="529" t="n"/>
      <c r="AB1" s="529" t="n"/>
      <c r="AC1" s="529" t="n"/>
      <c r="AD1" s="529" t="n"/>
      <c r="AE1" s="529" t="n"/>
      <c r="AF1" s="529" t="n"/>
      <c r="AG1" s="529" t="n"/>
      <c r="AH1" s="529" t="n"/>
      <c r="AI1" s="529" t="n"/>
    </row>
    <row r="2">
      <c r="B2" s="531" t="inlineStr">
        <is>
          <t xml:space="preserve">Date : </t>
        </is>
      </c>
      <c r="E2" s="255" t="n"/>
      <c r="F2" s="255" t="n"/>
      <c r="G2" s="255" t="n"/>
      <c r="H2" s="255" t="n"/>
      <c r="I2" s="255" t="n"/>
      <c r="J2" s="255" t="n"/>
      <c r="K2" s="256" t="n"/>
      <c r="L2" s="256" t="n"/>
      <c r="M2" s="256" t="n"/>
      <c r="N2" s="256" t="n"/>
      <c r="O2" s="256" t="n"/>
      <c r="P2" s="256" t="n"/>
      <c r="Q2" s="256" t="n"/>
      <c r="R2" s="256" t="n"/>
      <c r="S2" s="256" t="n"/>
      <c r="T2" s="256" t="n"/>
      <c r="U2" s="256" t="n"/>
    </row>
    <row r="3">
      <c r="B3" s="532" t="inlineStr">
        <is>
          <t xml:space="preserve">Written by: </t>
        </is>
      </c>
      <c r="C3" s="629" t="n"/>
      <c r="D3" s="629" t="n"/>
      <c r="E3" s="257" t="n"/>
      <c r="F3" s="257" t="n"/>
      <c r="G3" s="257" t="n"/>
      <c r="H3" s="257" t="n"/>
      <c r="I3" s="257" t="n"/>
      <c r="J3" s="257" t="n"/>
      <c r="K3" s="258" t="n"/>
      <c r="L3" s="258" t="n"/>
      <c r="M3" s="258" t="n"/>
      <c r="N3" s="258" t="n"/>
      <c r="O3" s="258" t="n"/>
      <c r="P3" s="258" t="n"/>
      <c r="Q3" s="258" t="n"/>
      <c r="R3" s="258" t="n"/>
      <c r="S3" s="258" t="n"/>
      <c r="T3" s="258" t="n"/>
      <c r="U3" s="258" t="n"/>
    </row>
    <row r="4" ht="23.25" customHeight="1">
      <c r="B4" s="704" t="inlineStr">
        <is>
          <t>Model</t>
        </is>
      </c>
      <c r="C4" s="704" t="inlineStr">
        <is>
          <t>No</t>
        </is>
      </c>
      <c r="D4" s="704" t="inlineStr">
        <is>
          <t>Item</t>
        </is>
      </c>
      <c r="E4" s="259" t="inlineStr">
        <is>
          <t>Month</t>
        </is>
      </c>
      <c r="F4" s="259" t="n"/>
      <c r="G4" s="259" t="n"/>
      <c r="H4" s="259" t="n"/>
      <c r="I4" s="259" t="n"/>
      <c r="J4" s="259" t="n"/>
      <c r="K4" s="259" t="n"/>
      <c r="L4" s="259" t="n"/>
      <c r="M4" s="259" t="n"/>
      <c r="N4" s="259" t="n"/>
      <c r="O4" s="259" t="n"/>
      <c r="P4" s="259" t="n"/>
      <c r="Q4" s="259" t="n"/>
      <c r="R4" s="259" t="n"/>
      <c r="S4" s="259" t="n"/>
      <c r="T4" s="259" t="n"/>
      <c r="U4" s="259" t="n"/>
      <c r="V4" s="259" t="n"/>
      <c r="W4" s="259" t="n"/>
      <c r="X4" s="259" t="n"/>
      <c r="Y4" s="259" t="n"/>
      <c r="Z4" s="259" t="n"/>
      <c r="AA4" s="259" t="n"/>
      <c r="AB4" s="259" t="n"/>
      <c r="AC4" s="259" t="n"/>
      <c r="AD4" s="259" t="n"/>
      <c r="AE4" s="259" t="n"/>
      <c r="AF4" s="259" t="n"/>
      <c r="AG4" s="259" t="n"/>
      <c r="AH4" s="259" t="n"/>
      <c r="AI4" s="259" t="n"/>
      <c r="AJ4" s="262" t="inlineStr">
        <is>
          <t>Total</t>
        </is>
      </c>
      <c r="AK4" s="262" t="inlineStr">
        <is>
          <t>Reason</t>
        </is>
      </c>
      <c r="AL4" s="262" t="inlineStr">
        <is>
          <t>Note</t>
        </is>
      </c>
    </row>
    <row r="5" ht="23.25" customHeight="1">
      <c r="B5" s="705" t="n"/>
      <c r="C5" s="705" t="n"/>
      <c r="D5" s="705" t="n"/>
      <c r="E5" s="259" t="inlineStr">
        <is>
          <t>Date</t>
        </is>
      </c>
      <c r="F5" s="260" t="n"/>
      <c r="G5" s="260" t="n"/>
      <c r="H5" s="260" t="n"/>
      <c r="I5" s="260" t="n"/>
      <c r="J5" s="260" t="n"/>
      <c r="K5" s="260" t="n"/>
      <c r="L5" s="260" t="n"/>
      <c r="M5" s="260" t="n"/>
      <c r="N5" s="260" t="n"/>
      <c r="O5" s="260" t="n"/>
      <c r="P5" s="260" t="n"/>
      <c r="Q5" s="260" t="n"/>
      <c r="R5" s="260" t="n"/>
      <c r="S5" s="260" t="n"/>
      <c r="T5" s="260" t="n"/>
      <c r="U5" s="260" t="n"/>
      <c r="V5" s="260" t="n"/>
      <c r="W5" s="260" t="n"/>
      <c r="X5" s="260" t="n"/>
      <c r="Y5" s="260" t="n"/>
      <c r="Z5" s="260" t="n"/>
      <c r="AA5" s="260" t="n"/>
      <c r="AB5" s="260" t="n"/>
      <c r="AC5" s="260" t="n"/>
      <c r="AD5" s="260" t="n"/>
      <c r="AE5" s="260" t="n"/>
      <c r="AF5" s="260" t="n"/>
      <c r="AG5" s="260" t="n"/>
      <c r="AH5" s="260" t="n"/>
      <c r="AI5" s="260" t="n"/>
      <c r="AJ5" s="705" t="n"/>
      <c r="AK5" s="705" t="n"/>
      <c r="AL5" s="705" t="n"/>
    </row>
    <row r="6" ht="23.25" customHeight="1">
      <c r="B6" s="700" t="n"/>
      <c r="C6" s="700" t="n"/>
      <c r="D6" s="700" t="n"/>
      <c r="E6" s="261" t="inlineStr">
        <is>
          <t>LT( Day)</t>
        </is>
      </c>
      <c r="F6" s="262" t="n"/>
      <c r="G6" s="262" t="n"/>
      <c r="H6" s="262" t="n"/>
      <c r="I6" s="262" t="n"/>
      <c r="J6" s="262" t="n"/>
      <c r="K6" s="262" t="n"/>
      <c r="L6" s="262" t="n"/>
      <c r="M6" s="262" t="n"/>
      <c r="N6" s="262" t="n"/>
      <c r="O6" s="262" t="n"/>
      <c r="P6" s="262" t="n"/>
      <c r="Q6" s="262" t="n"/>
      <c r="R6" s="262" t="n"/>
      <c r="S6" s="262" t="n"/>
      <c r="T6" s="262" t="n"/>
      <c r="U6" s="262" t="n"/>
      <c r="V6" s="262" t="n"/>
      <c r="W6" s="262" t="n"/>
      <c r="X6" s="262" t="n"/>
      <c r="Y6" s="262" t="n"/>
      <c r="Z6" s="262" t="n"/>
      <c r="AA6" s="262" t="n"/>
      <c r="AB6" s="262" t="n"/>
      <c r="AC6" s="262" t="n"/>
      <c r="AD6" s="262" t="n"/>
      <c r="AE6" s="262" t="n"/>
      <c r="AF6" s="262" t="n"/>
      <c r="AG6" s="262" t="n"/>
      <c r="AH6" s="262" t="n"/>
      <c r="AI6" s="262" t="n"/>
      <c r="AJ6" s="700" t="n"/>
      <c r="AK6" s="700" t="n"/>
      <c r="AL6" s="700" t="n"/>
    </row>
    <row r="7" ht="17.25" customHeight="1">
      <c r="B7" s="706" t="n"/>
      <c r="C7" s="707" t="n"/>
      <c r="D7" s="708" t="n"/>
      <c r="E7" s="263" t="inlineStr">
        <is>
          <t>Plan</t>
        </is>
      </c>
      <c r="F7" s="264" t="n"/>
      <c r="G7" s="267" t="n"/>
      <c r="H7" s="267" t="n"/>
      <c r="I7" s="266" t="n"/>
      <c r="J7" s="267" t="n"/>
      <c r="K7" s="267" t="n"/>
      <c r="L7" s="267" t="n"/>
      <c r="M7" s="267" t="n"/>
      <c r="N7" s="267" t="n"/>
      <c r="O7" s="267" t="n"/>
      <c r="P7" s="267" t="n"/>
      <c r="Q7" s="267" t="n"/>
      <c r="R7" s="267" t="n"/>
      <c r="S7" s="267" t="n"/>
      <c r="T7" s="267" t="n"/>
      <c r="U7" s="267" t="n"/>
      <c r="V7" s="267" t="n"/>
      <c r="W7" s="267" t="n"/>
      <c r="X7" s="267" t="n"/>
      <c r="Y7" s="267" t="n"/>
      <c r="Z7" s="267" t="n"/>
      <c r="AA7" s="267" t="n"/>
      <c r="AB7" s="267" t="n"/>
      <c r="AC7" s="267" t="n"/>
      <c r="AD7" s="267" t="n"/>
      <c r="AE7" s="267" t="n"/>
      <c r="AF7" s="267" t="n"/>
      <c r="AG7" s="267" t="n"/>
      <c r="AH7" s="267" t="n"/>
      <c r="AI7" s="267" t="n"/>
      <c r="AJ7" s="268">
        <f>SUM(I7:AB7)</f>
        <v/>
      </c>
      <c r="AK7" s="267" t="n"/>
      <c r="AL7" s="269" t="n"/>
    </row>
    <row r="8" ht="17.25" customHeight="1">
      <c r="B8" s="705" t="n"/>
      <c r="C8" s="700" t="n"/>
      <c r="D8" s="700" t="n"/>
      <c r="E8" s="263" t="inlineStr">
        <is>
          <t>ACT</t>
        </is>
      </c>
      <c r="F8" s="264" t="n"/>
      <c r="G8" s="267" t="n"/>
      <c r="H8" s="267" t="n"/>
      <c r="I8" s="266" t="n"/>
      <c r="J8" s="267" t="n"/>
      <c r="K8" s="267" t="n"/>
      <c r="L8" s="267" t="n"/>
      <c r="M8" s="267" t="n"/>
      <c r="N8" s="267" t="n"/>
      <c r="O8" s="267" t="n"/>
      <c r="P8" s="267" t="n"/>
      <c r="Q8" s="267" t="n"/>
      <c r="R8" s="267" t="n"/>
      <c r="S8" s="267" t="n"/>
      <c r="T8" s="267" t="n"/>
      <c r="U8" s="267" t="n"/>
      <c r="V8" s="267" t="n"/>
      <c r="W8" s="267" t="n"/>
      <c r="X8" s="267" t="n"/>
      <c r="Y8" s="267" t="n"/>
      <c r="Z8" s="267" t="n"/>
      <c r="AA8" s="267" t="n"/>
      <c r="AB8" s="267" t="n"/>
      <c r="AC8" s="267" t="n"/>
      <c r="AD8" s="267" t="n"/>
      <c r="AE8" s="267" t="n"/>
      <c r="AF8" s="267" t="n"/>
      <c r="AG8" s="267" t="n"/>
      <c r="AH8" s="267" t="n"/>
      <c r="AI8" s="267" t="n"/>
      <c r="AJ8" s="271">
        <f>SUM(I8:AB8)</f>
        <v/>
      </c>
      <c r="AK8" s="270" t="n"/>
      <c r="AL8" s="272" t="n"/>
    </row>
    <row r="9" ht="17.25" customHeight="1">
      <c r="B9" s="705" t="n"/>
      <c r="C9" s="707" t="n"/>
      <c r="D9" s="708" t="n"/>
      <c r="E9" s="263" t="inlineStr">
        <is>
          <t>Plan</t>
        </is>
      </c>
      <c r="F9" s="264" t="n"/>
      <c r="G9" s="267" t="n"/>
      <c r="H9" s="267" t="n"/>
      <c r="I9" s="266" t="n"/>
      <c r="J9" s="267" t="n"/>
      <c r="K9" s="267" t="n"/>
      <c r="L9" s="267" t="n"/>
      <c r="M9" s="267" t="n"/>
      <c r="N9" s="267" t="n"/>
      <c r="O9" s="267" t="n"/>
      <c r="P9" s="267" t="n"/>
      <c r="Q9" s="267" t="n"/>
      <c r="R9" s="267" t="n"/>
      <c r="S9" s="267" t="n"/>
      <c r="T9" s="267" t="n"/>
      <c r="U9" s="267" t="n"/>
      <c r="V9" s="267" t="n"/>
      <c r="W9" s="267" t="n"/>
      <c r="X9" s="267" t="n"/>
      <c r="Y9" s="267" t="n"/>
      <c r="Z9" s="267" t="n"/>
      <c r="AA9" s="267" t="n"/>
      <c r="AB9" s="267" t="n"/>
      <c r="AC9" s="267" t="n"/>
      <c r="AD9" s="267" t="n"/>
      <c r="AE9" s="267" t="n"/>
      <c r="AF9" s="267" t="n"/>
      <c r="AG9" s="267" t="n"/>
      <c r="AH9" s="267" t="n"/>
      <c r="AI9" s="267" t="n"/>
      <c r="AJ9" s="271">
        <f>SUM(I9:AB9)</f>
        <v/>
      </c>
      <c r="AK9" s="270" t="n"/>
      <c r="AL9" s="272" t="n"/>
    </row>
    <row r="10" ht="17.25" customHeight="1">
      <c r="B10" s="705" t="n"/>
      <c r="C10" s="700" t="n"/>
      <c r="D10" s="700" t="n"/>
      <c r="E10" s="263" t="inlineStr">
        <is>
          <t>ACT</t>
        </is>
      </c>
      <c r="F10" s="264" t="n"/>
      <c r="G10" s="267" t="n"/>
      <c r="H10" s="267" t="n"/>
      <c r="I10" s="266" t="n"/>
      <c r="J10" s="267" t="n"/>
      <c r="K10" s="267" t="n"/>
      <c r="L10" s="267" t="n"/>
      <c r="M10" s="267" t="n"/>
      <c r="N10" s="267" t="n"/>
      <c r="O10" s="267" t="n"/>
      <c r="P10" s="267" t="n"/>
      <c r="Q10" s="267" t="n"/>
      <c r="R10" s="267" t="n"/>
      <c r="S10" s="267" t="n"/>
      <c r="T10" s="267" t="n"/>
      <c r="U10" s="267" t="n"/>
      <c r="V10" s="267" t="n"/>
      <c r="W10" s="267" t="n"/>
      <c r="X10" s="267" t="n"/>
      <c r="Y10" s="267" t="n"/>
      <c r="Z10" s="267" t="n"/>
      <c r="AA10" s="267" t="n"/>
      <c r="AB10" s="267" t="n"/>
      <c r="AC10" s="267" t="n"/>
      <c r="AD10" s="267" t="n"/>
      <c r="AE10" s="267" t="n"/>
      <c r="AF10" s="267" t="n"/>
      <c r="AG10" s="267" t="n"/>
      <c r="AH10" s="267" t="n"/>
      <c r="AI10" s="267" t="n"/>
      <c r="AJ10" s="271">
        <f>SUM(I10:AB10)</f>
        <v/>
      </c>
      <c r="AK10" s="270" t="n"/>
      <c r="AL10" s="272" t="n"/>
    </row>
    <row r="11" ht="17.25" customHeight="1">
      <c r="B11" s="705" t="n"/>
      <c r="C11" s="707" t="n"/>
      <c r="D11" s="708" t="n"/>
      <c r="E11" s="263" t="inlineStr">
        <is>
          <t>Plan</t>
        </is>
      </c>
      <c r="F11" s="264" t="n"/>
      <c r="G11" s="267" t="n"/>
      <c r="H11" s="267" t="n"/>
      <c r="I11" s="266" t="n"/>
      <c r="J11" s="267" t="n"/>
      <c r="K11" s="267" t="n"/>
      <c r="L11" s="267" t="n"/>
      <c r="M11" s="267" t="n"/>
      <c r="N11" s="267" t="n"/>
      <c r="O11" s="267" t="n"/>
      <c r="P11" s="267" t="n"/>
      <c r="Q11" s="267" t="n"/>
      <c r="R11" s="267" t="n"/>
      <c r="S11" s="267" t="n"/>
      <c r="T11" s="267" t="n"/>
      <c r="U11" s="267" t="n"/>
      <c r="V11" s="267" t="n"/>
      <c r="W11" s="267" t="n"/>
      <c r="X11" s="267" t="n"/>
      <c r="Y11" s="267" t="n"/>
      <c r="Z11" s="267" t="n"/>
      <c r="AA11" s="267" t="n"/>
      <c r="AB11" s="267" t="n"/>
      <c r="AC11" s="267" t="n"/>
      <c r="AD11" s="267" t="n"/>
      <c r="AE11" s="267" t="n"/>
      <c r="AF11" s="267" t="n"/>
      <c r="AG11" s="267" t="n"/>
      <c r="AH11" s="267" t="n"/>
      <c r="AI11" s="267" t="n"/>
      <c r="AJ11" s="271">
        <f>SUM(I11:AB11)</f>
        <v/>
      </c>
      <c r="AK11" s="270" t="n"/>
      <c r="AL11" s="272" t="n"/>
    </row>
    <row r="12" ht="17.25" customHeight="1">
      <c r="B12" s="705" t="n"/>
      <c r="C12" s="700" t="n"/>
      <c r="D12" s="700" t="n"/>
      <c r="E12" s="263" t="inlineStr">
        <is>
          <t>ACT</t>
        </is>
      </c>
      <c r="F12" s="264" t="n"/>
      <c r="G12" s="267" t="n"/>
      <c r="H12" s="267" t="n"/>
      <c r="I12" s="266" t="n"/>
      <c r="J12" s="267" t="n"/>
      <c r="K12" s="267" t="n"/>
      <c r="L12" s="267" t="n"/>
      <c r="M12" s="267" t="n"/>
      <c r="N12" s="267" t="n"/>
      <c r="O12" s="267" t="n"/>
      <c r="P12" s="267" t="n"/>
      <c r="Q12" s="267" t="n"/>
      <c r="R12" s="267" t="n"/>
      <c r="S12" s="267" t="n"/>
      <c r="T12" s="267" t="n"/>
      <c r="U12" s="267" t="n"/>
      <c r="V12" s="267" t="n"/>
      <c r="W12" s="267" t="n"/>
      <c r="X12" s="267" t="n"/>
      <c r="Y12" s="267" t="n"/>
      <c r="Z12" s="267" t="n"/>
      <c r="AA12" s="267" t="n"/>
      <c r="AB12" s="267" t="n"/>
      <c r="AC12" s="267" t="n"/>
      <c r="AD12" s="267" t="n"/>
      <c r="AE12" s="267" t="n"/>
      <c r="AF12" s="267" t="n"/>
      <c r="AG12" s="267" t="n"/>
      <c r="AH12" s="267" t="n"/>
      <c r="AI12" s="267" t="n"/>
      <c r="AJ12" s="271">
        <f>SUM(I12:AB12)</f>
        <v/>
      </c>
      <c r="AK12" s="270" t="n"/>
      <c r="AL12" s="272" t="n"/>
    </row>
    <row r="13" ht="17.25" customHeight="1">
      <c r="B13" s="705" t="n"/>
      <c r="C13" s="707" t="n"/>
      <c r="D13" s="708" t="n"/>
      <c r="E13" s="263" t="inlineStr">
        <is>
          <t>Plan</t>
        </is>
      </c>
      <c r="F13" s="264" t="n"/>
      <c r="G13" s="267" t="n"/>
      <c r="H13" s="267" t="n"/>
      <c r="I13" s="266" t="n"/>
      <c r="J13" s="267" t="n"/>
      <c r="K13" s="267" t="n"/>
      <c r="L13" s="267" t="n"/>
      <c r="M13" s="267" t="n"/>
      <c r="N13" s="267" t="n"/>
      <c r="O13" s="267" t="n"/>
      <c r="P13" s="267" t="n"/>
      <c r="Q13" s="267" t="n"/>
      <c r="R13" s="267" t="n"/>
      <c r="S13" s="267" t="n"/>
      <c r="T13" s="267" t="n"/>
      <c r="U13" s="267" t="n"/>
      <c r="V13" s="267" t="n"/>
      <c r="W13" s="267" t="n"/>
      <c r="X13" s="267" t="n"/>
      <c r="Y13" s="267" t="n"/>
      <c r="Z13" s="267" t="n"/>
      <c r="AA13" s="267" t="n"/>
      <c r="AB13" s="267" t="n"/>
      <c r="AC13" s="267" t="n"/>
      <c r="AD13" s="267" t="n"/>
      <c r="AE13" s="267" t="n"/>
      <c r="AF13" s="267" t="n"/>
      <c r="AG13" s="267" t="n"/>
      <c r="AH13" s="267" t="n"/>
      <c r="AI13" s="267" t="n"/>
      <c r="AJ13" s="271">
        <f>SUM(I13:AB13)</f>
        <v/>
      </c>
      <c r="AK13" s="270" t="n"/>
      <c r="AL13" s="272" t="n"/>
    </row>
    <row r="14" ht="17.25" customHeight="1">
      <c r="B14" s="705" t="n"/>
      <c r="C14" s="700" t="n"/>
      <c r="D14" s="700" t="n"/>
      <c r="E14" s="263" t="inlineStr">
        <is>
          <t>ACT</t>
        </is>
      </c>
      <c r="F14" s="264" t="n"/>
      <c r="G14" s="267" t="n"/>
      <c r="H14" s="267" t="n"/>
      <c r="I14" s="266" t="n"/>
      <c r="J14" s="267" t="n"/>
      <c r="K14" s="267" t="n"/>
      <c r="L14" s="267" t="n"/>
      <c r="M14" s="267" t="n"/>
      <c r="N14" s="267" t="n"/>
      <c r="O14" s="267" t="n"/>
      <c r="P14" s="267" t="n"/>
      <c r="Q14" s="267" t="n"/>
      <c r="R14" s="267" t="n"/>
      <c r="S14" s="267" t="n"/>
      <c r="T14" s="267" t="n"/>
      <c r="U14" s="267" t="n"/>
      <c r="V14" s="267" t="n"/>
      <c r="W14" s="267" t="n"/>
      <c r="X14" s="267" t="n"/>
      <c r="Y14" s="267" t="n"/>
      <c r="Z14" s="267" t="n"/>
      <c r="AA14" s="267" t="n"/>
      <c r="AB14" s="267" t="n"/>
      <c r="AC14" s="267" t="n"/>
      <c r="AD14" s="267" t="n"/>
      <c r="AE14" s="267" t="n"/>
      <c r="AF14" s="267" t="n"/>
      <c r="AG14" s="267" t="n"/>
      <c r="AH14" s="267" t="n"/>
      <c r="AI14" s="267" t="n"/>
      <c r="AJ14" s="271">
        <f>SUM(I14:AB14)</f>
        <v/>
      </c>
      <c r="AK14" s="270" t="n"/>
      <c r="AL14" s="272" t="n"/>
    </row>
    <row r="15" ht="17.25" customHeight="1">
      <c r="B15" s="705" t="n"/>
      <c r="C15" s="707" t="n"/>
      <c r="D15" s="708" t="n"/>
      <c r="E15" s="263" t="inlineStr">
        <is>
          <t>Plan</t>
        </is>
      </c>
      <c r="F15" s="264" t="n"/>
      <c r="G15" s="267" t="n"/>
      <c r="H15" s="267" t="n"/>
      <c r="I15" s="266" t="n"/>
      <c r="J15" s="267" t="n"/>
      <c r="K15" s="267" t="n"/>
      <c r="L15" s="267" t="n"/>
      <c r="M15" s="267" t="n"/>
      <c r="N15" s="267" t="n"/>
      <c r="O15" s="267" t="n"/>
      <c r="P15" s="267" t="n"/>
      <c r="Q15" s="267" t="n"/>
      <c r="R15" s="267" t="n"/>
      <c r="S15" s="267" t="n"/>
      <c r="T15" s="267" t="n"/>
      <c r="U15" s="267" t="n"/>
      <c r="V15" s="267" t="n"/>
      <c r="W15" s="267" t="n"/>
      <c r="X15" s="267" t="n"/>
      <c r="Y15" s="267" t="n"/>
      <c r="Z15" s="267" t="n"/>
      <c r="AA15" s="267" t="n"/>
      <c r="AB15" s="267" t="n"/>
      <c r="AC15" s="267" t="n"/>
      <c r="AD15" s="267" t="n"/>
      <c r="AE15" s="267" t="n"/>
      <c r="AF15" s="267" t="n"/>
      <c r="AG15" s="267" t="n"/>
      <c r="AH15" s="267" t="n"/>
      <c r="AI15" s="267" t="n"/>
      <c r="AJ15" s="271">
        <f>SUM(I15:AB15)</f>
        <v/>
      </c>
      <c r="AK15" s="270" t="n"/>
      <c r="AL15" s="272" t="n"/>
    </row>
    <row r="16" ht="17.25" customHeight="1">
      <c r="B16" s="705" t="n"/>
      <c r="C16" s="700" t="n"/>
      <c r="D16" s="700" t="n"/>
      <c r="E16" s="263" t="inlineStr">
        <is>
          <t>ACT</t>
        </is>
      </c>
      <c r="F16" s="264" t="n"/>
      <c r="G16" s="267" t="n"/>
      <c r="H16" s="267" t="n"/>
      <c r="I16" s="266" t="n"/>
      <c r="J16" s="267" t="n"/>
      <c r="K16" s="267" t="n"/>
      <c r="L16" s="267" t="n"/>
      <c r="M16" s="267" t="n"/>
      <c r="N16" s="267" t="n"/>
      <c r="O16" s="267" t="n"/>
      <c r="P16" s="267" t="n"/>
      <c r="Q16" s="267" t="n"/>
      <c r="R16" s="267" t="n"/>
      <c r="S16" s="267" t="n"/>
      <c r="T16" s="267" t="n"/>
      <c r="U16" s="267" t="n"/>
      <c r="V16" s="267" t="n"/>
      <c r="W16" s="267" t="n"/>
      <c r="X16" s="267" t="n"/>
      <c r="Y16" s="267" t="n"/>
      <c r="Z16" s="267" t="n"/>
      <c r="AA16" s="267" t="n"/>
      <c r="AB16" s="267" t="n"/>
      <c r="AC16" s="267" t="n"/>
      <c r="AD16" s="267" t="n"/>
      <c r="AE16" s="267" t="n"/>
      <c r="AF16" s="267" t="n"/>
      <c r="AG16" s="267" t="n"/>
      <c r="AH16" s="267" t="n"/>
      <c r="AI16" s="267" t="n"/>
      <c r="AJ16" s="271">
        <f>SUM(I16:AB16)</f>
        <v/>
      </c>
      <c r="AK16" s="270" t="n"/>
      <c r="AL16" s="272" t="n"/>
    </row>
    <row r="17" ht="17.25" customHeight="1">
      <c r="B17" s="705" t="n"/>
      <c r="C17" s="707" t="n"/>
      <c r="D17" s="708" t="n"/>
      <c r="E17" s="263" t="inlineStr">
        <is>
          <t>Plan</t>
        </is>
      </c>
      <c r="F17" s="264" t="n"/>
      <c r="G17" s="267" t="n"/>
      <c r="H17" s="267" t="n"/>
      <c r="I17" s="266" t="n"/>
      <c r="J17" s="267" t="n"/>
      <c r="K17" s="267" t="n"/>
      <c r="L17" s="267" t="n"/>
      <c r="M17" s="267" t="n"/>
      <c r="N17" s="267" t="n"/>
      <c r="O17" s="267" t="n"/>
      <c r="P17" s="267" t="n"/>
      <c r="Q17" s="267" t="n"/>
      <c r="R17" s="267" t="n"/>
      <c r="S17" s="267" t="n"/>
      <c r="T17" s="267" t="n"/>
      <c r="U17" s="267" t="n"/>
      <c r="V17" s="267" t="n"/>
      <c r="W17" s="267" t="n"/>
      <c r="X17" s="267" t="n"/>
      <c r="Y17" s="267" t="n"/>
      <c r="Z17" s="267" t="n"/>
      <c r="AA17" s="267" t="n"/>
      <c r="AB17" s="267" t="n"/>
      <c r="AC17" s="267" t="n"/>
      <c r="AD17" s="267" t="n"/>
      <c r="AE17" s="267" t="n"/>
      <c r="AF17" s="267" t="n"/>
      <c r="AG17" s="267" t="n"/>
      <c r="AH17" s="267" t="n"/>
      <c r="AI17" s="267" t="n"/>
      <c r="AJ17" s="271">
        <f>SUM(I17:AB17)</f>
        <v/>
      </c>
      <c r="AK17" s="270" t="n"/>
      <c r="AL17" s="272" t="n"/>
    </row>
    <row r="18" ht="17.25" customHeight="1">
      <c r="B18" s="700" t="n"/>
      <c r="C18" s="700" t="n"/>
      <c r="D18" s="700" t="n"/>
      <c r="E18" s="263" t="inlineStr">
        <is>
          <t>ACT</t>
        </is>
      </c>
      <c r="F18" s="264" t="n"/>
      <c r="G18" s="267" t="n"/>
      <c r="H18" s="267" t="n"/>
      <c r="I18" s="266" t="n"/>
      <c r="J18" s="267" t="n"/>
      <c r="K18" s="267" t="n"/>
      <c r="L18" s="267" t="n"/>
      <c r="M18" s="267" t="n"/>
      <c r="N18" s="267" t="n"/>
      <c r="O18" s="267" t="n"/>
      <c r="P18" s="267" t="n"/>
      <c r="Q18" s="267" t="n"/>
      <c r="R18" s="267" t="n"/>
      <c r="S18" s="267" t="n"/>
      <c r="T18" s="267" t="n"/>
      <c r="U18" s="267" t="n"/>
      <c r="V18" s="267" t="n"/>
      <c r="W18" s="267" t="n"/>
      <c r="X18" s="267" t="n"/>
      <c r="Y18" s="267" t="n"/>
      <c r="Z18" s="267" t="n"/>
      <c r="AA18" s="267" t="n"/>
      <c r="AB18" s="267" t="n"/>
      <c r="AC18" s="267" t="n"/>
      <c r="AD18" s="267" t="n"/>
      <c r="AE18" s="267" t="n"/>
      <c r="AF18" s="267" t="n"/>
      <c r="AG18" s="267" t="n"/>
      <c r="AH18" s="267" t="n"/>
      <c r="AI18" s="267" t="n"/>
      <c r="AJ18" s="271">
        <f>SUM(I18:AB18)</f>
        <v/>
      </c>
      <c r="AK18" s="270" t="n"/>
      <c r="AL18" s="272" t="n"/>
    </row>
    <row r="19">
      <c r="B19" s="530" t="inlineStr">
        <is>
          <t>R&amp;D.04.00.11 (2017/03/27/Rev:00)</t>
        </is>
      </c>
      <c r="C19" s="633" t="n"/>
      <c r="D19" s="633" t="n"/>
    </row>
  </sheetData>
  <mergeCells count="23">
    <mergeCell ref="D4:D6"/>
    <mergeCell ref="D17:D18"/>
    <mergeCell ref="D11:D12"/>
    <mergeCell ref="B7:B18"/>
    <mergeCell ref="C9:C10"/>
    <mergeCell ref="B19:D19"/>
    <mergeCell ref="AJ4:AJ6"/>
    <mergeCell ref="B4:B6"/>
    <mergeCell ref="AL4:AL6"/>
    <mergeCell ref="D13:D14"/>
    <mergeCell ref="D7:D8"/>
    <mergeCell ref="C11:C12"/>
    <mergeCell ref="D15:D16"/>
    <mergeCell ref="D9:D10"/>
    <mergeCell ref="G1:U1"/>
    <mergeCell ref="C17:C18"/>
    <mergeCell ref="AK4:AK6"/>
    <mergeCell ref="C7:C8"/>
    <mergeCell ref="C4:C6"/>
    <mergeCell ref="C13:C14"/>
    <mergeCell ref="B3:D3"/>
    <mergeCell ref="C15:C16"/>
    <mergeCell ref="B2:D2"/>
  </mergeCells>
  <pageMargins left="0.7" right="0.7" top="0.75" bottom="0.75" header="0.3" footer="0.3"/>
  <pageSetup orientation="landscape" paperSize="9" scale="57" fitToHeight="0"/>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H199"/>
  <sheetViews>
    <sheetView view="pageBreakPreview" zoomScale="55" zoomScaleNormal="55" zoomScaleSheetLayoutView="55" workbookViewId="0">
      <selection activeCell="AB10" sqref="AB10"/>
    </sheetView>
  </sheetViews>
  <sheetFormatPr baseColWidth="8" defaultColWidth="17.6640625" defaultRowHeight="10.5"/>
  <cols>
    <col width="10.88671875" customWidth="1" style="155" min="1" max="1"/>
    <col width="9.33203125" customWidth="1" style="164" min="2" max="2"/>
    <col width="11.6640625" customWidth="1" style="155" min="3" max="3"/>
    <col width="10.44140625" customWidth="1" style="155" min="4" max="4"/>
    <col width="10.109375" customWidth="1" style="155" min="5" max="5"/>
    <col width="9.21875" customWidth="1" style="155" min="6" max="6"/>
    <col width="7.44140625" customWidth="1" style="155" min="7" max="7"/>
    <col width="7.109375" customWidth="1" style="155" min="8" max="24"/>
    <col width="6.33203125" customWidth="1" style="155" min="25" max="25"/>
    <col width="7.109375" customWidth="1" style="155" min="26" max="26"/>
    <col width="9.88671875" customWidth="1" style="155" min="27" max="27"/>
    <col width="7.109375" customWidth="1" style="155" min="28" max="28"/>
    <col width="11.109375" customWidth="1" style="155" min="29" max="29"/>
    <col width="7.109375" customWidth="1" style="155" min="30" max="32"/>
    <col width="7.44140625" customWidth="1" style="155" min="33" max="33"/>
    <col width="7.109375" customWidth="1" style="155" min="34" max="54"/>
    <col width="17.6640625" customWidth="1" style="155" min="55" max="256"/>
    <col width="10.88671875" customWidth="1" style="155" min="257" max="257"/>
    <col width="9.33203125" customWidth="1" style="155" min="258" max="258"/>
    <col width="11.6640625" customWidth="1" style="155" min="259" max="259"/>
    <col width="10.44140625" customWidth="1" style="155" min="260" max="260"/>
    <col width="10.109375" customWidth="1" style="155" min="261" max="261"/>
    <col width="9.21875" customWidth="1" style="155" min="262" max="262"/>
    <col width="7.44140625" customWidth="1" style="155" min="263" max="263"/>
    <col width="7.109375" customWidth="1" style="155" min="264" max="280"/>
    <col width="6.33203125" customWidth="1" style="155" min="281" max="281"/>
    <col width="7.109375" customWidth="1" style="155" min="282" max="282"/>
    <col width="9.88671875" customWidth="1" style="155" min="283" max="283"/>
    <col width="7.109375" customWidth="1" style="155" min="284" max="284"/>
    <col width="11.109375" customWidth="1" style="155" min="285" max="285"/>
    <col width="7.109375" customWidth="1" style="155" min="286" max="288"/>
    <col width="7.44140625" customWidth="1" style="155" min="289" max="289"/>
    <col width="7.109375" customWidth="1" style="155" min="290" max="310"/>
    <col width="17.6640625" customWidth="1" style="155" min="311" max="512"/>
    <col width="10.88671875" customWidth="1" style="155" min="513" max="513"/>
    <col width="9.33203125" customWidth="1" style="155" min="514" max="514"/>
    <col width="11.6640625" customWidth="1" style="155" min="515" max="515"/>
    <col width="10.44140625" customWidth="1" style="155" min="516" max="516"/>
    <col width="10.109375" customWidth="1" style="155" min="517" max="517"/>
    <col width="9.21875" customWidth="1" style="155" min="518" max="518"/>
    <col width="7.44140625" customWidth="1" style="155" min="519" max="519"/>
    <col width="7.109375" customWidth="1" style="155" min="520" max="536"/>
    <col width="6.33203125" customWidth="1" style="155" min="537" max="537"/>
    <col width="7.109375" customWidth="1" style="155" min="538" max="538"/>
    <col width="9.88671875" customWidth="1" style="155" min="539" max="539"/>
    <col width="7.109375" customWidth="1" style="155" min="540" max="540"/>
    <col width="11.109375" customWidth="1" style="155" min="541" max="541"/>
    <col width="7.109375" customWidth="1" style="155" min="542" max="544"/>
    <col width="7.44140625" customWidth="1" style="155" min="545" max="545"/>
    <col width="7.109375" customWidth="1" style="155" min="546" max="566"/>
    <col width="17.6640625" customWidth="1" style="155" min="567" max="768"/>
    <col width="10.88671875" customWidth="1" style="155" min="769" max="769"/>
    <col width="9.33203125" customWidth="1" style="155" min="770" max="770"/>
    <col width="11.6640625" customWidth="1" style="155" min="771" max="771"/>
    <col width="10.44140625" customWidth="1" style="155" min="772" max="772"/>
    <col width="10.109375" customWidth="1" style="155" min="773" max="773"/>
    <col width="9.21875" customWidth="1" style="155" min="774" max="774"/>
    <col width="7.44140625" customWidth="1" style="155" min="775" max="775"/>
    <col width="7.109375" customWidth="1" style="155" min="776" max="792"/>
    <col width="6.33203125" customWidth="1" style="155" min="793" max="793"/>
    <col width="7.109375" customWidth="1" style="155" min="794" max="794"/>
    <col width="9.88671875" customWidth="1" style="155" min="795" max="795"/>
    <col width="7.109375" customWidth="1" style="155" min="796" max="796"/>
    <col width="11.109375" customWidth="1" style="155" min="797" max="797"/>
    <col width="7.109375" customWidth="1" style="155" min="798" max="800"/>
    <col width="7.44140625" customWidth="1" style="155" min="801" max="801"/>
    <col width="7.109375" customWidth="1" style="155" min="802" max="822"/>
    <col width="17.6640625" customWidth="1" style="155" min="823" max="1024"/>
    <col width="10.88671875" customWidth="1" style="155" min="1025" max="1025"/>
    <col width="9.33203125" customWidth="1" style="155" min="1026" max="1026"/>
    <col width="11.6640625" customWidth="1" style="155" min="1027" max="1027"/>
    <col width="10.44140625" customWidth="1" style="155" min="1028" max="1028"/>
    <col width="10.109375" customWidth="1" style="155" min="1029" max="1029"/>
    <col width="9.21875" customWidth="1" style="155" min="1030" max="1030"/>
    <col width="7.44140625" customWidth="1" style="155" min="1031" max="1031"/>
    <col width="7.109375" customWidth="1" style="155" min="1032" max="1048"/>
    <col width="6.33203125" customWidth="1" style="155" min="1049" max="1049"/>
    <col width="7.109375" customWidth="1" style="155" min="1050" max="1050"/>
    <col width="9.88671875" customWidth="1" style="155" min="1051" max="1051"/>
    <col width="7.109375" customWidth="1" style="155" min="1052" max="1052"/>
    <col width="11.109375" customWidth="1" style="155" min="1053" max="1053"/>
    <col width="7.109375" customWidth="1" style="155" min="1054" max="1056"/>
    <col width="7.44140625" customWidth="1" style="155" min="1057" max="1057"/>
    <col width="7.109375" customWidth="1" style="155" min="1058" max="1078"/>
    <col width="17.6640625" customWidth="1" style="155" min="1079" max="1280"/>
    <col width="10.88671875" customWidth="1" style="155" min="1281" max="1281"/>
    <col width="9.33203125" customWidth="1" style="155" min="1282" max="1282"/>
    <col width="11.6640625" customWidth="1" style="155" min="1283" max="1283"/>
    <col width="10.44140625" customWidth="1" style="155" min="1284" max="1284"/>
    <col width="10.109375" customWidth="1" style="155" min="1285" max="1285"/>
    <col width="9.21875" customWidth="1" style="155" min="1286" max="1286"/>
    <col width="7.44140625" customWidth="1" style="155" min="1287" max="1287"/>
    <col width="7.109375" customWidth="1" style="155" min="1288" max="1304"/>
    <col width="6.33203125" customWidth="1" style="155" min="1305" max="1305"/>
    <col width="7.109375" customWidth="1" style="155" min="1306" max="1306"/>
    <col width="9.88671875" customWidth="1" style="155" min="1307" max="1307"/>
    <col width="7.109375" customWidth="1" style="155" min="1308" max="1308"/>
    <col width="11.109375" customWidth="1" style="155" min="1309" max="1309"/>
    <col width="7.109375" customWidth="1" style="155" min="1310" max="1312"/>
    <col width="7.44140625" customWidth="1" style="155" min="1313" max="1313"/>
    <col width="7.109375" customWidth="1" style="155" min="1314" max="1334"/>
    <col width="17.6640625" customWidth="1" style="155" min="1335" max="1536"/>
    <col width="10.88671875" customWidth="1" style="155" min="1537" max="1537"/>
    <col width="9.33203125" customWidth="1" style="155" min="1538" max="1538"/>
    <col width="11.6640625" customWidth="1" style="155" min="1539" max="1539"/>
    <col width="10.44140625" customWidth="1" style="155" min="1540" max="1540"/>
    <col width="10.109375" customWidth="1" style="155" min="1541" max="1541"/>
    <col width="9.21875" customWidth="1" style="155" min="1542" max="1542"/>
    <col width="7.44140625" customWidth="1" style="155" min="1543" max="1543"/>
    <col width="7.109375" customWidth="1" style="155" min="1544" max="1560"/>
    <col width="6.33203125" customWidth="1" style="155" min="1561" max="1561"/>
    <col width="7.109375" customWidth="1" style="155" min="1562" max="1562"/>
    <col width="9.88671875" customWidth="1" style="155" min="1563" max="1563"/>
    <col width="7.109375" customWidth="1" style="155" min="1564" max="1564"/>
    <col width="11.109375" customWidth="1" style="155" min="1565" max="1565"/>
    <col width="7.109375" customWidth="1" style="155" min="1566" max="1568"/>
    <col width="7.44140625" customWidth="1" style="155" min="1569" max="1569"/>
    <col width="7.109375" customWidth="1" style="155" min="1570" max="1590"/>
    <col width="17.6640625" customWidth="1" style="155" min="1591" max="1792"/>
    <col width="10.88671875" customWidth="1" style="155" min="1793" max="1793"/>
    <col width="9.33203125" customWidth="1" style="155" min="1794" max="1794"/>
    <col width="11.6640625" customWidth="1" style="155" min="1795" max="1795"/>
    <col width="10.44140625" customWidth="1" style="155" min="1796" max="1796"/>
    <col width="10.109375" customWidth="1" style="155" min="1797" max="1797"/>
    <col width="9.21875" customWidth="1" style="155" min="1798" max="1798"/>
    <col width="7.44140625" customWidth="1" style="155" min="1799" max="1799"/>
    <col width="7.109375" customWidth="1" style="155" min="1800" max="1816"/>
    <col width="6.33203125" customWidth="1" style="155" min="1817" max="1817"/>
    <col width="7.109375" customWidth="1" style="155" min="1818" max="1818"/>
    <col width="9.88671875" customWidth="1" style="155" min="1819" max="1819"/>
    <col width="7.109375" customWidth="1" style="155" min="1820" max="1820"/>
    <col width="11.109375" customWidth="1" style="155" min="1821" max="1821"/>
    <col width="7.109375" customWidth="1" style="155" min="1822" max="1824"/>
    <col width="7.44140625" customWidth="1" style="155" min="1825" max="1825"/>
    <col width="7.109375" customWidth="1" style="155" min="1826" max="1846"/>
    <col width="17.6640625" customWidth="1" style="155" min="1847" max="2048"/>
    <col width="10.88671875" customWidth="1" style="155" min="2049" max="2049"/>
    <col width="9.33203125" customWidth="1" style="155" min="2050" max="2050"/>
    <col width="11.6640625" customWidth="1" style="155" min="2051" max="2051"/>
    <col width="10.44140625" customWidth="1" style="155" min="2052" max="2052"/>
    <col width="10.109375" customWidth="1" style="155" min="2053" max="2053"/>
    <col width="9.21875" customWidth="1" style="155" min="2054" max="2054"/>
    <col width="7.44140625" customWidth="1" style="155" min="2055" max="2055"/>
    <col width="7.109375" customWidth="1" style="155" min="2056" max="2072"/>
    <col width="6.33203125" customWidth="1" style="155" min="2073" max="2073"/>
    <col width="7.109375" customWidth="1" style="155" min="2074" max="2074"/>
    <col width="9.88671875" customWidth="1" style="155" min="2075" max="2075"/>
    <col width="7.109375" customWidth="1" style="155" min="2076" max="2076"/>
    <col width="11.109375" customWidth="1" style="155" min="2077" max="2077"/>
    <col width="7.109375" customWidth="1" style="155" min="2078" max="2080"/>
    <col width="7.44140625" customWidth="1" style="155" min="2081" max="2081"/>
    <col width="7.109375" customWidth="1" style="155" min="2082" max="2102"/>
    <col width="17.6640625" customWidth="1" style="155" min="2103" max="2304"/>
    <col width="10.88671875" customWidth="1" style="155" min="2305" max="2305"/>
    <col width="9.33203125" customWidth="1" style="155" min="2306" max="2306"/>
    <col width="11.6640625" customWidth="1" style="155" min="2307" max="2307"/>
    <col width="10.44140625" customWidth="1" style="155" min="2308" max="2308"/>
    <col width="10.109375" customWidth="1" style="155" min="2309" max="2309"/>
    <col width="9.21875" customWidth="1" style="155" min="2310" max="2310"/>
    <col width="7.44140625" customWidth="1" style="155" min="2311" max="2311"/>
    <col width="7.109375" customWidth="1" style="155" min="2312" max="2328"/>
    <col width="6.33203125" customWidth="1" style="155" min="2329" max="2329"/>
    <col width="7.109375" customWidth="1" style="155" min="2330" max="2330"/>
    <col width="9.88671875" customWidth="1" style="155" min="2331" max="2331"/>
    <col width="7.109375" customWidth="1" style="155" min="2332" max="2332"/>
    <col width="11.109375" customWidth="1" style="155" min="2333" max="2333"/>
    <col width="7.109375" customWidth="1" style="155" min="2334" max="2336"/>
    <col width="7.44140625" customWidth="1" style="155" min="2337" max="2337"/>
    <col width="7.109375" customWidth="1" style="155" min="2338" max="2358"/>
    <col width="17.6640625" customWidth="1" style="155" min="2359" max="2560"/>
    <col width="10.88671875" customWidth="1" style="155" min="2561" max="2561"/>
    <col width="9.33203125" customWidth="1" style="155" min="2562" max="2562"/>
    <col width="11.6640625" customWidth="1" style="155" min="2563" max="2563"/>
    <col width="10.44140625" customWidth="1" style="155" min="2564" max="2564"/>
    <col width="10.109375" customWidth="1" style="155" min="2565" max="2565"/>
    <col width="9.21875" customWidth="1" style="155" min="2566" max="2566"/>
    <col width="7.44140625" customWidth="1" style="155" min="2567" max="2567"/>
    <col width="7.109375" customWidth="1" style="155" min="2568" max="2584"/>
    <col width="6.33203125" customWidth="1" style="155" min="2585" max="2585"/>
    <col width="7.109375" customWidth="1" style="155" min="2586" max="2586"/>
    <col width="9.88671875" customWidth="1" style="155" min="2587" max="2587"/>
    <col width="7.109375" customWidth="1" style="155" min="2588" max="2588"/>
    <col width="11.109375" customWidth="1" style="155" min="2589" max="2589"/>
    <col width="7.109375" customWidth="1" style="155" min="2590" max="2592"/>
    <col width="7.44140625" customWidth="1" style="155" min="2593" max="2593"/>
    <col width="7.109375" customWidth="1" style="155" min="2594" max="2614"/>
    <col width="17.6640625" customWidth="1" style="155" min="2615" max="2816"/>
    <col width="10.88671875" customWidth="1" style="155" min="2817" max="2817"/>
    <col width="9.33203125" customWidth="1" style="155" min="2818" max="2818"/>
    <col width="11.6640625" customWidth="1" style="155" min="2819" max="2819"/>
    <col width="10.44140625" customWidth="1" style="155" min="2820" max="2820"/>
    <col width="10.109375" customWidth="1" style="155" min="2821" max="2821"/>
    <col width="9.21875" customWidth="1" style="155" min="2822" max="2822"/>
    <col width="7.44140625" customWidth="1" style="155" min="2823" max="2823"/>
    <col width="7.109375" customWidth="1" style="155" min="2824" max="2840"/>
    <col width="6.33203125" customWidth="1" style="155" min="2841" max="2841"/>
    <col width="7.109375" customWidth="1" style="155" min="2842" max="2842"/>
    <col width="9.88671875" customWidth="1" style="155" min="2843" max="2843"/>
    <col width="7.109375" customWidth="1" style="155" min="2844" max="2844"/>
    <col width="11.109375" customWidth="1" style="155" min="2845" max="2845"/>
    <col width="7.109375" customWidth="1" style="155" min="2846" max="2848"/>
    <col width="7.44140625" customWidth="1" style="155" min="2849" max="2849"/>
    <col width="7.109375" customWidth="1" style="155" min="2850" max="2870"/>
    <col width="17.6640625" customWidth="1" style="155" min="2871" max="3072"/>
    <col width="10.88671875" customWidth="1" style="155" min="3073" max="3073"/>
    <col width="9.33203125" customWidth="1" style="155" min="3074" max="3074"/>
    <col width="11.6640625" customWidth="1" style="155" min="3075" max="3075"/>
    <col width="10.44140625" customWidth="1" style="155" min="3076" max="3076"/>
    <col width="10.109375" customWidth="1" style="155" min="3077" max="3077"/>
    <col width="9.21875" customWidth="1" style="155" min="3078" max="3078"/>
    <col width="7.44140625" customWidth="1" style="155" min="3079" max="3079"/>
    <col width="7.109375" customWidth="1" style="155" min="3080" max="3096"/>
    <col width="6.33203125" customWidth="1" style="155" min="3097" max="3097"/>
    <col width="7.109375" customWidth="1" style="155" min="3098" max="3098"/>
    <col width="9.88671875" customWidth="1" style="155" min="3099" max="3099"/>
    <col width="7.109375" customWidth="1" style="155" min="3100" max="3100"/>
    <col width="11.109375" customWidth="1" style="155" min="3101" max="3101"/>
    <col width="7.109375" customWidth="1" style="155" min="3102" max="3104"/>
    <col width="7.44140625" customWidth="1" style="155" min="3105" max="3105"/>
    <col width="7.109375" customWidth="1" style="155" min="3106" max="3126"/>
    <col width="17.6640625" customWidth="1" style="155" min="3127" max="3328"/>
    <col width="10.88671875" customWidth="1" style="155" min="3329" max="3329"/>
    <col width="9.33203125" customWidth="1" style="155" min="3330" max="3330"/>
    <col width="11.6640625" customWidth="1" style="155" min="3331" max="3331"/>
    <col width="10.44140625" customWidth="1" style="155" min="3332" max="3332"/>
    <col width="10.109375" customWidth="1" style="155" min="3333" max="3333"/>
    <col width="9.21875" customWidth="1" style="155" min="3334" max="3334"/>
    <col width="7.44140625" customWidth="1" style="155" min="3335" max="3335"/>
    <col width="7.109375" customWidth="1" style="155" min="3336" max="3352"/>
    <col width="6.33203125" customWidth="1" style="155" min="3353" max="3353"/>
    <col width="7.109375" customWidth="1" style="155" min="3354" max="3354"/>
    <col width="9.88671875" customWidth="1" style="155" min="3355" max="3355"/>
    <col width="7.109375" customWidth="1" style="155" min="3356" max="3356"/>
    <col width="11.109375" customWidth="1" style="155" min="3357" max="3357"/>
    <col width="7.109375" customWidth="1" style="155" min="3358" max="3360"/>
    <col width="7.44140625" customWidth="1" style="155" min="3361" max="3361"/>
    <col width="7.109375" customWidth="1" style="155" min="3362" max="3382"/>
    <col width="17.6640625" customWidth="1" style="155" min="3383" max="3584"/>
    <col width="10.88671875" customWidth="1" style="155" min="3585" max="3585"/>
    <col width="9.33203125" customWidth="1" style="155" min="3586" max="3586"/>
    <col width="11.6640625" customWidth="1" style="155" min="3587" max="3587"/>
    <col width="10.44140625" customWidth="1" style="155" min="3588" max="3588"/>
    <col width="10.109375" customWidth="1" style="155" min="3589" max="3589"/>
    <col width="9.21875" customWidth="1" style="155" min="3590" max="3590"/>
    <col width="7.44140625" customWidth="1" style="155" min="3591" max="3591"/>
    <col width="7.109375" customWidth="1" style="155" min="3592" max="3608"/>
    <col width="6.33203125" customWidth="1" style="155" min="3609" max="3609"/>
    <col width="7.109375" customWidth="1" style="155" min="3610" max="3610"/>
    <col width="9.88671875" customWidth="1" style="155" min="3611" max="3611"/>
    <col width="7.109375" customWidth="1" style="155" min="3612" max="3612"/>
    <col width="11.109375" customWidth="1" style="155" min="3613" max="3613"/>
    <col width="7.109375" customWidth="1" style="155" min="3614" max="3616"/>
    <col width="7.44140625" customWidth="1" style="155" min="3617" max="3617"/>
    <col width="7.109375" customWidth="1" style="155" min="3618" max="3638"/>
    <col width="17.6640625" customWidth="1" style="155" min="3639" max="3840"/>
    <col width="10.88671875" customWidth="1" style="155" min="3841" max="3841"/>
    <col width="9.33203125" customWidth="1" style="155" min="3842" max="3842"/>
    <col width="11.6640625" customWidth="1" style="155" min="3843" max="3843"/>
    <col width="10.44140625" customWidth="1" style="155" min="3844" max="3844"/>
    <col width="10.109375" customWidth="1" style="155" min="3845" max="3845"/>
    <col width="9.21875" customWidth="1" style="155" min="3846" max="3846"/>
    <col width="7.44140625" customWidth="1" style="155" min="3847" max="3847"/>
    <col width="7.109375" customWidth="1" style="155" min="3848" max="3864"/>
    <col width="6.33203125" customWidth="1" style="155" min="3865" max="3865"/>
    <col width="7.109375" customWidth="1" style="155" min="3866" max="3866"/>
    <col width="9.88671875" customWidth="1" style="155" min="3867" max="3867"/>
    <col width="7.109375" customWidth="1" style="155" min="3868" max="3868"/>
    <col width="11.109375" customWidth="1" style="155" min="3869" max="3869"/>
    <col width="7.109375" customWidth="1" style="155" min="3870" max="3872"/>
    <col width="7.44140625" customWidth="1" style="155" min="3873" max="3873"/>
    <col width="7.109375" customWidth="1" style="155" min="3874" max="3894"/>
    <col width="17.6640625" customWidth="1" style="155" min="3895" max="4096"/>
    <col width="10.88671875" customWidth="1" style="155" min="4097" max="4097"/>
    <col width="9.33203125" customWidth="1" style="155" min="4098" max="4098"/>
    <col width="11.6640625" customWidth="1" style="155" min="4099" max="4099"/>
    <col width="10.44140625" customWidth="1" style="155" min="4100" max="4100"/>
    <col width="10.109375" customWidth="1" style="155" min="4101" max="4101"/>
    <col width="9.21875" customWidth="1" style="155" min="4102" max="4102"/>
    <col width="7.44140625" customWidth="1" style="155" min="4103" max="4103"/>
    <col width="7.109375" customWidth="1" style="155" min="4104" max="4120"/>
    <col width="6.33203125" customWidth="1" style="155" min="4121" max="4121"/>
    <col width="7.109375" customWidth="1" style="155" min="4122" max="4122"/>
    <col width="9.88671875" customWidth="1" style="155" min="4123" max="4123"/>
    <col width="7.109375" customWidth="1" style="155" min="4124" max="4124"/>
    <col width="11.109375" customWidth="1" style="155" min="4125" max="4125"/>
    <col width="7.109375" customWidth="1" style="155" min="4126" max="4128"/>
    <col width="7.44140625" customWidth="1" style="155" min="4129" max="4129"/>
    <col width="7.109375" customWidth="1" style="155" min="4130" max="4150"/>
    <col width="17.6640625" customWidth="1" style="155" min="4151" max="4352"/>
    <col width="10.88671875" customWidth="1" style="155" min="4353" max="4353"/>
    <col width="9.33203125" customWidth="1" style="155" min="4354" max="4354"/>
    <col width="11.6640625" customWidth="1" style="155" min="4355" max="4355"/>
    <col width="10.44140625" customWidth="1" style="155" min="4356" max="4356"/>
    <col width="10.109375" customWidth="1" style="155" min="4357" max="4357"/>
    <col width="9.21875" customWidth="1" style="155" min="4358" max="4358"/>
    <col width="7.44140625" customWidth="1" style="155" min="4359" max="4359"/>
    <col width="7.109375" customWidth="1" style="155" min="4360" max="4376"/>
    <col width="6.33203125" customWidth="1" style="155" min="4377" max="4377"/>
    <col width="7.109375" customWidth="1" style="155" min="4378" max="4378"/>
    <col width="9.88671875" customWidth="1" style="155" min="4379" max="4379"/>
    <col width="7.109375" customWidth="1" style="155" min="4380" max="4380"/>
    <col width="11.109375" customWidth="1" style="155" min="4381" max="4381"/>
    <col width="7.109375" customWidth="1" style="155" min="4382" max="4384"/>
    <col width="7.44140625" customWidth="1" style="155" min="4385" max="4385"/>
    <col width="7.109375" customWidth="1" style="155" min="4386" max="4406"/>
    <col width="17.6640625" customWidth="1" style="155" min="4407" max="4608"/>
    <col width="10.88671875" customWidth="1" style="155" min="4609" max="4609"/>
    <col width="9.33203125" customWidth="1" style="155" min="4610" max="4610"/>
    <col width="11.6640625" customWidth="1" style="155" min="4611" max="4611"/>
    <col width="10.44140625" customWidth="1" style="155" min="4612" max="4612"/>
    <col width="10.109375" customWidth="1" style="155" min="4613" max="4613"/>
    <col width="9.21875" customWidth="1" style="155" min="4614" max="4614"/>
    <col width="7.44140625" customWidth="1" style="155" min="4615" max="4615"/>
    <col width="7.109375" customWidth="1" style="155" min="4616" max="4632"/>
    <col width="6.33203125" customWidth="1" style="155" min="4633" max="4633"/>
    <col width="7.109375" customWidth="1" style="155" min="4634" max="4634"/>
    <col width="9.88671875" customWidth="1" style="155" min="4635" max="4635"/>
    <col width="7.109375" customWidth="1" style="155" min="4636" max="4636"/>
    <col width="11.109375" customWidth="1" style="155" min="4637" max="4637"/>
    <col width="7.109375" customWidth="1" style="155" min="4638" max="4640"/>
    <col width="7.44140625" customWidth="1" style="155" min="4641" max="4641"/>
    <col width="7.109375" customWidth="1" style="155" min="4642" max="4662"/>
    <col width="17.6640625" customWidth="1" style="155" min="4663" max="4864"/>
    <col width="10.88671875" customWidth="1" style="155" min="4865" max="4865"/>
    <col width="9.33203125" customWidth="1" style="155" min="4866" max="4866"/>
    <col width="11.6640625" customWidth="1" style="155" min="4867" max="4867"/>
    <col width="10.44140625" customWidth="1" style="155" min="4868" max="4868"/>
    <col width="10.109375" customWidth="1" style="155" min="4869" max="4869"/>
    <col width="9.21875" customWidth="1" style="155" min="4870" max="4870"/>
    <col width="7.44140625" customWidth="1" style="155" min="4871" max="4871"/>
    <col width="7.109375" customWidth="1" style="155" min="4872" max="4888"/>
    <col width="6.33203125" customWidth="1" style="155" min="4889" max="4889"/>
    <col width="7.109375" customWidth="1" style="155" min="4890" max="4890"/>
    <col width="9.88671875" customWidth="1" style="155" min="4891" max="4891"/>
    <col width="7.109375" customWidth="1" style="155" min="4892" max="4892"/>
    <col width="11.109375" customWidth="1" style="155" min="4893" max="4893"/>
    <col width="7.109375" customWidth="1" style="155" min="4894" max="4896"/>
    <col width="7.44140625" customWidth="1" style="155" min="4897" max="4897"/>
    <col width="7.109375" customWidth="1" style="155" min="4898" max="4918"/>
    <col width="17.6640625" customWidth="1" style="155" min="4919" max="5120"/>
    <col width="10.88671875" customWidth="1" style="155" min="5121" max="5121"/>
    <col width="9.33203125" customWidth="1" style="155" min="5122" max="5122"/>
    <col width="11.6640625" customWidth="1" style="155" min="5123" max="5123"/>
    <col width="10.44140625" customWidth="1" style="155" min="5124" max="5124"/>
    <col width="10.109375" customWidth="1" style="155" min="5125" max="5125"/>
    <col width="9.21875" customWidth="1" style="155" min="5126" max="5126"/>
    <col width="7.44140625" customWidth="1" style="155" min="5127" max="5127"/>
    <col width="7.109375" customWidth="1" style="155" min="5128" max="5144"/>
    <col width="6.33203125" customWidth="1" style="155" min="5145" max="5145"/>
    <col width="7.109375" customWidth="1" style="155" min="5146" max="5146"/>
    <col width="9.88671875" customWidth="1" style="155" min="5147" max="5147"/>
    <col width="7.109375" customWidth="1" style="155" min="5148" max="5148"/>
    <col width="11.109375" customWidth="1" style="155" min="5149" max="5149"/>
    <col width="7.109375" customWidth="1" style="155" min="5150" max="5152"/>
    <col width="7.44140625" customWidth="1" style="155" min="5153" max="5153"/>
    <col width="7.109375" customWidth="1" style="155" min="5154" max="5174"/>
    <col width="17.6640625" customWidth="1" style="155" min="5175" max="5376"/>
    <col width="10.88671875" customWidth="1" style="155" min="5377" max="5377"/>
    <col width="9.33203125" customWidth="1" style="155" min="5378" max="5378"/>
    <col width="11.6640625" customWidth="1" style="155" min="5379" max="5379"/>
    <col width="10.44140625" customWidth="1" style="155" min="5380" max="5380"/>
    <col width="10.109375" customWidth="1" style="155" min="5381" max="5381"/>
    <col width="9.21875" customWidth="1" style="155" min="5382" max="5382"/>
    <col width="7.44140625" customWidth="1" style="155" min="5383" max="5383"/>
    <col width="7.109375" customWidth="1" style="155" min="5384" max="5400"/>
    <col width="6.33203125" customWidth="1" style="155" min="5401" max="5401"/>
    <col width="7.109375" customWidth="1" style="155" min="5402" max="5402"/>
    <col width="9.88671875" customWidth="1" style="155" min="5403" max="5403"/>
    <col width="7.109375" customWidth="1" style="155" min="5404" max="5404"/>
    <col width="11.109375" customWidth="1" style="155" min="5405" max="5405"/>
    <col width="7.109375" customWidth="1" style="155" min="5406" max="5408"/>
    <col width="7.44140625" customWidth="1" style="155" min="5409" max="5409"/>
    <col width="7.109375" customWidth="1" style="155" min="5410" max="5430"/>
    <col width="17.6640625" customWidth="1" style="155" min="5431" max="5632"/>
    <col width="10.88671875" customWidth="1" style="155" min="5633" max="5633"/>
    <col width="9.33203125" customWidth="1" style="155" min="5634" max="5634"/>
    <col width="11.6640625" customWidth="1" style="155" min="5635" max="5635"/>
    <col width="10.44140625" customWidth="1" style="155" min="5636" max="5636"/>
    <col width="10.109375" customWidth="1" style="155" min="5637" max="5637"/>
    <col width="9.21875" customWidth="1" style="155" min="5638" max="5638"/>
    <col width="7.44140625" customWidth="1" style="155" min="5639" max="5639"/>
    <col width="7.109375" customWidth="1" style="155" min="5640" max="5656"/>
    <col width="6.33203125" customWidth="1" style="155" min="5657" max="5657"/>
    <col width="7.109375" customWidth="1" style="155" min="5658" max="5658"/>
    <col width="9.88671875" customWidth="1" style="155" min="5659" max="5659"/>
    <col width="7.109375" customWidth="1" style="155" min="5660" max="5660"/>
    <col width="11.109375" customWidth="1" style="155" min="5661" max="5661"/>
    <col width="7.109375" customWidth="1" style="155" min="5662" max="5664"/>
    <col width="7.44140625" customWidth="1" style="155" min="5665" max="5665"/>
    <col width="7.109375" customWidth="1" style="155" min="5666" max="5686"/>
    <col width="17.6640625" customWidth="1" style="155" min="5687" max="5888"/>
    <col width="10.88671875" customWidth="1" style="155" min="5889" max="5889"/>
    <col width="9.33203125" customWidth="1" style="155" min="5890" max="5890"/>
    <col width="11.6640625" customWidth="1" style="155" min="5891" max="5891"/>
    <col width="10.44140625" customWidth="1" style="155" min="5892" max="5892"/>
    <col width="10.109375" customWidth="1" style="155" min="5893" max="5893"/>
    <col width="9.21875" customWidth="1" style="155" min="5894" max="5894"/>
    <col width="7.44140625" customWidth="1" style="155" min="5895" max="5895"/>
    <col width="7.109375" customWidth="1" style="155" min="5896" max="5912"/>
    <col width="6.33203125" customWidth="1" style="155" min="5913" max="5913"/>
    <col width="7.109375" customWidth="1" style="155" min="5914" max="5914"/>
    <col width="9.88671875" customWidth="1" style="155" min="5915" max="5915"/>
    <col width="7.109375" customWidth="1" style="155" min="5916" max="5916"/>
    <col width="11.109375" customWidth="1" style="155" min="5917" max="5917"/>
    <col width="7.109375" customWidth="1" style="155" min="5918" max="5920"/>
    <col width="7.44140625" customWidth="1" style="155" min="5921" max="5921"/>
    <col width="7.109375" customWidth="1" style="155" min="5922" max="5942"/>
    <col width="17.6640625" customWidth="1" style="155" min="5943" max="6144"/>
    <col width="10.88671875" customWidth="1" style="155" min="6145" max="6145"/>
    <col width="9.33203125" customWidth="1" style="155" min="6146" max="6146"/>
    <col width="11.6640625" customWidth="1" style="155" min="6147" max="6147"/>
    <col width="10.44140625" customWidth="1" style="155" min="6148" max="6148"/>
    <col width="10.109375" customWidth="1" style="155" min="6149" max="6149"/>
    <col width="9.21875" customWidth="1" style="155" min="6150" max="6150"/>
    <col width="7.44140625" customWidth="1" style="155" min="6151" max="6151"/>
    <col width="7.109375" customWidth="1" style="155" min="6152" max="6168"/>
    <col width="6.33203125" customWidth="1" style="155" min="6169" max="6169"/>
    <col width="7.109375" customWidth="1" style="155" min="6170" max="6170"/>
    <col width="9.88671875" customWidth="1" style="155" min="6171" max="6171"/>
    <col width="7.109375" customWidth="1" style="155" min="6172" max="6172"/>
    <col width="11.109375" customWidth="1" style="155" min="6173" max="6173"/>
    <col width="7.109375" customWidth="1" style="155" min="6174" max="6176"/>
    <col width="7.44140625" customWidth="1" style="155" min="6177" max="6177"/>
    <col width="7.109375" customWidth="1" style="155" min="6178" max="6198"/>
    <col width="17.6640625" customWidth="1" style="155" min="6199" max="6400"/>
    <col width="10.88671875" customWidth="1" style="155" min="6401" max="6401"/>
    <col width="9.33203125" customWidth="1" style="155" min="6402" max="6402"/>
    <col width="11.6640625" customWidth="1" style="155" min="6403" max="6403"/>
    <col width="10.44140625" customWidth="1" style="155" min="6404" max="6404"/>
    <col width="10.109375" customWidth="1" style="155" min="6405" max="6405"/>
    <col width="9.21875" customWidth="1" style="155" min="6406" max="6406"/>
    <col width="7.44140625" customWidth="1" style="155" min="6407" max="6407"/>
    <col width="7.109375" customWidth="1" style="155" min="6408" max="6424"/>
    <col width="6.33203125" customWidth="1" style="155" min="6425" max="6425"/>
    <col width="7.109375" customWidth="1" style="155" min="6426" max="6426"/>
    <col width="9.88671875" customWidth="1" style="155" min="6427" max="6427"/>
    <col width="7.109375" customWidth="1" style="155" min="6428" max="6428"/>
    <col width="11.109375" customWidth="1" style="155" min="6429" max="6429"/>
    <col width="7.109375" customWidth="1" style="155" min="6430" max="6432"/>
    <col width="7.44140625" customWidth="1" style="155" min="6433" max="6433"/>
    <col width="7.109375" customWidth="1" style="155" min="6434" max="6454"/>
    <col width="17.6640625" customWidth="1" style="155" min="6455" max="6656"/>
    <col width="10.88671875" customWidth="1" style="155" min="6657" max="6657"/>
    <col width="9.33203125" customWidth="1" style="155" min="6658" max="6658"/>
    <col width="11.6640625" customWidth="1" style="155" min="6659" max="6659"/>
    <col width="10.44140625" customWidth="1" style="155" min="6660" max="6660"/>
    <col width="10.109375" customWidth="1" style="155" min="6661" max="6661"/>
    <col width="9.21875" customWidth="1" style="155" min="6662" max="6662"/>
    <col width="7.44140625" customWidth="1" style="155" min="6663" max="6663"/>
    <col width="7.109375" customWidth="1" style="155" min="6664" max="6680"/>
    <col width="6.33203125" customWidth="1" style="155" min="6681" max="6681"/>
    <col width="7.109375" customWidth="1" style="155" min="6682" max="6682"/>
    <col width="9.88671875" customWidth="1" style="155" min="6683" max="6683"/>
    <col width="7.109375" customWidth="1" style="155" min="6684" max="6684"/>
    <col width="11.109375" customWidth="1" style="155" min="6685" max="6685"/>
    <col width="7.109375" customWidth="1" style="155" min="6686" max="6688"/>
    <col width="7.44140625" customWidth="1" style="155" min="6689" max="6689"/>
    <col width="7.109375" customWidth="1" style="155" min="6690" max="6710"/>
    <col width="17.6640625" customWidth="1" style="155" min="6711" max="6912"/>
    <col width="10.88671875" customWidth="1" style="155" min="6913" max="6913"/>
    <col width="9.33203125" customWidth="1" style="155" min="6914" max="6914"/>
    <col width="11.6640625" customWidth="1" style="155" min="6915" max="6915"/>
    <col width="10.44140625" customWidth="1" style="155" min="6916" max="6916"/>
    <col width="10.109375" customWidth="1" style="155" min="6917" max="6917"/>
    <col width="9.21875" customWidth="1" style="155" min="6918" max="6918"/>
    <col width="7.44140625" customWidth="1" style="155" min="6919" max="6919"/>
    <col width="7.109375" customWidth="1" style="155" min="6920" max="6936"/>
    <col width="6.33203125" customWidth="1" style="155" min="6937" max="6937"/>
    <col width="7.109375" customWidth="1" style="155" min="6938" max="6938"/>
    <col width="9.88671875" customWidth="1" style="155" min="6939" max="6939"/>
    <col width="7.109375" customWidth="1" style="155" min="6940" max="6940"/>
    <col width="11.109375" customWidth="1" style="155" min="6941" max="6941"/>
    <col width="7.109375" customWidth="1" style="155" min="6942" max="6944"/>
    <col width="7.44140625" customWidth="1" style="155" min="6945" max="6945"/>
    <col width="7.109375" customWidth="1" style="155" min="6946" max="6966"/>
    <col width="17.6640625" customWidth="1" style="155" min="6967" max="7168"/>
    <col width="10.88671875" customWidth="1" style="155" min="7169" max="7169"/>
    <col width="9.33203125" customWidth="1" style="155" min="7170" max="7170"/>
    <col width="11.6640625" customWidth="1" style="155" min="7171" max="7171"/>
    <col width="10.44140625" customWidth="1" style="155" min="7172" max="7172"/>
    <col width="10.109375" customWidth="1" style="155" min="7173" max="7173"/>
    <col width="9.21875" customWidth="1" style="155" min="7174" max="7174"/>
    <col width="7.44140625" customWidth="1" style="155" min="7175" max="7175"/>
    <col width="7.109375" customWidth="1" style="155" min="7176" max="7192"/>
    <col width="6.33203125" customWidth="1" style="155" min="7193" max="7193"/>
    <col width="7.109375" customWidth="1" style="155" min="7194" max="7194"/>
    <col width="9.88671875" customWidth="1" style="155" min="7195" max="7195"/>
    <col width="7.109375" customWidth="1" style="155" min="7196" max="7196"/>
    <col width="11.109375" customWidth="1" style="155" min="7197" max="7197"/>
    <col width="7.109375" customWidth="1" style="155" min="7198" max="7200"/>
    <col width="7.44140625" customWidth="1" style="155" min="7201" max="7201"/>
    <col width="7.109375" customWidth="1" style="155" min="7202" max="7222"/>
    <col width="17.6640625" customWidth="1" style="155" min="7223" max="7424"/>
    <col width="10.88671875" customWidth="1" style="155" min="7425" max="7425"/>
    <col width="9.33203125" customWidth="1" style="155" min="7426" max="7426"/>
    <col width="11.6640625" customWidth="1" style="155" min="7427" max="7427"/>
    <col width="10.44140625" customWidth="1" style="155" min="7428" max="7428"/>
    <col width="10.109375" customWidth="1" style="155" min="7429" max="7429"/>
    <col width="9.21875" customWidth="1" style="155" min="7430" max="7430"/>
    <col width="7.44140625" customWidth="1" style="155" min="7431" max="7431"/>
    <col width="7.109375" customWidth="1" style="155" min="7432" max="7448"/>
    <col width="6.33203125" customWidth="1" style="155" min="7449" max="7449"/>
    <col width="7.109375" customWidth="1" style="155" min="7450" max="7450"/>
    <col width="9.88671875" customWidth="1" style="155" min="7451" max="7451"/>
    <col width="7.109375" customWidth="1" style="155" min="7452" max="7452"/>
    <col width="11.109375" customWidth="1" style="155" min="7453" max="7453"/>
    <col width="7.109375" customWidth="1" style="155" min="7454" max="7456"/>
    <col width="7.44140625" customWidth="1" style="155" min="7457" max="7457"/>
    <col width="7.109375" customWidth="1" style="155" min="7458" max="7478"/>
    <col width="17.6640625" customWidth="1" style="155" min="7479" max="7680"/>
    <col width="10.88671875" customWidth="1" style="155" min="7681" max="7681"/>
    <col width="9.33203125" customWidth="1" style="155" min="7682" max="7682"/>
    <col width="11.6640625" customWidth="1" style="155" min="7683" max="7683"/>
    <col width="10.44140625" customWidth="1" style="155" min="7684" max="7684"/>
    <col width="10.109375" customWidth="1" style="155" min="7685" max="7685"/>
    <col width="9.21875" customWidth="1" style="155" min="7686" max="7686"/>
    <col width="7.44140625" customWidth="1" style="155" min="7687" max="7687"/>
    <col width="7.109375" customWidth="1" style="155" min="7688" max="7704"/>
    <col width="6.33203125" customWidth="1" style="155" min="7705" max="7705"/>
    <col width="7.109375" customWidth="1" style="155" min="7706" max="7706"/>
    <col width="9.88671875" customWidth="1" style="155" min="7707" max="7707"/>
    <col width="7.109375" customWidth="1" style="155" min="7708" max="7708"/>
    <col width="11.109375" customWidth="1" style="155" min="7709" max="7709"/>
    <col width="7.109375" customWidth="1" style="155" min="7710" max="7712"/>
    <col width="7.44140625" customWidth="1" style="155" min="7713" max="7713"/>
    <col width="7.109375" customWidth="1" style="155" min="7714" max="7734"/>
    <col width="17.6640625" customWidth="1" style="155" min="7735" max="7936"/>
    <col width="10.88671875" customWidth="1" style="155" min="7937" max="7937"/>
    <col width="9.33203125" customWidth="1" style="155" min="7938" max="7938"/>
    <col width="11.6640625" customWidth="1" style="155" min="7939" max="7939"/>
    <col width="10.44140625" customWidth="1" style="155" min="7940" max="7940"/>
    <col width="10.109375" customWidth="1" style="155" min="7941" max="7941"/>
    <col width="9.21875" customWidth="1" style="155" min="7942" max="7942"/>
    <col width="7.44140625" customWidth="1" style="155" min="7943" max="7943"/>
    <col width="7.109375" customWidth="1" style="155" min="7944" max="7960"/>
    <col width="6.33203125" customWidth="1" style="155" min="7961" max="7961"/>
    <col width="7.109375" customWidth="1" style="155" min="7962" max="7962"/>
    <col width="9.88671875" customWidth="1" style="155" min="7963" max="7963"/>
    <col width="7.109375" customWidth="1" style="155" min="7964" max="7964"/>
    <col width="11.109375" customWidth="1" style="155" min="7965" max="7965"/>
    <col width="7.109375" customWidth="1" style="155" min="7966" max="7968"/>
    <col width="7.44140625" customWidth="1" style="155" min="7969" max="7969"/>
    <col width="7.109375" customWidth="1" style="155" min="7970" max="7990"/>
    <col width="17.6640625" customWidth="1" style="155" min="7991" max="8192"/>
    <col width="10.88671875" customWidth="1" style="155" min="8193" max="8193"/>
    <col width="9.33203125" customWidth="1" style="155" min="8194" max="8194"/>
    <col width="11.6640625" customWidth="1" style="155" min="8195" max="8195"/>
    <col width="10.44140625" customWidth="1" style="155" min="8196" max="8196"/>
    <col width="10.109375" customWidth="1" style="155" min="8197" max="8197"/>
    <col width="9.21875" customWidth="1" style="155" min="8198" max="8198"/>
    <col width="7.44140625" customWidth="1" style="155" min="8199" max="8199"/>
    <col width="7.109375" customWidth="1" style="155" min="8200" max="8216"/>
    <col width="6.33203125" customWidth="1" style="155" min="8217" max="8217"/>
    <col width="7.109375" customWidth="1" style="155" min="8218" max="8218"/>
    <col width="9.88671875" customWidth="1" style="155" min="8219" max="8219"/>
    <col width="7.109375" customWidth="1" style="155" min="8220" max="8220"/>
    <col width="11.109375" customWidth="1" style="155" min="8221" max="8221"/>
    <col width="7.109375" customWidth="1" style="155" min="8222" max="8224"/>
    <col width="7.44140625" customWidth="1" style="155" min="8225" max="8225"/>
    <col width="7.109375" customWidth="1" style="155" min="8226" max="8246"/>
    <col width="17.6640625" customWidth="1" style="155" min="8247" max="8448"/>
    <col width="10.88671875" customWidth="1" style="155" min="8449" max="8449"/>
    <col width="9.33203125" customWidth="1" style="155" min="8450" max="8450"/>
    <col width="11.6640625" customWidth="1" style="155" min="8451" max="8451"/>
    <col width="10.44140625" customWidth="1" style="155" min="8452" max="8452"/>
    <col width="10.109375" customWidth="1" style="155" min="8453" max="8453"/>
    <col width="9.21875" customWidth="1" style="155" min="8454" max="8454"/>
    <col width="7.44140625" customWidth="1" style="155" min="8455" max="8455"/>
    <col width="7.109375" customWidth="1" style="155" min="8456" max="8472"/>
    <col width="6.33203125" customWidth="1" style="155" min="8473" max="8473"/>
    <col width="7.109375" customWidth="1" style="155" min="8474" max="8474"/>
    <col width="9.88671875" customWidth="1" style="155" min="8475" max="8475"/>
    <col width="7.109375" customWidth="1" style="155" min="8476" max="8476"/>
    <col width="11.109375" customWidth="1" style="155" min="8477" max="8477"/>
    <col width="7.109375" customWidth="1" style="155" min="8478" max="8480"/>
    <col width="7.44140625" customWidth="1" style="155" min="8481" max="8481"/>
    <col width="7.109375" customWidth="1" style="155" min="8482" max="8502"/>
    <col width="17.6640625" customWidth="1" style="155" min="8503" max="8704"/>
    <col width="10.88671875" customWidth="1" style="155" min="8705" max="8705"/>
    <col width="9.33203125" customWidth="1" style="155" min="8706" max="8706"/>
    <col width="11.6640625" customWidth="1" style="155" min="8707" max="8707"/>
    <col width="10.44140625" customWidth="1" style="155" min="8708" max="8708"/>
    <col width="10.109375" customWidth="1" style="155" min="8709" max="8709"/>
    <col width="9.21875" customWidth="1" style="155" min="8710" max="8710"/>
    <col width="7.44140625" customWidth="1" style="155" min="8711" max="8711"/>
    <col width="7.109375" customWidth="1" style="155" min="8712" max="8728"/>
    <col width="6.33203125" customWidth="1" style="155" min="8729" max="8729"/>
    <col width="7.109375" customWidth="1" style="155" min="8730" max="8730"/>
    <col width="9.88671875" customWidth="1" style="155" min="8731" max="8731"/>
    <col width="7.109375" customWidth="1" style="155" min="8732" max="8732"/>
    <col width="11.109375" customWidth="1" style="155" min="8733" max="8733"/>
    <col width="7.109375" customWidth="1" style="155" min="8734" max="8736"/>
    <col width="7.44140625" customWidth="1" style="155" min="8737" max="8737"/>
    <col width="7.109375" customWidth="1" style="155" min="8738" max="8758"/>
    <col width="17.6640625" customWidth="1" style="155" min="8759" max="8960"/>
    <col width="10.88671875" customWidth="1" style="155" min="8961" max="8961"/>
    <col width="9.33203125" customWidth="1" style="155" min="8962" max="8962"/>
    <col width="11.6640625" customWidth="1" style="155" min="8963" max="8963"/>
    <col width="10.44140625" customWidth="1" style="155" min="8964" max="8964"/>
    <col width="10.109375" customWidth="1" style="155" min="8965" max="8965"/>
    <col width="9.21875" customWidth="1" style="155" min="8966" max="8966"/>
    <col width="7.44140625" customWidth="1" style="155" min="8967" max="8967"/>
    <col width="7.109375" customWidth="1" style="155" min="8968" max="8984"/>
    <col width="6.33203125" customWidth="1" style="155" min="8985" max="8985"/>
    <col width="7.109375" customWidth="1" style="155" min="8986" max="8986"/>
    <col width="9.88671875" customWidth="1" style="155" min="8987" max="8987"/>
    <col width="7.109375" customWidth="1" style="155" min="8988" max="8988"/>
    <col width="11.109375" customWidth="1" style="155" min="8989" max="8989"/>
    <col width="7.109375" customWidth="1" style="155" min="8990" max="8992"/>
    <col width="7.44140625" customWidth="1" style="155" min="8993" max="8993"/>
    <col width="7.109375" customWidth="1" style="155" min="8994" max="9014"/>
    <col width="17.6640625" customWidth="1" style="155" min="9015" max="9216"/>
    <col width="10.88671875" customWidth="1" style="155" min="9217" max="9217"/>
    <col width="9.33203125" customWidth="1" style="155" min="9218" max="9218"/>
    <col width="11.6640625" customWidth="1" style="155" min="9219" max="9219"/>
    <col width="10.44140625" customWidth="1" style="155" min="9220" max="9220"/>
    <col width="10.109375" customWidth="1" style="155" min="9221" max="9221"/>
    <col width="9.21875" customWidth="1" style="155" min="9222" max="9222"/>
    <col width="7.44140625" customWidth="1" style="155" min="9223" max="9223"/>
    <col width="7.109375" customWidth="1" style="155" min="9224" max="9240"/>
    <col width="6.33203125" customWidth="1" style="155" min="9241" max="9241"/>
    <col width="7.109375" customWidth="1" style="155" min="9242" max="9242"/>
    <col width="9.88671875" customWidth="1" style="155" min="9243" max="9243"/>
    <col width="7.109375" customWidth="1" style="155" min="9244" max="9244"/>
    <col width="11.109375" customWidth="1" style="155" min="9245" max="9245"/>
    <col width="7.109375" customWidth="1" style="155" min="9246" max="9248"/>
    <col width="7.44140625" customWidth="1" style="155" min="9249" max="9249"/>
    <col width="7.109375" customWidth="1" style="155" min="9250" max="9270"/>
    <col width="17.6640625" customWidth="1" style="155" min="9271" max="9472"/>
    <col width="10.88671875" customWidth="1" style="155" min="9473" max="9473"/>
    <col width="9.33203125" customWidth="1" style="155" min="9474" max="9474"/>
    <col width="11.6640625" customWidth="1" style="155" min="9475" max="9475"/>
    <col width="10.44140625" customWidth="1" style="155" min="9476" max="9476"/>
    <col width="10.109375" customWidth="1" style="155" min="9477" max="9477"/>
    <col width="9.21875" customWidth="1" style="155" min="9478" max="9478"/>
    <col width="7.44140625" customWidth="1" style="155" min="9479" max="9479"/>
    <col width="7.109375" customWidth="1" style="155" min="9480" max="9496"/>
    <col width="6.33203125" customWidth="1" style="155" min="9497" max="9497"/>
    <col width="7.109375" customWidth="1" style="155" min="9498" max="9498"/>
    <col width="9.88671875" customWidth="1" style="155" min="9499" max="9499"/>
    <col width="7.109375" customWidth="1" style="155" min="9500" max="9500"/>
    <col width="11.109375" customWidth="1" style="155" min="9501" max="9501"/>
    <col width="7.109375" customWidth="1" style="155" min="9502" max="9504"/>
    <col width="7.44140625" customWidth="1" style="155" min="9505" max="9505"/>
    <col width="7.109375" customWidth="1" style="155" min="9506" max="9526"/>
    <col width="17.6640625" customWidth="1" style="155" min="9527" max="9728"/>
    <col width="10.88671875" customWidth="1" style="155" min="9729" max="9729"/>
    <col width="9.33203125" customWidth="1" style="155" min="9730" max="9730"/>
    <col width="11.6640625" customWidth="1" style="155" min="9731" max="9731"/>
    <col width="10.44140625" customWidth="1" style="155" min="9732" max="9732"/>
    <col width="10.109375" customWidth="1" style="155" min="9733" max="9733"/>
    <col width="9.21875" customWidth="1" style="155" min="9734" max="9734"/>
    <col width="7.44140625" customWidth="1" style="155" min="9735" max="9735"/>
    <col width="7.109375" customWidth="1" style="155" min="9736" max="9752"/>
    <col width="6.33203125" customWidth="1" style="155" min="9753" max="9753"/>
    <col width="7.109375" customWidth="1" style="155" min="9754" max="9754"/>
    <col width="9.88671875" customWidth="1" style="155" min="9755" max="9755"/>
    <col width="7.109375" customWidth="1" style="155" min="9756" max="9756"/>
    <col width="11.109375" customWidth="1" style="155" min="9757" max="9757"/>
    <col width="7.109375" customWidth="1" style="155" min="9758" max="9760"/>
    <col width="7.44140625" customWidth="1" style="155" min="9761" max="9761"/>
    <col width="7.109375" customWidth="1" style="155" min="9762" max="9782"/>
    <col width="17.6640625" customWidth="1" style="155" min="9783" max="9984"/>
    <col width="10.88671875" customWidth="1" style="155" min="9985" max="9985"/>
    <col width="9.33203125" customWidth="1" style="155" min="9986" max="9986"/>
    <col width="11.6640625" customWidth="1" style="155" min="9987" max="9987"/>
    <col width="10.44140625" customWidth="1" style="155" min="9988" max="9988"/>
    <col width="10.109375" customWidth="1" style="155" min="9989" max="9989"/>
    <col width="9.21875" customWidth="1" style="155" min="9990" max="9990"/>
    <col width="7.44140625" customWidth="1" style="155" min="9991" max="9991"/>
    <col width="7.109375" customWidth="1" style="155" min="9992" max="10008"/>
    <col width="6.33203125" customWidth="1" style="155" min="10009" max="10009"/>
    <col width="7.109375" customWidth="1" style="155" min="10010" max="10010"/>
    <col width="9.88671875" customWidth="1" style="155" min="10011" max="10011"/>
    <col width="7.109375" customWidth="1" style="155" min="10012" max="10012"/>
    <col width="11.109375" customWidth="1" style="155" min="10013" max="10013"/>
    <col width="7.109375" customWidth="1" style="155" min="10014" max="10016"/>
    <col width="7.44140625" customWidth="1" style="155" min="10017" max="10017"/>
    <col width="7.109375" customWidth="1" style="155" min="10018" max="10038"/>
    <col width="17.6640625" customWidth="1" style="155" min="10039" max="10240"/>
    <col width="10.88671875" customWidth="1" style="155" min="10241" max="10241"/>
    <col width="9.33203125" customWidth="1" style="155" min="10242" max="10242"/>
    <col width="11.6640625" customWidth="1" style="155" min="10243" max="10243"/>
    <col width="10.44140625" customWidth="1" style="155" min="10244" max="10244"/>
    <col width="10.109375" customWidth="1" style="155" min="10245" max="10245"/>
    <col width="9.21875" customWidth="1" style="155" min="10246" max="10246"/>
    <col width="7.44140625" customWidth="1" style="155" min="10247" max="10247"/>
    <col width="7.109375" customWidth="1" style="155" min="10248" max="10264"/>
    <col width="6.33203125" customWidth="1" style="155" min="10265" max="10265"/>
    <col width="7.109375" customWidth="1" style="155" min="10266" max="10266"/>
    <col width="9.88671875" customWidth="1" style="155" min="10267" max="10267"/>
    <col width="7.109375" customWidth="1" style="155" min="10268" max="10268"/>
    <col width="11.109375" customWidth="1" style="155" min="10269" max="10269"/>
    <col width="7.109375" customWidth="1" style="155" min="10270" max="10272"/>
    <col width="7.44140625" customWidth="1" style="155" min="10273" max="10273"/>
    <col width="7.109375" customWidth="1" style="155" min="10274" max="10294"/>
    <col width="17.6640625" customWidth="1" style="155" min="10295" max="10496"/>
    <col width="10.88671875" customWidth="1" style="155" min="10497" max="10497"/>
    <col width="9.33203125" customWidth="1" style="155" min="10498" max="10498"/>
    <col width="11.6640625" customWidth="1" style="155" min="10499" max="10499"/>
    <col width="10.44140625" customWidth="1" style="155" min="10500" max="10500"/>
    <col width="10.109375" customWidth="1" style="155" min="10501" max="10501"/>
    <col width="9.21875" customWidth="1" style="155" min="10502" max="10502"/>
    <col width="7.44140625" customWidth="1" style="155" min="10503" max="10503"/>
    <col width="7.109375" customWidth="1" style="155" min="10504" max="10520"/>
    <col width="6.33203125" customWidth="1" style="155" min="10521" max="10521"/>
    <col width="7.109375" customWidth="1" style="155" min="10522" max="10522"/>
    <col width="9.88671875" customWidth="1" style="155" min="10523" max="10523"/>
    <col width="7.109375" customWidth="1" style="155" min="10524" max="10524"/>
    <col width="11.109375" customWidth="1" style="155" min="10525" max="10525"/>
    <col width="7.109375" customWidth="1" style="155" min="10526" max="10528"/>
    <col width="7.44140625" customWidth="1" style="155" min="10529" max="10529"/>
    <col width="7.109375" customWidth="1" style="155" min="10530" max="10550"/>
    <col width="17.6640625" customWidth="1" style="155" min="10551" max="10752"/>
    <col width="10.88671875" customWidth="1" style="155" min="10753" max="10753"/>
    <col width="9.33203125" customWidth="1" style="155" min="10754" max="10754"/>
    <col width="11.6640625" customWidth="1" style="155" min="10755" max="10755"/>
    <col width="10.44140625" customWidth="1" style="155" min="10756" max="10756"/>
    <col width="10.109375" customWidth="1" style="155" min="10757" max="10757"/>
    <col width="9.21875" customWidth="1" style="155" min="10758" max="10758"/>
    <col width="7.44140625" customWidth="1" style="155" min="10759" max="10759"/>
    <col width="7.109375" customWidth="1" style="155" min="10760" max="10776"/>
    <col width="6.33203125" customWidth="1" style="155" min="10777" max="10777"/>
    <col width="7.109375" customWidth="1" style="155" min="10778" max="10778"/>
    <col width="9.88671875" customWidth="1" style="155" min="10779" max="10779"/>
    <col width="7.109375" customWidth="1" style="155" min="10780" max="10780"/>
    <col width="11.109375" customWidth="1" style="155" min="10781" max="10781"/>
    <col width="7.109375" customWidth="1" style="155" min="10782" max="10784"/>
    <col width="7.44140625" customWidth="1" style="155" min="10785" max="10785"/>
    <col width="7.109375" customWidth="1" style="155" min="10786" max="10806"/>
    <col width="17.6640625" customWidth="1" style="155" min="10807" max="11008"/>
    <col width="10.88671875" customWidth="1" style="155" min="11009" max="11009"/>
    <col width="9.33203125" customWidth="1" style="155" min="11010" max="11010"/>
    <col width="11.6640625" customWidth="1" style="155" min="11011" max="11011"/>
    <col width="10.44140625" customWidth="1" style="155" min="11012" max="11012"/>
    <col width="10.109375" customWidth="1" style="155" min="11013" max="11013"/>
    <col width="9.21875" customWidth="1" style="155" min="11014" max="11014"/>
    <col width="7.44140625" customWidth="1" style="155" min="11015" max="11015"/>
    <col width="7.109375" customWidth="1" style="155" min="11016" max="11032"/>
    <col width="6.33203125" customWidth="1" style="155" min="11033" max="11033"/>
    <col width="7.109375" customWidth="1" style="155" min="11034" max="11034"/>
    <col width="9.88671875" customWidth="1" style="155" min="11035" max="11035"/>
    <col width="7.109375" customWidth="1" style="155" min="11036" max="11036"/>
    <col width="11.109375" customWidth="1" style="155" min="11037" max="11037"/>
    <col width="7.109375" customWidth="1" style="155" min="11038" max="11040"/>
    <col width="7.44140625" customWidth="1" style="155" min="11041" max="11041"/>
    <col width="7.109375" customWidth="1" style="155" min="11042" max="11062"/>
    <col width="17.6640625" customWidth="1" style="155" min="11063" max="11264"/>
    <col width="10.88671875" customWidth="1" style="155" min="11265" max="11265"/>
    <col width="9.33203125" customWidth="1" style="155" min="11266" max="11266"/>
    <col width="11.6640625" customWidth="1" style="155" min="11267" max="11267"/>
    <col width="10.44140625" customWidth="1" style="155" min="11268" max="11268"/>
    <col width="10.109375" customWidth="1" style="155" min="11269" max="11269"/>
    <col width="9.21875" customWidth="1" style="155" min="11270" max="11270"/>
    <col width="7.44140625" customWidth="1" style="155" min="11271" max="11271"/>
    <col width="7.109375" customWidth="1" style="155" min="11272" max="11288"/>
    <col width="6.33203125" customWidth="1" style="155" min="11289" max="11289"/>
    <col width="7.109375" customWidth="1" style="155" min="11290" max="11290"/>
    <col width="9.88671875" customWidth="1" style="155" min="11291" max="11291"/>
    <col width="7.109375" customWidth="1" style="155" min="11292" max="11292"/>
    <col width="11.109375" customWidth="1" style="155" min="11293" max="11293"/>
    <col width="7.109375" customWidth="1" style="155" min="11294" max="11296"/>
    <col width="7.44140625" customWidth="1" style="155" min="11297" max="11297"/>
    <col width="7.109375" customWidth="1" style="155" min="11298" max="11318"/>
    <col width="17.6640625" customWidth="1" style="155" min="11319" max="11520"/>
    <col width="10.88671875" customWidth="1" style="155" min="11521" max="11521"/>
    <col width="9.33203125" customWidth="1" style="155" min="11522" max="11522"/>
    <col width="11.6640625" customWidth="1" style="155" min="11523" max="11523"/>
    <col width="10.44140625" customWidth="1" style="155" min="11524" max="11524"/>
    <col width="10.109375" customWidth="1" style="155" min="11525" max="11525"/>
    <col width="9.21875" customWidth="1" style="155" min="11526" max="11526"/>
    <col width="7.44140625" customWidth="1" style="155" min="11527" max="11527"/>
    <col width="7.109375" customWidth="1" style="155" min="11528" max="11544"/>
    <col width="6.33203125" customWidth="1" style="155" min="11545" max="11545"/>
    <col width="7.109375" customWidth="1" style="155" min="11546" max="11546"/>
    <col width="9.88671875" customWidth="1" style="155" min="11547" max="11547"/>
    <col width="7.109375" customWidth="1" style="155" min="11548" max="11548"/>
    <col width="11.109375" customWidth="1" style="155" min="11549" max="11549"/>
    <col width="7.109375" customWidth="1" style="155" min="11550" max="11552"/>
    <col width="7.44140625" customWidth="1" style="155" min="11553" max="11553"/>
    <col width="7.109375" customWidth="1" style="155" min="11554" max="11574"/>
    <col width="17.6640625" customWidth="1" style="155" min="11575" max="11776"/>
    <col width="10.88671875" customWidth="1" style="155" min="11777" max="11777"/>
    <col width="9.33203125" customWidth="1" style="155" min="11778" max="11778"/>
    <col width="11.6640625" customWidth="1" style="155" min="11779" max="11779"/>
    <col width="10.44140625" customWidth="1" style="155" min="11780" max="11780"/>
    <col width="10.109375" customWidth="1" style="155" min="11781" max="11781"/>
    <col width="9.21875" customWidth="1" style="155" min="11782" max="11782"/>
    <col width="7.44140625" customWidth="1" style="155" min="11783" max="11783"/>
    <col width="7.109375" customWidth="1" style="155" min="11784" max="11800"/>
    <col width="6.33203125" customWidth="1" style="155" min="11801" max="11801"/>
    <col width="7.109375" customWidth="1" style="155" min="11802" max="11802"/>
    <col width="9.88671875" customWidth="1" style="155" min="11803" max="11803"/>
    <col width="7.109375" customWidth="1" style="155" min="11804" max="11804"/>
    <col width="11.109375" customWidth="1" style="155" min="11805" max="11805"/>
    <col width="7.109375" customWidth="1" style="155" min="11806" max="11808"/>
    <col width="7.44140625" customWidth="1" style="155" min="11809" max="11809"/>
    <col width="7.109375" customWidth="1" style="155" min="11810" max="11830"/>
    <col width="17.6640625" customWidth="1" style="155" min="11831" max="12032"/>
    <col width="10.88671875" customWidth="1" style="155" min="12033" max="12033"/>
    <col width="9.33203125" customWidth="1" style="155" min="12034" max="12034"/>
    <col width="11.6640625" customWidth="1" style="155" min="12035" max="12035"/>
    <col width="10.44140625" customWidth="1" style="155" min="12036" max="12036"/>
    <col width="10.109375" customWidth="1" style="155" min="12037" max="12037"/>
    <col width="9.21875" customWidth="1" style="155" min="12038" max="12038"/>
    <col width="7.44140625" customWidth="1" style="155" min="12039" max="12039"/>
    <col width="7.109375" customWidth="1" style="155" min="12040" max="12056"/>
    <col width="6.33203125" customWidth="1" style="155" min="12057" max="12057"/>
    <col width="7.109375" customWidth="1" style="155" min="12058" max="12058"/>
    <col width="9.88671875" customWidth="1" style="155" min="12059" max="12059"/>
    <col width="7.109375" customWidth="1" style="155" min="12060" max="12060"/>
    <col width="11.109375" customWidth="1" style="155" min="12061" max="12061"/>
    <col width="7.109375" customWidth="1" style="155" min="12062" max="12064"/>
    <col width="7.44140625" customWidth="1" style="155" min="12065" max="12065"/>
    <col width="7.109375" customWidth="1" style="155" min="12066" max="12086"/>
    <col width="17.6640625" customWidth="1" style="155" min="12087" max="12288"/>
    <col width="10.88671875" customWidth="1" style="155" min="12289" max="12289"/>
    <col width="9.33203125" customWidth="1" style="155" min="12290" max="12290"/>
    <col width="11.6640625" customWidth="1" style="155" min="12291" max="12291"/>
    <col width="10.44140625" customWidth="1" style="155" min="12292" max="12292"/>
    <col width="10.109375" customWidth="1" style="155" min="12293" max="12293"/>
    <col width="9.21875" customWidth="1" style="155" min="12294" max="12294"/>
    <col width="7.44140625" customWidth="1" style="155" min="12295" max="12295"/>
    <col width="7.109375" customWidth="1" style="155" min="12296" max="12312"/>
    <col width="6.33203125" customWidth="1" style="155" min="12313" max="12313"/>
    <col width="7.109375" customWidth="1" style="155" min="12314" max="12314"/>
    <col width="9.88671875" customWidth="1" style="155" min="12315" max="12315"/>
    <col width="7.109375" customWidth="1" style="155" min="12316" max="12316"/>
    <col width="11.109375" customWidth="1" style="155" min="12317" max="12317"/>
    <col width="7.109375" customWidth="1" style="155" min="12318" max="12320"/>
    <col width="7.44140625" customWidth="1" style="155" min="12321" max="12321"/>
    <col width="7.109375" customWidth="1" style="155" min="12322" max="12342"/>
    <col width="17.6640625" customWidth="1" style="155" min="12343" max="12544"/>
    <col width="10.88671875" customWidth="1" style="155" min="12545" max="12545"/>
    <col width="9.33203125" customWidth="1" style="155" min="12546" max="12546"/>
    <col width="11.6640625" customWidth="1" style="155" min="12547" max="12547"/>
    <col width="10.44140625" customWidth="1" style="155" min="12548" max="12548"/>
    <col width="10.109375" customWidth="1" style="155" min="12549" max="12549"/>
    <col width="9.21875" customWidth="1" style="155" min="12550" max="12550"/>
    <col width="7.44140625" customWidth="1" style="155" min="12551" max="12551"/>
    <col width="7.109375" customWidth="1" style="155" min="12552" max="12568"/>
    <col width="6.33203125" customWidth="1" style="155" min="12569" max="12569"/>
    <col width="7.109375" customWidth="1" style="155" min="12570" max="12570"/>
    <col width="9.88671875" customWidth="1" style="155" min="12571" max="12571"/>
    <col width="7.109375" customWidth="1" style="155" min="12572" max="12572"/>
    <col width="11.109375" customWidth="1" style="155" min="12573" max="12573"/>
    <col width="7.109375" customWidth="1" style="155" min="12574" max="12576"/>
    <col width="7.44140625" customWidth="1" style="155" min="12577" max="12577"/>
    <col width="7.109375" customWidth="1" style="155" min="12578" max="12598"/>
    <col width="17.6640625" customWidth="1" style="155" min="12599" max="12800"/>
    <col width="10.88671875" customWidth="1" style="155" min="12801" max="12801"/>
    <col width="9.33203125" customWidth="1" style="155" min="12802" max="12802"/>
    <col width="11.6640625" customWidth="1" style="155" min="12803" max="12803"/>
    <col width="10.44140625" customWidth="1" style="155" min="12804" max="12804"/>
    <col width="10.109375" customWidth="1" style="155" min="12805" max="12805"/>
    <col width="9.21875" customWidth="1" style="155" min="12806" max="12806"/>
    <col width="7.44140625" customWidth="1" style="155" min="12807" max="12807"/>
    <col width="7.109375" customWidth="1" style="155" min="12808" max="12824"/>
    <col width="6.33203125" customWidth="1" style="155" min="12825" max="12825"/>
    <col width="7.109375" customWidth="1" style="155" min="12826" max="12826"/>
    <col width="9.88671875" customWidth="1" style="155" min="12827" max="12827"/>
    <col width="7.109375" customWidth="1" style="155" min="12828" max="12828"/>
    <col width="11.109375" customWidth="1" style="155" min="12829" max="12829"/>
    <col width="7.109375" customWidth="1" style="155" min="12830" max="12832"/>
    <col width="7.44140625" customWidth="1" style="155" min="12833" max="12833"/>
    <col width="7.109375" customWidth="1" style="155" min="12834" max="12854"/>
    <col width="17.6640625" customWidth="1" style="155" min="12855" max="13056"/>
    <col width="10.88671875" customWidth="1" style="155" min="13057" max="13057"/>
    <col width="9.33203125" customWidth="1" style="155" min="13058" max="13058"/>
    <col width="11.6640625" customWidth="1" style="155" min="13059" max="13059"/>
    <col width="10.44140625" customWidth="1" style="155" min="13060" max="13060"/>
    <col width="10.109375" customWidth="1" style="155" min="13061" max="13061"/>
    <col width="9.21875" customWidth="1" style="155" min="13062" max="13062"/>
    <col width="7.44140625" customWidth="1" style="155" min="13063" max="13063"/>
    <col width="7.109375" customWidth="1" style="155" min="13064" max="13080"/>
    <col width="6.33203125" customWidth="1" style="155" min="13081" max="13081"/>
    <col width="7.109375" customWidth="1" style="155" min="13082" max="13082"/>
    <col width="9.88671875" customWidth="1" style="155" min="13083" max="13083"/>
    <col width="7.109375" customWidth="1" style="155" min="13084" max="13084"/>
    <col width="11.109375" customWidth="1" style="155" min="13085" max="13085"/>
    <col width="7.109375" customWidth="1" style="155" min="13086" max="13088"/>
    <col width="7.44140625" customWidth="1" style="155" min="13089" max="13089"/>
    <col width="7.109375" customWidth="1" style="155" min="13090" max="13110"/>
    <col width="17.6640625" customWidth="1" style="155" min="13111" max="13312"/>
    <col width="10.88671875" customWidth="1" style="155" min="13313" max="13313"/>
    <col width="9.33203125" customWidth="1" style="155" min="13314" max="13314"/>
    <col width="11.6640625" customWidth="1" style="155" min="13315" max="13315"/>
    <col width="10.44140625" customWidth="1" style="155" min="13316" max="13316"/>
    <col width="10.109375" customWidth="1" style="155" min="13317" max="13317"/>
    <col width="9.21875" customWidth="1" style="155" min="13318" max="13318"/>
    <col width="7.44140625" customWidth="1" style="155" min="13319" max="13319"/>
    <col width="7.109375" customWidth="1" style="155" min="13320" max="13336"/>
    <col width="6.33203125" customWidth="1" style="155" min="13337" max="13337"/>
    <col width="7.109375" customWidth="1" style="155" min="13338" max="13338"/>
    <col width="9.88671875" customWidth="1" style="155" min="13339" max="13339"/>
    <col width="7.109375" customWidth="1" style="155" min="13340" max="13340"/>
    <col width="11.109375" customWidth="1" style="155" min="13341" max="13341"/>
    <col width="7.109375" customWidth="1" style="155" min="13342" max="13344"/>
    <col width="7.44140625" customWidth="1" style="155" min="13345" max="13345"/>
    <col width="7.109375" customWidth="1" style="155" min="13346" max="13366"/>
    <col width="17.6640625" customWidth="1" style="155" min="13367" max="13568"/>
    <col width="10.88671875" customWidth="1" style="155" min="13569" max="13569"/>
    <col width="9.33203125" customWidth="1" style="155" min="13570" max="13570"/>
    <col width="11.6640625" customWidth="1" style="155" min="13571" max="13571"/>
    <col width="10.44140625" customWidth="1" style="155" min="13572" max="13572"/>
    <col width="10.109375" customWidth="1" style="155" min="13573" max="13573"/>
    <col width="9.21875" customWidth="1" style="155" min="13574" max="13574"/>
    <col width="7.44140625" customWidth="1" style="155" min="13575" max="13575"/>
    <col width="7.109375" customWidth="1" style="155" min="13576" max="13592"/>
    <col width="6.33203125" customWidth="1" style="155" min="13593" max="13593"/>
    <col width="7.109375" customWidth="1" style="155" min="13594" max="13594"/>
    <col width="9.88671875" customWidth="1" style="155" min="13595" max="13595"/>
    <col width="7.109375" customWidth="1" style="155" min="13596" max="13596"/>
    <col width="11.109375" customWidth="1" style="155" min="13597" max="13597"/>
    <col width="7.109375" customWidth="1" style="155" min="13598" max="13600"/>
    <col width="7.44140625" customWidth="1" style="155" min="13601" max="13601"/>
    <col width="7.109375" customWidth="1" style="155" min="13602" max="13622"/>
    <col width="17.6640625" customWidth="1" style="155" min="13623" max="13824"/>
    <col width="10.88671875" customWidth="1" style="155" min="13825" max="13825"/>
    <col width="9.33203125" customWidth="1" style="155" min="13826" max="13826"/>
    <col width="11.6640625" customWidth="1" style="155" min="13827" max="13827"/>
    <col width="10.44140625" customWidth="1" style="155" min="13828" max="13828"/>
    <col width="10.109375" customWidth="1" style="155" min="13829" max="13829"/>
    <col width="9.21875" customWidth="1" style="155" min="13830" max="13830"/>
    <col width="7.44140625" customWidth="1" style="155" min="13831" max="13831"/>
    <col width="7.109375" customWidth="1" style="155" min="13832" max="13848"/>
    <col width="6.33203125" customWidth="1" style="155" min="13849" max="13849"/>
    <col width="7.109375" customWidth="1" style="155" min="13850" max="13850"/>
    <col width="9.88671875" customWidth="1" style="155" min="13851" max="13851"/>
    <col width="7.109375" customWidth="1" style="155" min="13852" max="13852"/>
    <col width="11.109375" customWidth="1" style="155" min="13853" max="13853"/>
    <col width="7.109375" customWidth="1" style="155" min="13854" max="13856"/>
    <col width="7.44140625" customWidth="1" style="155" min="13857" max="13857"/>
    <col width="7.109375" customWidth="1" style="155" min="13858" max="13878"/>
    <col width="17.6640625" customWidth="1" style="155" min="13879" max="14080"/>
    <col width="10.88671875" customWidth="1" style="155" min="14081" max="14081"/>
    <col width="9.33203125" customWidth="1" style="155" min="14082" max="14082"/>
    <col width="11.6640625" customWidth="1" style="155" min="14083" max="14083"/>
    <col width="10.44140625" customWidth="1" style="155" min="14084" max="14084"/>
    <col width="10.109375" customWidth="1" style="155" min="14085" max="14085"/>
    <col width="9.21875" customWidth="1" style="155" min="14086" max="14086"/>
    <col width="7.44140625" customWidth="1" style="155" min="14087" max="14087"/>
    <col width="7.109375" customWidth="1" style="155" min="14088" max="14104"/>
    <col width="6.33203125" customWidth="1" style="155" min="14105" max="14105"/>
    <col width="7.109375" customWidth="1" style="155" min="14106" max="14106"/>
    <col width="9.88671875" customWidth="1" style="155" min="14107" max="14107"/>
    <col width="7.109375" customWidth="1" style="155" min="14108" max="14108"/>
    <col width="11.109375" customWidth="1" style="155" min="14109" max="14109"/>
    <col width="7.109375" customWidth="1" style="155" min="14110" max="14112"/>
    <col width="7.44140625" customWidth="1" style="155" min="14113" max="14113"/>
    <col width="7.109375" customWidth="1" style="155" min="14114" max="14134"/>
    <col width="17.6640625" customWidth="1" style="155" min="14135" max="14336"/>
    <col width="10.88671875" customWidth="1" style="155" min="14337" max="14337"/>
    <col width="9.33203125" customWidth="1" style="155" min="14338" max="14338"/>
    <col width="11.6640625" customWidth="1" style="155" min="14339" max="14339"/>
    <col width="10.44140625" customWidth="1" style="155" min="14340" max="14340"/>
    <col width="10.109375" customWidth="1" style="155" min="14341" max="14341"/>
    <col width="9.21875" customWidth="1" style="155" min="14342" max="14342"/>
    <col width="7.44140625" customWidth="1" style="155" min="14343" max="14343"/>
    <col width="7.109375" customWidth="1" style="155" min="14344" max="14360"/>
    <col width="6.33203125" customWidth="1" style="155" min="14361" max="14361"/>
    <col width="7.109375" customWidth="1" style="155" min="14362" max="14362"/>
    <col width="9.88671875" customWidth="1" style="155" min="14363" max="14363"/>
    <col width="7.109375" customWidth="1" style="155" min="14364" max="14364"/>
    <col width="11.109375" customWidth="1" style="155" min="14365" max="14365"/>
    <col width="7.109375" customWidth="1" style="155" min="14366" max="14368"/>
    <col width="7.44140625" customWidth="1" style="155" min="14369" max="14369"/>
    <col width="7.109375" customWidth="1" style="155" min="14370" max="14390"/>
    <col width="17.6640625" customWidth="1" style="155" min="14391" max="14592"/>
    <col width="10.88671875" customWidth="1" style="155" min="14593" max="14593"/>
    <col width="9.33203125" customWidth="1" style="155" min="14594" max="14594"/>
    <col width="11.6640625" customWidth="1" style="155" min="14595" max="14595"/>
    <col width="10.44140625" customWidth="1" style="155" min="14596" max="14596"/>
    <col width="10.109375" customWidth="1" style="155" min="14597" max="14597"/>
    <col width="9.21875" customWidth="1" style="155" min="14598" max="14598"/>
    <col width="7.44140625" customWidth="1" style="155" min="14599" max="14599"/>
    <col width="7.109375" customWidth="1" style="155" min="14600" max="14616"/>
    <col width="6.33203125" customWidth="1" style="155" min="14617" max="14617"/>
    <col width="7.109375" customWidth="1" style="155" min="14618" max="14618"/>
    <col width="9.88671875" customWidth="1" style="155" min="14619" max="14619"/>
    <col width="7.109375" customWidth="1" style="155" min="14620" max="14620"/>
    <col width="11.109375" customWidth="1" style="155" min="14621" max="14621"/>
    <col width="7.109375" customWidth="1" style="155" min="14622" max="14624"/>
    <col width="7.44140625" customWidth="1" style="155" min="14625" max="14625"/>
    <col width="7.109375" customWidth="1" style="155" min="14626" max="14646"/>
    <col width="17.6640625" customWidth="1" style="155" min="14647" max="14848"/>
    <col width="10.88671875" customWidth="1" style="155" min="14849" max="14849"/>
    <col width="9.33203125" customWidth="1" style="155" min="14850" max="14850"/>
    <col width="11.6640625" customWidth="1" style="155" min="14851" max="14851"/>
    <col width="10.44140625" customWidth="1" style="155" min="14852" max="14852"/>
    <col width="10.109375" customWidth="1" style="155" min="14853" max="14853"/>
    <col width="9.21875" customWidth="1" style="155" min="14854" max="14854"/>
    <col width="7.44140625" customWidth="1" style="155" min="14855" max="14855"/>
    <col width="7.109375" customWidth="1" style="155" min="14856" max="14872"/>
    <col width="6.33203125" customWidth="1" style="155" min="14873" max="14873"/>
    <col width="7.109375" customWidth="1" style="155" min="14874" max="14874"/>
    <col width="9.88671875" customWidth="1" style="155" min="14875" max="14875"/>
    <col width="7.109375" customWidth="1" style="155" min="14876" max="14876"/>
    <col width="11.109375" customWidth="1" style="155" min="14877" max="14877"/>
    <col width="7.109375" customWidth="1" style="155" min="14878" max="14880"/>
    <col width="7.44140625" customWidth="1" style="155" min="14881" max="14881"/>
    <col width="7.109375" customWidth="1" style="155" min="14882" max="14902"/>
    <col width="17.6640625" customWidth="1" style="155" min="14903" max="15104"/>
    <col width="10.88671875" customWidth="1" style="155" min="15105" max="15105"/>
    <col width="9.33203125" customWidth="1" style="155" min="15106" max="15106"/>
    <col width="11.6640625" customWidth="1" style="155" min="15107" max="15107"/>
    <col width="10.44140625" customWidth="1" style="155" min="15108" max="15108"/>
    <col width="10.109375" customWidth="1" style="155" min="15109" max="15109"/>
    <col width="9.21875" customWidth="1" style="155" min="15110" max="15110"/>
    <col width="7.44140625" customWidth="1" style="155" min="15111" max="15111"/>
    <col width="7.109375" customWidth="1" style="155" min="15112" max="15128"/>
    <col width="6.33203125" customWidth="1" style="155" min="15129" max="15129"/>
    <col width="7.109375" customWidth="1" style="155" min="15130" max="15130"/>
    <col width="9.88671875" customWidth="1" style="155" min="15131" max="15131"/>
    <col width="7.109375" customWidth="1" style="155" min="15132" max="15132"/>
    <col width="11.109375" customWidth="1" style="155" min="15133" max="15133"/>
    <col width="7.109375" customWidth="1" style="155" min="15134" max="15136"/>
    <col width="7.44140625" customWidth="1" style="155" min="15137" max="15137"/>
    <col width="7.109375" customWidth="1" style="155" min="15138" max="15158"/>
    <col width="17.6640625" customWidth="1" style="155" min="15159" max="15360"/>
    <col width="10.88671875" customWidth="1" style="155" min="15361" max="15361"/>
    <col width="9.33203125" customWidth="1" style="155" min="15362" max="15362"/>
    <col width="11.6640625" customWidth="1" style="155" min="15363" max="15363"/>
    <col width="10.44140625" customWidth="1" style="155" min="15364" max="15364"/>
    <col width="10.109375" customWidth="1" style="155" min="15365" max="15365"/>
    <col width="9.21875" customWidth="1" style="155" min="15366" max="15366"/>
    <col width="7.44140625" customWidth="1" style="155" min="15367" max="15367"/>
    <col width="7.109375" customWidth="1" style="155" min="15368" max="15384"/>
    <col width="6.33203125" customWidth="1" style="155" min="15385" max="15385"/>
    <col width="7.109375" customWidth="1" style="155" min="15386" max="15386"/>
    <col width="9.88671875" customWidth="1" style="155" min="15387" max="15387"/>
    <col width="7.109375" customWidth="1" style="155" min="15388" max="15388"/>
    <col width="11.109375" customWidth="1" style="155" min="15389" max="15389"/>
    <col width="7.109375" customWidth="1" style="155" min="15390" max="15392"/>
    <col width="7.44140625" customWidth="1" style="155" min="15393" max="15393"/>
    <col width="7.109375" customWidth="1" style="155" min="15394" max="15414"/>
    <col width="17.6640625" customWidth="1" style="155" min="15415" max="15616"/>
    <col width="10.88671875" customWidth="1" style="155" min="15617" max="15617"/>
    <col width="9.33203125" customWidth="1" style="155" min="15618" max="15618"/>
    <col width="11.6640625" customWidth="1" style="155" min="15619" max="15619"/>
    <col width="10.44140625" customWidth="1" style="155" min="15620" max="15620"/>
    <col width="10.109375" customWidth="1" style="155" min="15621" max="15621"/>
    <col width="9.21875" customWidth="1" style="155" min="15622" max="15622"/>
    <col width="7.44140625" customWidth="1" style="155" min="15623" max="15623"/>
    <col width="7.109375" customWidth="1" style="155" min="15624" max="15640"/>
    <col width="6.33203125" customWidth="1" style="155" min="15641" max="15641"/>
    <col width="7.109375" customWidth="1" style="155" min="15642" max="15642"/>
    <col width="9.88671875" customWidth="1" style="155" min="15643" max="15643"/>
    <col width="7.109375" customWidth="1" style="155" min="15644" max="15644"/>
    <col width="11.109375" customWidth="1" style="155" min="15645" max="15645"/>
    <col width="7.109375" customWidth="1" style="155" min="15646" max="15648"/>
    <col width="7.44140625" customWidth="1" style="155" min="15649" max="15649"/>
    <col width="7.109375" customWidth="1" style="155" min="15650" max="15670"/>
    <col width="17.6640625" customWidth="1" style="155" min="15671" max="15872"/>
    <col width="10.88671875" customWidth="1" style="155" min="15873" max="15873"/>
    <col width="9.33203125" customWidth="1" style="155" min="15874" max="15874"/>
    <col width="11.6640625" customWidth="1" style="155" min="15875" max="15875"/>
    <col width="10.44140625" customWidth="1" style="155" min="15876" max="15876"/>
    <col width="10.109375" customWidth="1" style="155" min="15877" max="15877"/>
    <col width="9.21875" customWidth="1" style="155" min="15878" max="15878"/>
    <col width="7.44140625" customWidth="1" style="155" min="15879" max="15879"/>
    <col width="7.109375" customWidth="1" style="155" min="15880" max="15896"/>
    <col width="6.33203125" customWidth="1" style="155" min="15897" max="15897"/>
    <col width="7.109375" customWidth="1" style="155" min="15898" max="15898"/>
    <col width="9.88671875" customWidth="1" style="155" min="15899" max="15899"/>
    <col width="7.109375" customWidth="1" style="155" min="15900" max="15900"/>
    <col width="11.109375" customWidth="1" style="155" min="15901" max="15901"/>
    <col width="7.109375" customWidth="1" style="155" min="15902" max="15904"/>
    <col width="7.44140625" customWidth="1" style="155" min="15905" max="15905"/>
    <col width="7.109375" customWidth="1" style="155" min="15906" max="15926"/>
    <col width="17.6640625" customWidth="1" style="155" min="15927" max="16128"/>
    <col width="10.88671875" customWidth="1" style="155" min="16129" max="16129"/>
    <col width="9.33203125" customWidth="1" style="155" min="16130" max="16130"/>
    <col width="11.6640625" customWidth="1" style="155" min="16131" max="16131"/>
    <col width="10.44140625" customWidth="1" style="155" min="16132" max="16132"/>
    <col width="10.109375" customWidth="1" style="155" min="16133" max="16133"/>
    <col width="9.21875" customWidth="1" style="155" min="16134" max="16134"/>
    <col width="7.44140625" customWidth="1" style="155" min="16135" max="16135"/>
    <col width="7.109375" customWidth="1" style="155" min="16136" max="16152"/>
    <col width="6.33203125" customWidth="1" style="155" min="16153" max="16153"/>
    <col width="7.109375" customWidth="1" style="155" min="16154" max="16154"/>
    <col width="9.88671875" customWidth="1" style="155" min="16155" max="16155"/>
    <col width="7.109375" customWidth="1" style="155" min="16156" max="16156"/>
    <col width="11.109375" customWidth="1" style="155" min="16157" max="16157"/>
    <col width="7.109375" customWidth="1" style="155" min="16158" max="16160"/>
    <col width="7.44140625" customWidth="1" style="155" min="16161" max="16161"/>
    <col width="7.109375" customWidth="1" style="155" min="16162" max="16182"/>
    <col width="17.6640625" customWidth="1" style="155" min="16183" max="16384"/>
  </cols>
  <sheetData>
    <row r="1" ht="45.75" customHeight="1">
      <c r="A1" s="709" t="n"/>
      <c r="B1" s="614" t="n"/>
      <c r="C1" s="614" t="n"/>
      <c r="D1" s="615" t="n"/>
      <c r="E1" s="710" t="inlineStr">
        <is>
          <t>공정 생산 능력(CPK)</t>
        </is>
      </c>
      <c r="F1" s="614" t="n"/>
      <c r="G1" s="614" t="n"/>
      <c r="H1" s="614" t="n"/>
      <c r="I1" s="614" t="n"/>
      <c r="J1" s="614" t="n"/>
      <c r="K1" s="614" t="n"/>
      <c r="L1" s="614" t="n"/>
      <c r="M1" s="614" t="n"/>
      <c r="N1" s="614" t="n"/>
      <c r="O1" s="614" t="n"/>
      <c r="P1" s="614" t="n"/>
      <c r="Q1" s="614" t="n"/>
      <c r="R1" s="614" t="n"/>
      <c r="S1" s="614" t="n"/>
      <c r="T1" s="614" t="n"/>
      <c r="U1" s="614" t="n"/>
      <c r="V1" s="668" t="n"/>
      <c r="W1" s="711" t="inlineStr">
        <is>
          <t>Drafted by</t>
        </is>
      </c>
      <c r="X1" s="652" t="n"/>
      <c r="Y1" s="617" t="n"/>
      <c r="Z1" s="712" t="inlineStr">
        <is>
          <t>Checked by</t>
        </is>
      </c>
      <c r="AA1" s="617" t="n"/>
      <c r="AB1" s="713" t="inlineStr">
        <is>
          <t>Approved by</t>
        </is>
      </c>
      <c r="AC1" s="619" t="n"/>
    </row>
    <row r="2" ht="50.25" customHeight="1" thickBot="1">
      <c r="A2" s="669" t="n"/>
      <c r="B2" s="670" t="n"/>
      <c r="C2" s="670" t="n"/>
      <c r="D2" s="674" t="n"/>
      <c r="E2" s="675" t="n"/>
      <c r="F2" s="670" t="n"/>
      <c r="G2" s="670" t="n"/>
      <c r="H2" s="670" t="n"/>
      <c r="I2" s="670" t="n"/>
      <c r="J2" s="670" t="n"/>
      <c r="K2" s="670" t="n"/>
      <c r="L2" s="670" t="n"/>
      <c r="M2" s="670" t="n"/>
      <c r="N2" s="670" t="n"/>
      <c r="O2" s="670" t="n"/>
      <c r="P2" s="670" t="n"/>
      <c r="Q2" s="670" t="n"/>
      <c r="R2" s="670" t="n"/>
      <c r="S2" s="670" t="n"/>
      <c r="T2" s="670" t="n"/>
      <c r="U2" s="670" t="n"/>
      <c r="V2" s="671" t="n"/>
      <c r="W2" s="714" t="n"/>
      <c r="X2" s="665" t="n"/>
      <c r="Y2" s="663" t="n"/>
      <c r="Z2" s="715" t="n"/>
      <c r="AA2" s="663" t="n"/>
      <c r="AB2" s="716" t="n"/>
      <c r="AC2" s="666" t="n"/>
      <c r="BC2" s="156">
        <f>COUNT($E5:$AC5,$E7:$AC7)</f>
        <v/>
      </c>
      <c r="BD2" s="156">
        <f>COUNT($E9:$AC9,$E11:$AC11)</f>
        <v/>
      </c>
      <c r="BE2" s="156">
        <f>COUNT($E13:$AC13,$E15:$AC15)</f>
        <v/>
      </c>
      <c r="BF2" s="156">
        <f>COUNT(#REF!,#REF!)</f>
        <v/>
      </c>
      <c r="BG2" s="156">
        <f>COUNT(#REF!,#REF!)</f>
        <v/>
      </c>
      <c r="BH2" s="156" t="n"/>
    </row>
    <row r="3" ht="32.25" customHeight="1" thickBot="1">
      <c r="A3" s="555" t="inlineStr">
        <is>
          <t>■Dimensions measurement(INPUT DATA)</t>
        </is>
      </c>
      <c r="B3" s="614" t="n"/>
      <c r="C3" s="614" t="n"/>
      <c r="D3" s="614" t="n"/>
      <c r="E3" s="157" t="n"/>
      <c r="F3" s="534" t="n"/>
      <c r="G3" s="614" t="n"/>
      <c r="H3" s="614" t="n"/>
      <c r="I3" s="157" t="n"/>
      <c r="J3" s="157" t="n"/>
      <c r="K3" s="157" t="n"/>
      <c r="L3" s="157" t="n"/>
      <c r="M3" s="157" t="n"/>
      <c r="N3" s="157" t="n"/>
      <c r="O3" s="157" t="n"/>
      <c r="P3" s="157" t="n"/>
      <c r="Q3" s="157" t="n"/>
      <c r="R3" s="157" t="n"/>
      <c r="S3" s="157" t="n"/>
      <c r="T3" s="157" t="n"/>
      <c r="U3" s="157" t="n"/>
      <c r="V3" s="157" t="n"/>
      <c r="W3" s="157" t="n"/>
      <c r="X3" s="157" t="n"/>
      <c r="Y3" s="157" t="n"/>
      <c r="Z3" s="157" t="n"/>
      <c r="AA3" s="157" t="n"/>
      <c r="AB3" s="157" t="n"/>
      <c r="AC3" s="158" t="n"/>
      <c r="BC3" s="156" t="n"/>
      <c r="BD3" s="156" t="n"/>
      <c r="BE3" s="156" t="n"/>
      <c r="BF3" s="156" t="n"/>
      <c r="BG3" s="156" t="n"/>
      <c r="BH3" s="156" t="n"/>
    </row>
    <row r="4" ht="25.5" customFormat="1" customHeight="1" s="164">
      <c r="A4" s="159" t="inlineStr">
        <is>
          <t xml:space="preserve">Item </t>
        </is>
      </c>
      <c r="B4" s="160" t="inlineStr">
        <is>
          <t>Spec.</t>
        </is>
      </c>
      <c r="C4" s="161" t="inlineStr">
        <is>
          <t>Torance +</t>
        </is>
      </c>
      <c r="D4" s="161" t="inlineStr">
        <is>
          <t>Torance -</t>
        </is>
      </c>
      <c r="E4" s="162" t="n">
        <v>1</v>
      </c>
      <c r="F4" s="162" t="n">
        <v>2</v>
      </c>
      <c r="G4" s="162" t="n">
        <v>3</v>
      </c>
      <c r="H4" s="162" t="n">
        <v>4</v>
      </c>
      <c r="I4" s="162" t="n">
        <v>5</v>
      </c>
      <c r="J4" s="162" t="n">
        <v>6</v>
      </c>
      <c r="K4" s="162" t="n">
        <v>7</v>
      </c>
      <c r="L4" s="162" t="n">
        <v>8</v>
      </c>
      <c r="M4" s="162" t="n">
        <v>9</v>
      </c>
      <c r="N4" s="162" t="n">
        <v>10</v>
      </c>
      <c r="O4" s="162" t="n">
        <v>11</v>
      </c>
      <c r="P4" s="162" t="n">
        <v>12</v>
      </c>
      <c r="Q4" s="162" t="n">
        <v>13</v>
      </c>
      <c r="R4" s="162" t="n">
        <v>14</v>
      </c>
      <c r="S4" s="162" t="n">
        <v>15</v>
      </c>
      <c r="T4" s="162" t="n">
        <v>16</v>
      </c>
      <c r="U4" s="162" t="n">
        <v>17</v>
      </c>
      <c r="V4" s="162" t="n">
        <v>18</v>
      </c>
      <c r="W4" s="162" t="n">
        <v>19</v>
      </c>
      <c r="X4" s="162" t="n">
        <v>20</v>
      </c>
      <c r="Y4" s="162" t="n">
        <v>21</v>
      </c>
      <c r="Z4" s="162" t="n">
        <v>22</v>
      </c>
      <c r="AA4" s="162" t="n">
        <v>23</v>
      </c>
      <c r="AB4" s="162" t="n">
        <v>24</v>
      </c>
      <c r="AC4" s="163" t="n">
        <v>25</v>
      </c>
      <c r="AD4" s="155" t="n"/>
      <c r="BC4" s="165" t="n"/>
      <c r="BD4" s="165" t="n"/>
      <c r="BE4" s="165" t="n"/>
      <c r="BF4" s="165" t="n"/>
      <c r="BG4" s="165" t="n"/>
      <c r="BH4" s="165" t="n"/>
    </row>
    <row r="5" ht="14.1" customFormat="1" customHeight="1" s="164" thickBot="1">
      <c r="A5" s="557" t="n">
        <v>1</v>
      </c>
      <c r="B5" s="717" t="n"/>
      <c r="C5" s="718" t="n"/>
      <c r="D5" s="718" t="n"/>
      <c r="E5" s="166" t="n"/>
      <c r="F5" s="166" t="n"/>
      <c r="G5" s="166" t="n"/>
      <c r="H5" s="166" t="n"/>
      <c r="I5" s="166" t="n"/>
      <c r="J5" s="166" t="n"/>
      <c r="K5" s="166" t="n"/>
      <c r="L5" s="166" t="n"/>
      <c r="M5" s="166" t="n"/>
      <c r="N5" s="166" t="n"/>
      <c r="O5" s="166" t="n"/>
      <c r="P5" s="166" t="n"/>
      <c r="Q5" s="166" t="n"/>
      <c r="R5" s="166" t="n"/>
      <c r="S5" s="166" t="n"/>
      <c r="T5" s="166" t="n"/>
      <c r="U5" s="166" t="n"/>
      <c r="V5" s="166" t="n"/>
      <c r="W5" s="166" t="n"/>
      <c r="X5" s="166" t="n"/>
      <c r="Y5" s="166" t="n"/>
      <c r="Z5" s="166" t="n"/>
      <c r="AA5" s="166" t="n"/>
      <c r="AB5" s="166" t="n"/>
      <c r="AC5" s="167" t="n"/>
      <c r="BC5" s="165" t="n"/>
      <c r="BD5" s="165" t="n"/>
      <c r="BE5" s="165" t="n"/>
      <c r="BF5" s="165" t="n"/>
      <c r="BG5" s="165" t="n"/>
      <c r="BH5" s="165" t="n"/>
    </row>
    <row r="6" ht="14.1" customFormat="1" customHeight="1" s="164" thickBot="1" thickTop="1">
      <c r="A6" s="719" t="n"/>
      <c r="B6" s="720" t="n"/>
      <c r="C6" s="720" t="n"/>
      <c r="D6" s="720" t="n"/>
      <c r="E6" s="168" t="n"/>
      <c r="F6" s="168" t="n"/>
      <c r="G6" s="168" t="n"/>
      <c r="H6" s="168" t="n"/>
      <c r="I6" s="168" t="n"/>
      <c r="J6" s="168" t="n"/>
      <c r="K6" s="168" t="n"/>
      <c r="L6" s="168" t="n"/>
      <c r="M6" s="168" t="n"/>
      <c r="N6" s="168" t="n"/>
      <c r="O6" s="168" t="n"/>
      <c r="P6" s="168" t="n"/>
      <c r="Q6" s="168" t="n"/>
      <c r="R6" s="168" t="n"/>
      <c r="S6" s="168" t="n"/>
      <c r="T6" s="168" t="n"/>
      <c r="U6" s="168" t="n"/>
      <c r="V6" s="168" t="n"/>
      <c r="W6" s="168" t="n"/>
      <c r="X6" s="168" t="n"/>
      <c r="Y6" s="168" t="n"/>
      <c r="Z6" s="168" t="n"/>
      <c r="AA6" s="168" t="n"/>
      <c r="AB6" s="168" t="n"/>
      <c r="AC6" s="169" t="n"/>
      <c r="BC6" s="165" t="n"/>
      <c r="BD6" s="165" t="n"/>
      <c r="BE6" s="165" t="n"/>
      <c r="BF6" s="165" t="n"/>
      <c r="BG6" s="165" t="n"/>
      <c r="BH6" s="165" t="n"/>
    </row>
    <row r="7" ht="14.1" customFormat="1" customHeight="1" s="164" thickBot="1" thickTop="1">
      <c r="A7" s="721" t="n"/>
      <c r="B7" s="722" t="n"/>
      <c r="C7" s="722" t="n"/>
      <c r="D7" s="722" t="n"/>
      <c r="E7" s="166" t="n"/>
      <c r="F7" s="166" t="n"/>
      <c r="G7" s="166" t="n"/>
      <c r="H7" s="166" t="n"/>
      <c r="I7" s="166" t="n"/>
      <c r="J7" s="170" t="n"/>
      <c r="K7" s="171" t="n"/>
      <c r="L7" s="171" t="n"/>
      <c r="M7" s="172" t="n"/>
      <c r="N7" s="172" t="n"/>
      <c r="O7" s="172" t="n"/>
      <c r="P7" s="172" t="n"/>
      <c r="Q7" s="172" t="n"/>
      <c r="R7" s="172" t="n"/>
      <c r="S7" s="172" t="n"/>
      <c r="T7" s="172" t="n"/>
      <c r="U7" s="172" t="n"/>
      <c r="V7" s="172" t="n"/>
      <c r="W7" s="172" t="n"/>
      <c r="X7" s="172" t="n"/>
      <c r="Y7" s="172" t="n"/>
      <c r="Z7" s="172" t="n"/>
      <c r="AA7" s="172" t="n"/>
      <c r="AB7" s="172" t="n"/>
      <c r="AC7" s="173" t="n"/>
      <c r="AD7" s="723" t="n"/>
      <c r="BC7" s="165" t="n"/>
      <c r="BD7" s="165" t="n"/>
      <c r="BE7" s="165" t="n"/>
      <c r="BF7" s="165" t="n"/>
      <c r="BG7" s="165" t="n"/>
      <c r="BH7" s="165" t="n"/>
    </row>
    <row r="8" ht="14.1" customFormat="1" customHeight="1" s="164" thickBot="1" thickTop="1">
      <c r="A8" s="558" t="n">
        <v>2</v>
      </c>
      <c r="B8" s="724" t="n"/>
      <c r="C8" s="725" t="n"/>
      <c r="D8" s="725" t="n"/>
      <c r="E8" s="175" t="n"/>
      <c r="F8" s="175" t="n"/>
      <c r="G8" s="175" t="n"/>
      <c r="H8" s="175" t="n"/>
      <c r="I8" s="175" t="n"/>
      <c r="J8" s="175" t="n"/>
      <c r="K8" s="175" t="n"/>
      <c r="L8" s="175" t="n"/>
      <c r="M8" s="175" t="n"/>
      <c r="N8" s="175" t="n"/>
      <c r="O8" s="175" t="n"/>
      <c r="P8" s="175" t="n"/>
      <c r="Q8" s="175" t="n"/>
      <c r="R8" s="175" t="n"/>
      <c r="S8" s="175" t="n"/>
      <c r="T8" s="175" t="n"/>
      <c r="U8" s="175" t="n"/>
      <c r="V8" s="175" t="n"/>
      <c r="W8" s="175" t="n"/>
      <c r="X8" s="175" t="n"/>
      <c r="Y8" s="175" t="n"/>
      <c r="Z8" s="175" t="n"/>
      <c r="AA8" s="175" t="n"/>
      <c r="AB8" s="175" t="n"/>
      <c r="AC8" s="176" t="n"/>
      <c r="AD8" s="723" t="n"/>
      <c r="BC8" s="165" t="n"/>
      <c r="BD8" s="165" t="n"/>
      <c r="BE8" s="165" t="n"/>
      <c r="BF8" s="165" t="n"/>
      <c r="BG8" s="165" t="n"/>
      <c r="BH8" s="165" t="n"/>
    </row>
    <row r="9" ht="14.1" customFormat="1" customHeight="1" s="164" thickBot="1" thickTop="1">
      <c r="A9" s="719" t="n"/>
      <c r="B9" s="720" t="n"/>
      <c r="C9" s="720" t="n"/>
      <c r="D9" s="720" t="n"/>
      <c r="E9" s="166" t="n"/>
      <c r="F9" s="166" t="n"/>
      <c r="G9" s="166" t="n"/>
      <c r="H9" s="166" t="n"/>
      <c r="I9" s="166" t="n"/>
      <c r="J9" s="166" t="n"/>
      <c r="K9" s="166" t="n"/>
      <c r="L9" s="166" t="n"/>
      <c r="M9" s="166" t="n"/>
      <c r="N9" s="166" t="n"/>
      <c r="O9" s="166" t="n"/>
      <c r="P9" s="166" t="n"/>
      <c r="Q9" s="166" t="n"/>
      <c r="R9" s="166" t="n"/>
      <c r="S9" s="166" t="n"/>
      <c r="T9" s="166" t="n"/>
      <c r="U9" s="166" t="n"/>
      <c r="V9" s="166" t="n"/>
      <c r="W9" s="166" t="n"/>
      <c r="X9" s="166" t="n"/>
      <c r="Y9" s="166" t="n"/>
      <c r="Z9" s="166" t="n"/>
      <c r="AA9" s="166" t="n"/>
      <c r="AB9" s="166" t="n"/>
      <c r="AC9" s="167" t="n"/>
      <c r="BC9" s="165" t="n"/>
      <c r="BD9" s="165" t="n"/>
      <c r="BE9" s="165" t="n"/>
      <c r="BF9" s="165" t="n"/>
      <c r="BG9" s="165" t="n"/>
      <c r="BH9" s="165" t="n"/>
    </row>
    <row r="10" ht="14.1" customFormat="1" customHeight="1" s="164" thickBot="1" thickTop="1">
      <c r="A10" s="719" t="n"/>
      <c r="B10" s="720" t="n"/>
      <c r="C10" s="720" t="n"/>
      <c r="D10" s="720" t="n"/>
      <c r="E10" s="168" t="n"/>
      <c r="F10" s="168" t="n"/>
      <c r="G10" s="168" t="n"/>
      <c r="H10" s="168" t="n"/>
      <c r="I10" s="168" t="n"/>
      <c r="J10" s="168" t="n"/>
      <c r="K10" s="168" t="n"/>
      <c r="L10" s="168" t="n"/>
      <c r="M10" s="168" t="n"/>
      <c r="N10" s="168" t="n"/>
      <c r="O10" s="168" t="n"/>
      <c r="P10" s="168" t="n"/>
      <c r="Q10" s="168" t="n"/>
      <c r="R10" s="168" t="n"/>
      <c r="S10" s="168" t="n"/>
      <c r="T10" s="168" t="n"/>
      <c r="U10" s="168" t="n"/>
      <c r="V10" s="168" t="n"/>
      <c r="W10" s="168" t="n"/>
      <c r="X10" s="168" t="n"/>
      <c r="Y10" s="168" t="n"/>
      <c r="Z10" s="168" t="n"/>
      <c r="AA10" s="168" t="n"/>
      <c r="AB10" s="168" t="n"/>
      <c r="AC10" s="169" t="n"/>
      <c r="BC10" s="165" t="n"/>
      <c r="BD10" s="165" t="n"/>
      <c r="BE10" s="165" t="n"/>
      <c r="BF10" s="165" t="n"/>
      <c r="BG10" s="165" t="n"/>
      <c r="BH10" s="165" t="n"/>
    </row>
    <row r="11" ht="14.1" customFormat="1" customHeight="1" s="164" thickBot="1" thickTop="1">
      <c r="A11" s="721" t="n"/>
      <c r="B11" s="722" t="n"/>
      <c r="C11" s="722" t="n"/>
      <c r="D11" s="722" t="n"/>
      <c r="E11" s="177" t="n"/>
      <c r="F11" s="177" t="n"/>
      <c r="G11" s="177" t="n"/>
      <c r="H11" s="177" t="n"/>
      <c r="I11" s="177" t="n"/>
      <c r="J11" s="177" t="n"/>
      <c r="K11" s="177" t="n"/>
      <c r="L11" s="177" t="n"/>
      <c r="M11" s="177" t="n"/>
      <c r="N11" s="177" t="n"/>
      <c r="O11" s="178" t="n"/>
      <c r="P11" s="178" t="n"/>
      <c r="Q11" s="178" t="n"/>
      <c r="R11" s="178" t="n"/>
      <c r="S11" s="178" t="n"/>
      <c r="T11" s="178" t="n"/>
      <c r="U11" s="178" t="n"/>
      <c r="V11" s="178" t="n"/>
      <c r="W11" s="178" t="n"/>
      <c r="X11" s="178" t="n"/>
      <c r="Y11" s="178" t="n"/>
      <c r="Z11" s="178" t="n"/>
      <c r="AA11" s="178" t="n"/>
      <c r="AB11" s="178" t="n"/>
      <c r="AC11" s="179" t="n"/>
      <c r="AD11" s="723" t="n"/>
      <c r="BC11" s="165" t="n"/>
      <c r="BD11" s="165" t="n"/>
      <c r="BE11" s="165" t="n"/>
      <c r="BF11" s="165" t="n"/>
      <c r="BG11" s="165" t="n"/>
      <c r="BH11" s="165" t="n"/>
    </row>
    <row r="12" ht="14.1" customFormat="1" customHeight="1" s="164" thickBot="1" thickTop="1">
      <c r="A12" s="726" t="n">
        <v>3</v>
      </c>
      <c r="B12" s="724" t="n"/>
      <c r="C12" s="725" t="n"/>
      <c r="D12" s="725" t="n"/>
      <c r="E12" s="180" t="n"/>
      <c r="F12" s="180" t="n"/>
      <c r="G12" s="180" t="n"/>
      <c r="H12" s="180" t="n"/>
      <c r="I12" s="180" t="n"/>
      <c r="J12" s="180" t="n"/>
      <c r="K12" s="180" t="n"/>
      <c r="L12" s="180" t="n"/>
      <c r="M12" s="180" t="n"/>
      <c r="N12" s="180" t="n"/>
      <c r="O12" s="180" t="n"/>
      <c r="P12" s="180" t="n"/>
      <c r="Q12" s="180" t="n"/>
      <c r="R12" s="180" t="n"/>
      <c r="S12" s="180" t="n"/>
      <c r="T12" s="180" t="n"/>
      <c r="U12" s="180" t="n"/>
      <c r="V12" s="180" t="n"/>
      <c r="W12" s="180" t="n"/>
      <c r="X12" s="180" t="n"/>
      <c r="Y12" s="180" t="n"/>
      <c r="Z12" s="180" t="n"/>
      <c r="AA12" s="180" t="n"/>
      <c r="AB12" s="180" t="n"/>
      <c r="AC12" s="181" t="n"/>
      <c r="AD12" s="723" t="n"/>
      <c r="BC12" s="165" t="n"/>
      <c r="BD12" s="165" t="n"/>
      <c r="BE12" s="165" t="n"/>
      <c r="BF12" s="165" t="n"/>
      <c r="BG12" s="165" t="n"/>
      <c r="BH12" s="165" t="n"/>
    </row>
    <row r="13" ht="14.1" customFormat="1" customHeight="1" s="164" thickBot="1" thickTop="1">
      <c r="A13" s="719" t="n"/>
      <c r="B13" s="720" t="n"/>
      <c r="C13" s="720" t="n"/>
      <c r="D13" s="720" t="n"/>
      <c r="E13" s="166" t="n"/>
      <c r="F13" s="166" t="n"/>
      <c r="G13" s="166" t="n"/>
      <c r="H13" s="166" t="n"/>
      <c r="I13" s="166" t="n"/>
      <c r="J13" s="166" t="n"/>
      <c r="K13" s="166" t="n"/>
      <c r="L13" s="166" t="n"/>
      <c r="M13" s="166" t="n"/>
      <c r="N13" s="166" t="n"/>
      <c r="O13" s="166" t="n"/>
      <c r="P13" s="166" t="n"/>
      <c r="Q13" s="166" t="n"/>
      <c r="R13" s="166" t="n"/>
      <c r="S13" s="166" t="n"/>
      <c r="T13" s="166" t="n"/>
      <c r="U13" s="166" t="n"/>
      <c r="V13" s="166" t="n"/>
      <c r="W13" s="166" t="n"/>
      <c r="X13" s="166" t="n"/>
      <c r="Y13" s="166" t="n"/>
      <c r="Z13" s="166" t="n"/>
      <c r="AA13" s="166" t="n"/>
      <c r="AB13" s="166" t="n"/>
      <c r="AC13" s="167" t="n"/>
      <c r="BC13" s="165" t="n"/>
      <c r="BD13" s="165" t="n"/>
      <c r="BE13" s="165" t="n"/>
      <c r="BF13" s="165" t="n"/>
      <c r="BG13" s="165" t="n"/>
      <c r="BH13" s="165" t="n"/>
    </row>
    <row r="14" ht="14.1" customFormat="1" customHeight="1" s="164" thickBot="1" thickTop="1">
      <c r="A14" s="719" t="n"/>
      <c r="B14" s="720" t="n"/>
      <c r="C14" s="720" t="n"/>
      <c r="D14" s="720" t="n"/>
      <c r="E14" s="168" t="n"/>
      <c r="F14" s="168" t="n"/>
      <c r="G14" s="168" t="n"/>
      <c r="H14" s="168" t="n"/>
      <c r="I14" s="168" t="n"/>
      <c r="J14" s="168" t="n"/>
      <c r="K14" s="168" t="n"/>
      <c r="L14" s="168" t="n"/>
      <c r="M14" s="168" t="n"/>
      <c r="N14" s="168" t="n"/>
      <c r="O14" s="168" t="n"/>
      <c r="P14" s="168" t="n"/>
      <c r="Q14" s="168" t="n"/>
      <c r="R14" s="168" t="n"/>
      <c r="S14" s="168" t="n"/>
      <c r="T14" s="168" t="n"/>
      <c r="U14" s="168" t="n"/>
      <c r="V14" s="168" t="n"/>
      <c r="W14" s="168" t="n"/>
      <c r="X14" s="168" t="n"/>
      <c r="Y14" s="168" t="n"/>
      <c r="Z14" s="168" t="n"/>
      <c r="AA14" s="168" t="n"/>
      <c r="AB14" s="168" t="n"/>
      <c r="AC14" s="169" t="n"/>
      <c r="BC14" s="165" t="n"/>
      <c r="BD14" s="165" t="n"/>
      <c r="BE14" s="165" t="n"/>
      <c r="BF14" s="165" t="n"/>
      <c r="BG14" s="165" t="n"/>
      <c r="BH14" s="165" t="n"/>
    </row>
    <row r="15" ht="14.1" customFormat="1" customHeight="1" s="164" thickBot="1" thickTop="1">
      <c r="A15" s="727" t="n"/>
      <c r="B15" s="722" t="n"/>
      <c r="C15" s="722" t="n"/>
      <c r="D15" s="722" t="n"/>
      <c r="E15" s="182" t="n"/>
      <c r="F15" s="182" t="n"/>
      <c r="G15" s="182" t="n"/>
      <c r="H15" s="182" t="n"/>
      <c r="I15" s="182" t="n"/>
      <c r="J15" s="182" t="n"/>
      <c r="K15" s="182" t="n"/>
      <c r="L15" s="182" t="n"/>
      <c r="M15" s="182" t="n"/>
      <c r="N15" s="182" t="n"/>
      <c r="O15" s="183" t="n"/>
      <c r="P15" s="183" t="n"/>
      <c r="Q15" s="183" t="n"/>
      <c r="R15" s="183" t="n"/>
      <c r="S15" s="183" t="n"/>
      <c r="T15" s="183" t="n"/>
      <c r="U15" s="183" t="n"/>
      <c r="V15" s="183" t="n"/>
      <c r="W15" s="183" t="n"/>
      <c r="X15" s="183" t="n"/>
      <c r="Y15" s="183" t="n"/>
      <c r="Z15" s="183" t="n"/>
      <c r="AA15" s="183" t="n"/>
      <c r="AB15" s="183" t="n"/>
      <c r="AC15" s="184" t="n"/>
      <c r="BC15" s="165" t="n"/>
      <c r="BD15" s="165" t="n"/>
      <c r="BE15" s="165" t="n"/>
      <c r="BF15" s="165" t="n"/>
      <c r="BG15" s="165" t="n"/>
      <c r="BH15" s="165" t="n"/>
    </row>
    <row r="16" ht="14.1" customFormat="1" customHeight="1" s="164">
      <c r="A16" s="185" t="n"/>
      <c r="B16" s="186" t="n"/>
      <c r="C16" s="187" t="n"/>
      <c r="D16" s="187" t="n"/>
      <c r="E16" s="188" t="n"/>
      <c r="F16" s="188" t="n"/>
      <c r="G16" s="188" t="n"/>
      <c r="H16" s="188" t="n"/>
      <c r="I16" s="188" t="n"/>
      <c r="J16" s="188" t="n"/>
      <c r="K16" s="188" t="n"/>
      <c r="L16" s="188" t="n"/>
      <c r="M16" s="188" t="n"/>
      <c r="N16" s="188" t="n"/>
      <c r="O16" s="189" t="n"/>
      <c r="P16" s="189" t="n"/>
      <c r="Q16" s="189" t="n"/>
      <c r="R16" s="189" t="n"/>
      <c r="S16" s="189" t="n"/>
      <c r="T16" s="189" t="n"/>
      <c r="U16" s="189" t="n"/>
      <c r="V16" s="189" t="n"/>
      <c r="W16" s="189" t="n"/>
      <c r="X16" s="189" t="n"/>
      <c r="Y16" s="189" t="n"/>
      <c r="Z16" s="189" t="n"/>
      <c r="AA16" s="189" t="n"/>
      <c r="AB16" s="189" t="n"/>
      <c r="AC16" s="190" t="n"/>
      <c r="BC16" s="165" t="n"/>
      <c r="BD16" s="165" t="n"/>
      <c r="BE16" s="165" t="n"/>
      <c r="BF16" s="165" t="n"/>
      <c r="BG16" s="165" t="n"/>
      <c r="BH16" s="165" t="n"/>
    </row>
    <row r="17" ht="5.25" customFormat="1" customHeight="1" s="164">
      <c r="A17" s="191" t="n"/>
      <c r="B17" s="192" t="n"/>
      <c r="C17" s="193" t="n"/>
      <c r="D17" s="193" t="n"/>
      <c r="E17" s="194" t="n"/>
      <c r="F17" s="194" t="n"/>
      <c r="G17" s="194" t="n"/>
      <c r="H17" s="194" t="n"/>
      <c r="I17" s="194" t="n"/>
      <c r="J17" s="194" t="n"/>
      <c r="K17" s="194" t="n"/>
      <c r="L17" s="194" t="n"/>
      <c r="M17" s="194" t="n"/>
      <c r="N17" s="194" t="n"/>
      <c r="O17" s="195" t="n"/>
      <c r="P17" s="195" t="n"/>
      <c r="Q17" s="195" t="n"/>
      <c r="R17" s="195" t="n"/>
      <c r="S17" s="195" t="n"/>
      <c r="T17" s="195" t="n"/>
      <c r="U17" s="195" t="n"/>
      <c r="V17" s="195" t="n"/>
      <c r="W17" s="195" t="n"/>
      <c r="X17" s="195" t="n"/>
      <c r="Y17" s="195" t="n"/>
      <c r="Z17" s="195" t="n"/>
      <c r="AA17" s="195" t="n"/>
      <c r="AB17" s="195" t="n"/>
      <c r="AC17" s="196" t="n"/>
      <c r="BC17" s="165" t="n"/>
      <c r="BD17" s="165" t="n"/>
      <c r="BE17" s="165" t="n"/>
      <c r="BF17" s="165" t="n"/>
      <c r="BG17" s="165" t="n"/>
      <c r="BH17" s="165" t="n"/>
    </row>
    <row r="18" ht="15.75" customFormat="1" customHeight="1" s="164">
      <c r="A18" s="197" t="n"/>
      <c r="E18" s="728" t="n"/>
      <c r="F18" s="728" t="n"/>
      <c r="G18" s="728" t="n"/>
      <c r="H18" s="729" t="n"/>
      <c r="I18" s="729" t="inlineStr">
        <is>
          <t xml:space="preserve"> </t>
        </is>
      </c>
      <c r="J18" s="729" t="n"/>
      <c r="K18" s="729" t="n"/>
      <c r="L18" s="729" t="n"/>
      <c r="M18" s="729" t="n"/>
      <c r="N18" s="729" t="n"/>
      <c r="O18" s="729" t="n"/>
      <c r="P18" s="729" t="n"/>
      <c r="Q18" s="729" t="n"/>
      <c r="R18" s="729" t="n"/>
      <c r="S18" s="729" t="n"/>
      <c r="T18" s="729" t="n"/>
      <c r="U18" s="729" t="n"/>
      <c r="V18" s="729" t="n"/>
      <c r="W18" s="729" t="n"/>
      <c r="X18" s="729" t="n"/>
      <c r="Y18" s="729" t="n"/>
      <c r="Z18" s="729" t="n"/>
      <c r="AA18" s="729" t="n"/>
      <c r="AB18" s="729" t="n"/>
      <c r="AC18" s="730" t="n"/>
      <c r="AD18" s="729" t="n"/>
      <c r="AE18" s="155" t="n"/>
      <c r="AF18" s="155" t="n"/>
      <c r="AG18" s="201" t="n"/>
      <c r="AH18" s="731" t="n"/>
      <c r="AJ18" s="155" t="n"/>
      <c r="AK18" s="155" t="n"/>
      <c r="AL18" s="155" t="n"/>
      <c r="AM18" s="155" t="n"/>
      <c r="AN18" s="155" t="n"/>
      <c r="AO18" s="155" t="n"/>
      <c r="AP18" s="155" t="n"/>
      <c r="AQ18" s="155" t="n"/>
      <c r="AR18" s="155" t="n"/>
      <c r="AS18" s="155" t="n"/>
      <c r="BC18" s="165" t="n"/>
      <c r="BD18" s="156" t="n"/>
      <c r="BE18" s="165" t="n"/>
      <c r="BF18" s="165" t="n"/>
      <c r="BG18" s="165" t="n"/>
      <c r="BH18" s="165" t="n"/>
    </row>
    <row r="19">
      <c r="A19" s="203" t="n"/>
      <c r="M19" s="729" t="n"/>
      <c r="N19" s="729" t="n"/>
      <c r="O19" s="729" t="n"/>
      <c r="P19" s="729" t="n"/>
      <c r="Q19" s="729" t="n"/>
      <c r="R19" s="729" t="n"/>
      <c r="S19" s="729" t="n"/>
      <c r="T19" s="729" t="n"/>
      <c r="AC19" s="204" t="n"/>
      <c r="AG19" s="201" t="n"/>
      <c r="AH19" s="731" t="n"/>
      <c r="AI19" s="164" t="n"/>
      <c r="BC19" s="156" t="n"/>
      <c r="BD19" s="156">
        <f>"&gt;"&amp;TEXT($K21,"0.000")</f>
        <v/>
      </c>
      <c r="BE19" s="156">
        <f>COUNTIF($E$5:$AC$5,$BD19)+COUNTIF($E$7:$AC$7,$BD19)</f>
        <v/>
      </c>
      <c r="BF19" s="156" t="n"/>
      <c r="BG19" s="156" t="n"/>
      <c r="BH19" s="156" t="n"/>
    </row>
    <row r="20" ht="16.5" customHeight="1">
      <c r="A20" s="205" t="inlineStr">
        <is>
          <t>■ Output DATA</t>
        </is>
      </c>
      <c r="J20" s="206" t="n"/>
      <c r="K20" s="207" t="n"/>
      <c r="L20" s="207" t="n"/>
      <c r="AC20" s="204" t="n"/>
      <c r="AG20" s="201" t="n"/>
      <c r="AH20" s="731" t="n"/>
      <c r="AI20" s="164" t="n"/>
      <c r="BC20" s="156" t="n"/>
      <c r="BD20" s="156">
        <f>"&gt;"&amp;TEXT($K22,"0.000")</f>
        <v/>
      </c>
      <c r="BE20" s="156">
        <f>COUNTIF($E$5:$AC$5,$BD20)+COUNTIF($E$7:$AC$7,$BD20)</f>
        <v/>
      </c>
      <c r="BF20" s="156" t="n"/>
      <c r="BG20" s="156" t="n"/>
      <c r="BH20" s="156" t="n"/>
    </row>
    <row r="21" ht="20.25" customHeight="1">
      <c r="A21" s="570" t="inlineStr">
        <is>
          <t>Dimensions point of management</t>
        </is>
      </c>
      <c r="B21" s="654" t="n"/>
      <c r="C21" s="654" t="n"/>
      <c r="D21" s="654" t="n"/>
      <c r="E21" s="654" t="n"/>
      <c r="F21" s="208" t="n"/>
      <c r="G21" s="249" t="n"/>
      <c r="J21" s="206" t="n"/>
      <c r="K21" s="732">
        <f>IF(ISBLANK($E$5),"",K22-J24)</f>
        <v/>
      </c>
      <c r="L21" s="207">
        <f>IF(ISBLANK($E$5),"",(IF($BE19-$BE20=0,"",$BE19-$BE20)))</f>
        <v/>
      </c>
      <c r="AC21" s="204" t="n"/>
      <c r="AG21" s="201" t="n"/>
      <c r="AH21" s="731" t="n"/>
      <c r="AI21" s="164" t="n"/>
      <c r="BC21" s="156" t="n"/>
      <c r="BD21" s="156">
        <f>"&gt;"&amp;TEXT($K23,"0.000")</f>
        <v/>
      </c>
      <c r="BE21" s="156">
        <f>COUNTIF($E$5:$AC$5,$BD21)+COUNTIF($E$7:$AC$7,$BD21)</f>
        <v/>
      </c>
      <c r="BF21" s="156" t="n"/>
      <c r="BG21" s="156" t="n"/>
      <c r="BH21" s="156" t="n"/>
    </row>
    <row r="22" ht="20.1" customHeight="1">
      <c r="A22" s="568" t="inlineStr">
        <is>
          <t>Main dimensions</t>
        </is>
      </c>
      <c r="B22" s="654" t="n"/>
      <c r="C22" s="569">
        <f>IF($A5=0,"",$A5)</f>
        <v/>
      </c>
      <c r="D22" s="569">
        <f>IF($A8=0,"",$A8)</f>
        <v/>
      </c>
      <c r="E22" s="569" t="n">
        <v>3</v>
      </c>
      <c r="F22" s="212" t="n"/>
      <c r="G22" s="249" t="n"/>
      <c r="J22" s="206" t="n"/>
      <c r="K22" s="732">
        <f>IF(ISBLANK($E$5),"",K23-J24)</f>
        <v/>
      </c>
      <c r="L22" s="207">
        <f>IF(ISBLANK($E$5),"",(IF($BE20-$BE21=0,"",$BE20-$BE21)))</f>
        <v/>
      </c>
      <c r="AC22" s="204" t="n"/>
      <c r="AG22" s="201" t="n"/>
      <c r="AH22" s="731" t="n"/>
      <c r="AI22" s="164" t="n"/>
      <c r="BC22" s="156" t="n"/>
      <c r="BD22" s="156">
        <f>"&gt;"&amp;TEXT($K24,"0.000")</f>
        <v/>
      </c>
      <c r="BE22" s="156">
        <f>COUNTIF($E$5:$AC$5,$BD22)+COUNTIF($E$7:$AC$7,$BD22)</f>
        <v/>
      </c>
      <c r="BF22" s="156" t="n"/>
      <c r="BG22" s="156" t="n"/>
      <c r="BH22" s="156" t="n"/>
    </row>
    <row r="23" ht="20.1" customHeight="1">
      <c r="A23" s="568" t="inlineStr">
        <is>
          <t>Item Specification</t>
        </is>
      </c>
      <c r="B23" s="654" t="n"/>
      <c r="C23" s="213" t="n"/>
      <c r="D23" s="733" t="n"/>
      <c r="E23" s="733" t="n"/>
      <c r="F23" s="734" t="n"/>
      <c r="G23" s="249" t="n"/>
      <c r="H23" s="216" t="n"/>
      <c r="I23" s="164" t="n"/>
      <c r="J23" s="735">
        <f>IF(ISBLANK(E5),"",C35)</f>
        <v/>
      </c>
      <c r="K23" s="732">
        <f>IF(ISBLANK($E$5),"",J23-0.005)</f>
        <v/>
      </c>
      <c r="L23" s="207">
        <f>IF(ISBLANK($E$5),"",(IF($BE21-$BE22=0,"",$BE21-$BE22)))</f>
        <v/>
      </c>
      <c r="AC23" s="204" t="n"/>
      <c r="AG23" s="201" t="n"/>
      <c r="AH23" s="731" t="n"/>
      <c r="AI23" s="164" t="n"/>
      <c r="BC23" s="156" t="n"/>
      <c r="BD23" s="156">
        <f>"&gt;"&amp;TEXT($K25,"0.000")</f>
        <v/>
      </c>
      <c r="BE23" s="156">
        <f>COUNTIF($E$5:$AC$5,$BD23)+COUNTIF($E$7:$AC$7,$BD23)</f>
        <v/>
      </c>
      <c r="BF23" s="156" t="n"/>
      <c r="BG23" s="156" t="n"/>
      <c r="BH23" s="156" t="n"/>
    </row>
    <row r="24" ht="20.1" customHeight="1">
      <c r="A24" s="568" t="inlineStr">
        <is>
          <t>Tolerance(+)</t>
        </is>
      </c>
      <c r="B24" s="654" t="n"/>
      <c r="C24" s="733" t="n"/>
      <c r="D24" s="733" t="n"/>
      <c r="E24" s="733" t="n"/>
      <c r="F24" s="734" t="n"/>
      <c r="G24" s="249" t="n"/>
      <c r="I24" s="164" t="n"/>
      <c r="J24" s="736">
        <f>IF(ISBLANK(E5),"",(C34-C35)/6)</f>
        <v/>
      </c>
      <c r="K24" s="732">
        <f>IF(ISBLANK($E$5),"",K23+J$24)</f>
        <v/>
      </c>
      <c r="L24" s="207">
        <f>IF(ISBLANK($E$5),"",(IF($BE22-$BE23=0,"",$BE22-$BE23)))</f>
        <v/>
      </c>
      <c r="AC24" s="204" t="n"/>
      <c r="AG24" s="201" t="n"/>
      <c r="AH24" s="731" t="n"/>
      <c r="BC24" s="156" t="n"/>
      <c r="BD24" s="156">
        <f>"&gt;"&amp;TEXT($K26,"0.000")</f>
        <v/>
      </c>
      <c r="BE24" s="156">
        <f>COUNTIF($E$5:$AC$5,$BD24)+COUNTIF($E$7:$AC$7,$BD24)</f>
        <v/>
      </c>
      <c r="BF24" s="156" t="n"/>
      <c r="BG24" s="156" t="n"/>
      <c r="BH24" s="156" t="n"/>
    </row>
    <row r="25" ht="20.1" customHeight="1">
      <c r="A25" s="568" t="inlineStr">
        <is>
          <t>Tolerance(-)</t>
        </is>
      </c>
      <c r="B25" s="654" t="n"/>
      <c r="C25" s="733" t="n"/>
      <c r="D25" s="733" t="n"/>
      <c r="E25" s="733" t="n"/>
      <c r="F25" s="734" t="n"/>
      <c r="G25" s="249" t="n"/>
      <c r="J25" s="219" t="n"/>
      <c r="K25" s="732">
        <f>IF(ISBLANK($E$5),"",K24+J$24)</f>
        <v/>
      </c>
      <c r="L25" s="207">
        <f>IF(ISBLANK($E$5),"",(IF($BE23-$BE24=0,"",$BE23-$BE24)))</f>
        <v/>
      </c>
      <c r="M25" s="164">
        <f>IF(M$23="","",M22+M23)</f>
        <v/>
      </c>
      <c r="AC25" s="204" t="n"/>
      <c r="AH25" s="731" t="n"/>
      <c r="AI25" s="164" t="n"/>
      <c r="BC25" s="156" t="n"/>
      <c r="BD25" s="156">
        <f>"&gt;"&amp;TEXT($K27,"0.000")</f>
        <v/>
      </c>
      <c r="BE25" s="156">
        <f>COUNTIF($E$5:$AC$5,$BD25)+COUNTIF($E$7:$AC$7,$BD25)</f>
        <v/>
      </c>
      <c r="BF25" s="156" t="n"/>
      <c r="BG25" s="156" t="n"/>
      <c r="BH25" s="156" t="n"/>
    </row>
    <row r="26" ht="20.1" customHeight="1">
      <c r="A26" s="568" t="inlineStr">
        <is>
          <t>Upper limit (UCL)</t>
        </is>
      </c>
      <c r="B26" s="654" t="n"/>
      <c r="C26" s="213" t="n"/>
      <c r="D26" s="213" t="n"/>
      <c r="E26" s="213" t="n"/>
      <c r="F26" s="220" t="n"/>
      <c r="G26" s="249" t="n"/>
      <c r="J26" s="219" t="n"/>
      <c r="K26" s="732">
        <f>IF(ISBLANK($E$5),"",K25+J$24)</f>
        <v/>
      </c>
      <c r="L26" s="207">
        <f>IF(ISBLANK($E$5),"",(IF($BE24-$BE25=0,"",$BE24-$BE25)))</f>
        <v/>
      </c>
      <c r="M26" s="164">
        <f>IF(M22="","",M22-M24)</f>
        <v/>
      </c>
      <c r="AC26" s="204" t="n"/>
      <c r="AF26" s="737" t="n"/>
      <c r="AH26" s="723" t="n"/>
      <c r="BC26" s="156" t="n"/>
      <c r="BD26" s="156">
        <f>"&gt;"&amp;TEXT($K28,"0.000")</f>
        <v/>
      </c>
      <c r="BE26" s="156">
        <f>COUNTIF($E$5:$AC$5,$BD26)+COUNTIF($E$7:$AC$7,$BD26)</f>
        <v/>
      </c>
      <c r="BF26" s="156" t="n"/>
      <c r="BG26" s="156" t="n"/>
      <c r="BH26" s="156" t="n"/>
    </row>
    <row r="27" ht="20.1" customHeight="1">
      <c r="A27" s="568" t="inlineStr">
        <is>
          <t>Lower limit (LCL)</t>
        </is>
      </c>
      <c r="B27" s="654" t="n"/>
      <c r="C27" s="213" t="n"/>
      <c r="D27" s="213" t="n"/>
      <c r="E27" s="213" t="n"/>
      <c r="F27" s="220" t="n"/>
      <c r="G27" s="249" t="n"/>
      <c r="J27" s="219" t="n"/>
      <c r="K27" s="732">
        <f>IF(ISBLANK($E$5),"",K26+J$24)</f>
        <v/>
      </c>
      <c r="L27" s="207">
        <f>IF(ISBLANK($E$5),"",(IF($BE25-$BE26=0,"",$BE25-$BE26)))</f>
        <v/>
      </c>
      <c r="AC27" s="204" t="n"/>
      <c r="BC27" s="156" t="n"/>
      <c r="BD27" s="156">
        <f>"&gt;"&amp;TEXT($K29,"0.000")</f>
        <v/>
      </c>
      <c r="BE27" s="156">
        <f>COUNTIF($E$5:$AC$5,$BD27)+COUNTIF($E$7:$AC$7,$BD27)</f>
        <v/>
      </c>
      <c r="BF27" s="156" t="n"/>
      <c r="BG27" s="156" t="n"/>
      <c r="BH27" s="156" t="n"/>
    </row>
    <row r="28" ht="24" customHeight="1">
      <c r="A28" s="572" t="inlineStr">
        <is>
          <t>MEASUREMENT DATA</t>
        </is>
      </c>
      <c r="B28" s="654" t="n"/>
      <c r="C28" s="654" t="n"/>
      <c r="D28" s="654" t="n"/>
      <c r="E28" s="654" t="n"/>
      <c r="F28" s="222" t="n"/>
      <c r="G28" s="249" t="n"/>
      <c r="J28" s="219" t="n"/>
      <c r="K28" s="732">
        <f>IF(ISBLANK($E$5),"",K27+J$24)</f>
        <v/>
      </c>
      <c r="L28" s="207">
        <f>IF(ISBLANK($E$5),"",(IF($BE26-$BE27=0,"",$BE26-$BE27)))</f>
        <v/>
      </c>
      <c r="AC28" s="204" t="n"/>
      <c r="AH28" s="164" t="n"/>
      <c r="AI28" s="164" t="n"/>
      <c r="BC28" s="156" t="n"/>
      <c r="BD28" s="156">
        <f>"&gt;"&amp;TEXT($K30,"0.000")</f>
        <v/>
      </c>
      <c r="BE28" s="156">
        <f>COUNTIF($E$5:$AC$5,$BD28)+COUNTIF($E$7:$AC$7,$BD28)</f>
        <v/>
      </c>
      <c r="BF28" s="156" t="n"/>
      <c r="BG28" s="156" t="n"/>
      <c r="BH28" s="156" t="n"/>
    </row>
    <row r="29" ht="20.1" customHeight="1">
      <c r="A29" s="568" t="inlineStr">
        <is>
          <t>Main dimensions</t>
        </is>
      </c>
      <c r="B29" s="654" t="n"/>
      <c r="C29" s="569">
        <f>C22</f>
        <v/>
      </c>
      <c r="D29" s="569">
        <f>D22</f>
        <v/>
      </c>
      <c r="E29" s="569">
        <f>E22</f>
        <v/>
      </c>
      <c r="F29" s="212" t="n"/>
      <c r="G29" s="249" t="n"/>
      <c r="J29" s="219" t="n"/>
      <c r="K29" s="732">
        <f>IF(ISBLANK($E$5),"",K28+J$24)</f>
        <v/>
      </c>
      <c r="L29" s="207">
        <f>IF(ISBLANK($E$5),"",(IF($BE27-$BE28=0,"",$BE27-$BE28)))</f>
        <v/>
      </c>
      <c r="AC29" s="204" t="n"/>
      <c r="AF29" s="201" t="n"/>
      <c r="AH29" s="223" t="n"/>
      <c r="AI29" s="164" t="n"/>
      <c r="BC29" s="156" t="n"/>
      <c r="BD29" s="156">
        <f>"&gt;"&amp;TEXT($K31,"0.000")</f>
        <v/>
      </c>
      <c r="BE29" s="156">
        <f>COUNTIF($E$5:$AC$5,$BD29)+COUNTIF($E$7:$AC$7,$BD29)</f>
        <v/>
      </c>
      <c r="BF29" s="156" t="n"/>
      <c r="BG29" s="156" t="n"/>
      <c r="BH29" s="156" t="n"/>
    </row>
    <row r="30" ht="20.1" customHeight="1">
      <c r="A30" s="568" t="inlineStr">
        <is>
          <t>Average(X bar)</t>
        </is>
      </c>
      <c r="B30" s="654" t="n"/>
      <c r="C30" s="738">
        <f>IF(E5=0,"",AVERAGE($E5:$AC5,$E7:$AC7))</f>
        <v/>
      </c>
      <c r="D30" s="738">
        <f>IF($E9=0,"",AVERAGE(E9:AC9,E11:AC11))</f>
        <v/>
      </c>
      <c r="E30" s="738">
        <f>IF($E13=0,"",AVERAGE($E13:$AC13,$E15:$AC15))</f>
        <v/>
      </c>
      <c r="F30" s="739" t="n"/>
      <c r="H30" s="249" t="n"/>
      <c r="I30" s="226" t="n"/>
      <c r="J30" s="219" t="n"/>
      <c r="K30" s="732">
        <f>IF(ISBLANK($E$5),"",K29+J$24)</f>
        <v/>
      </c>
      <c r="L30" s="207">
        <f>IF(ISBLANK($E$5),"",(IF($BE28-$BE29=0,"",$BE28-$BE29)))</f>
        <v/>
      </c>
      <c r="AC30" s="204" t="n"/>
      <c r="AE30" s="216" t="n"/>
      <c r="AG30" s="740" t="n"/>
      <c r="AH30" s="223" t="n"/>
      <c r="AI30" s="164" t="n"/>
      <c r="BC30" s="156" t="n"/>
      <c r="BD30" s="156">
        <f>"&gt;"&amp;TEXT($K32,"0.000")</f>
        <v/>
      </c>
      <c r="BE30" s="156">
        <f>COUNTIF($E$5:$AC$5,$BD30)+COUNTIF($E$7:$AC$7,$BD30)</f>
        <v/>
      </c>
      <c r="BF30" s="156" t="n"/>
      <c r="BG30" s="156" t="n"/>
      <c r="BH30" s="156" t="n"/>
    </row>
    <row r="31" ht="30.75" customHeight="1">
      <c r="A31" s="574" t="inlineStr">
        <is>
          <t>Standard 
deviation(Sigma)</t>
        </is>
      </c>
      <c r="B31" s="654" t="n"/>
      <c r="C31" s="738">
        <f>IF(E5=0,"",STDEV($E5:$AC5,$E7:$AC7))</f>
        <v/>
      </c>
      <c r="D31" s="738">
        <f>IF(E9=0,"",STDEV($E9:$AC9,$E11:$AC11))</f>
        <v/>
      </c>
      <c r="E31" s="738">
        <f>IF(F13=0,"",STDEV($E13:$AC13,$E15:$AC15))</f>
        <v/>
      </c>
      <c r="F31" s="739" t="n"/>
      <c r="G31" s="249" t="n"/>
      <c r="J31" s="219" t="n"/>
      <c r="K31" s="732">
        <f>IF(ISBLANK($E$5),"",K30+J$24)</f>
        <v/>
      </c>
      <c r="L31" s="207">
        <f>IF(ISBLANK($E$5),"",(IF($BE29-$BE30=0,"",$BE29-$BE30)))</f>
        <v/>
      </c>
      <c r="AC31" s="204" t="n"/>
      <c r="AF31" s="164" t="n"/>
      <c r="AG31" s="731" t="n"/>
      <c r="AH31" s="223" t="n"/>
      <c r="AI31" s="164" t="n"/>
      <c r="BC31" s="156" t="n"/>
      <c r="BD31" s="156">
        <f>"&gt;"&amp;TEXT($K33,"0.000")</f>
        <v/>
      </c>
      <c r="BE31" s="156">
        <f>COUNTIF($E$5:$AC$5,$BD31)+COUNTIF($E$7:$AC$7,$BD31)</f>
        <v/>
      </c>
      <c r="BF31" s="156" t="n"/>
      <c r="BG31" s="156" t="n"/>
      <c r="BH31" s="156" t="n"/>
    </row>
    <row r="32" ht="20.1" customHeight="1">
      <c r="A32" s="568" t="inlineStr">
        <is>
          <t>Median</t>
        </is>
      </c>
      <c r="B32" s="654" t="n"/>
      <c r="C32" s="738">
        <f>IF(E5=0,"",MEDIAN($E5:$AC5,$E7:$AC7))</f>
        <v/>
      </c>
      <c r="D32" s="738">
        <f>IF(E9=0,"",MEDIAN($E9:$AC9,$E11:$AC11))</f>
        <v/>
      </c>
      <c r="E32" s="738">
        <f>IF(F13=0,"",MEDIAN($E13:$AC13,$E15:$AC15))</f>
        <v/>
      </c>
      <c r="F32" s="739" t="n"/>
      <c r="G32" s="249" t="n"/>
      <c r="J32" s="219" t="n"/>
      <c r="K32" s="732">
        <f>IF(ISBLANK($E$5),"",K31+J$24)</f>
        <v/>
      </c>
      <c r="L32" s="207">
        <f>IF(ISBLANK($E$5),"",(IF($BE30-$BE31=0,"",$BE30-$BE31)))</f>
        <v/>
      </c>
      <c r="AC32" s="204" t="n"/>
      <c r="AF32" s="164" t="n"/>
      <c r="AG32" s="164" t="n"/>
      <c r="AH32" s="223" t="n"/>
      <c r="AI32" s="164" t="n"/>
      <c r="BC32" s="156" t="n"/>
      <c r="BD32" s="156" t="n"/>
      <c r="BE32" s="156" t="n"/>
      <c r="BF32" s="156" t="n"/>
      <c r="BG32" s="156" t="n"/>
      <c r="BH32" s="156" t="n"/>
    </row>
    <row r="33" ht="20.1" customHeight="1">
      <c r="A33" s="568" t="inlineStr">
        <is>
          <t>Mode</t>
        </is>
      </c>
      <c r="B33" s="654" t="n"/>
      <c r="C33" s="738">
        <f>IF(E5=0,"",MODE($E5:$AC5,$E7:$AC7))</f>
        <v/>
      </c>
      <c r="D33" s="738">
        <f>IF(E9=0,"",MODE($E9:$AC9,$E11:$AC11))</f>
        <v/>
      </c>
      <c r="E33" s="738">
        <f>IF(F13=0,"",MODE($E13:$AC13,$E15:$AC15))</f>
        <v/>
      </c>
      <c r="F33" s="739" t="n"/>
      <c r="G33" s="249" t="n"/>
      <c r="J33" s="206" t="n"/>
      <c r="K33" s="732">
        <f>IF(ISBLANK($E$5),"",K32+J$24)</f>
        <v/>
      </c>
      <c r="L33" s="207">
        <f>IF(ISBLANK($E$5),"",(IF($BE31-$BE32=0,"",$BE31-$BE32)))</f>
        <v/>
      </c>
      <c r="AC33" s="204" t="n"/>
      <c r="AG33" s="201" t="n"/>
      <c r="AH33" s="223" t="n"/>
      <c r="AI33" s="164" t="n"/>
      <c r="BC33" s="156" t="n"/>
      <c r="BD33" s="156">
        <f>"&gt;"&amp;TEXT($K38,"0.000")</f>
        <v/>
      </c>
      <c r="BE33" s="156">
        <f>COUNTIF($E$9:$AC$9,$BD33)+COUNTIF($E$11:$AC$11,$BD33)</f>
        <v/>
      </c>
      <c r="BF33" s="156" t="n"/>
      <c r="BG33" s="156" t="n"/>
      <c r="BH33" s="156" t="n"/>
    </row>
    <row r="34" ht="20.1" customHeight="1">
      <c r="A34" s="568" t="inlineStr">
        <is>
          <t>Maximum(Max)</t>
        </is>
      </c>
      <c r="B34" s="654" t="n"/>
      <c r="C34" s="738">
        <f>IF(E5=0,"",MAX($E5:$AC5,$E7:$AC7))</f>
        <v/>
      </c>
      <c r="D34" s="738">
        <f>IF(E9=0,"",MAX($E9:$AC9,$E11:$AC11))</f>
        <v/>
      </c>
      <c r="E34" s="738">
        <f>IF(F13=0,"",MAX($E13:$AC13,$E15:$AC15))</f>
        <v/>
      </c>
      <c r="F34" s="739" t="n"/>
      <c r="J34" s="206" t="n"/>
      <c r="K34" s="206" t="n"/>
      <c r="L34" s="206" t="n"/>
      <c r="AC34" s="204" t="n"/>
      <c r="AG34" s="201" t="n"/>
      <c r="AH34" s="223" t="n"/>
      <c r="AI34" s="164" t="n"/>
      <c r="BC34" s="156" t="n"/>
      <c r="BD34" s="156">
        <f>"&gt;"&amp;TEXT($K39,"0.000")</f>
        <v/>
      </c>
      <c r="BE34" s="156">
        <f>COUNTIF($E$9:$AC$9,$BD34)+COUNTIF($E$11:$AC$11,$BD34)</f>
        <v/>
      </c>
      <c r="BF34" s="156" t="n"/>
      <c r="BG34" s="156" t="n"/>
      <c r="BH34" s="156" t="n"/>
    </row>
    <row r="35" ht="20.1" customHeight="1">
      <c r="A35" s="568" t="inlineStr">
        <is>
          <t>Minimum(Min)</t>
        </is>
      </c>
      <c r="B35" s="654" t="n"/>
      <c r="C35" s="738">
        <f>IF(E5=0,"",MIN($E5:$AC5,$E7:$AC7))</f>
        <v/>
      </c>
      <c r="D35" s="738">
        <f>IF(E9=0,"",MIN($E9:$AC9,$E11:$AC11))</f>
        <v/>
      </c>
      <c r="E35" s="738">
        <f>IF(F13=0,"",MIN($E13:$AC13,$E15:$AC15))</f>
        <v/>
      </c>
      <c r="F35" s="739" t="n"/>
      <c r="G35" s="249" t="n"/>
      <c r="J35" s="206" t="n"/>
      <c r="K35" s="741" t="n"/>
      <c r="L35" s="229" t="n"/>
      <c r="AC35" s="204" t="n"/>
      <c r="AG35" s="201" t="n"/>
      <c r="AH35" s="223" t="n"/>
      <c r="AI35" s="164" t="n"/>
      <c r="BC35" s="156" t="n"/>
      <c r="BD35" s="156">
        <f>"&gt;"&amp;TEXT($K40,"0.000")</f>
        <v/>
      </c>
      <c r="BE35" s="156">
        <f>COUNTIF($E$9:$AC$9,$BD35)+COUNTIF($E$11:$AC$11,$BD35)</f>
        <v/>
      </c>
      <c r="BF35" s="156" t="n"/>
      <c r="BG35" s="156" t="n"/>
      <c r="BH35" s="156" t="n"/>
    </row>
    <row r="36" ht="20.1" customHeight="1">
      <c r="A36" s="575" t="inlineStr">
        <is>
          <t>Process Capability</t>
        </is>
      </c>
      <c r="B36" s="569" t="inlineStr">
        <is>
          <t>CA</t>
        </is>
      </c>
      <c r="C36" s="742">
        <f>IF(C$31="","",(C$32-C$23)/((C$26-C$27)/2))</f>
        <v/>
      </c>
      <c r="D36" s="742">
        <f>IF(D$31="","",(D$32-D$23)/((D$26-D$27)/2))</f>
        <v/>
      </c>
      <c r="E36" s="742">
        <f>IF(E$31="","",(E$32-E$23)/((E$26-E$27)/2))</f>
        <v/>
      </c>
      <c r="F36" s="743" t="n"/>
      <c r="G36" s="249" t="n"/>
      <c r="J36" s="206" t="n"/>
      <c r="K36" s="206" t="n"/>
      <c r="L36" s="206" t="n"/>
      <c r="AC36" s="204" t="n"/>
      <c r="AG36" s="201" t="n"/>
      <c r="AH36" s="223" t="n"/>
      <c r="AI36" s="164" t="n"/>
      <c r="BC36" s="156" t="n"/>
      <c r="BD36" s="156">
        <f>"&gt;"&amp;TEXT($K41,"0.000")</f>
        <v/>
      </c>
      <c r="BE36" s="156">
        <f>COUNTIF($E$9:$AC$9,$BD36)+COUNTIF($E$11:$AC$11,$BD36)</f>
        <v/>
      </c>
      <c r="BF36" s="156" t="n"/>
      <c r="BG36" s="156" t="n"/>
      <c r="BH36" s="156" t="n"/>
    </row>
    <row r="37" ht="20.1" customHeight="1">
      <c r="A37" s="620" t="n"/>
      <c r="B37" s="569" t="inlineStr">
        <is>
          <t>CP</t>
        </is>
      </c>
      <c r="C37" s="742">
        <f>IF(C$31="","",ABS((C$26-C$27))/(6*C$31))</f>
        <v/>
      </c>
      <c r="D37" s="742">
        <f>IF(D$31="","",ABS((D$26-D$27))/(6*D$31))</f>
        <v/>
      </c>
      <c r="E37" s="742">
        <f>IF(E$31="","",ABS((E$26-E$27))/(6*E$31))</f>
        <v/>
      </c>
      <c r="F37" s="743" t="n"/>
      <c r="G37" s="249" t="n"/>
      <c r="J37" s="206" t="n"/>
      <c r="K37" s="207" t="n"/>
      <c r="L37" s="207" t="n"/>
      <c r="AC37" s="204" t="n"/>
      <c r="AG37" s="201" t="n"/>
      <c r="AH37" s="223" t="n"/>
      <c r="AI37" s="164" t="n"/>
      <c r="BC37" s="156" t="n"/>
      <c r="BD37" s="156">
        <f>"&gt;"&amp;TEXT($K42,"0.000")</f>
        <v/>
      </c>
      <c r="BE37" s="156">
        <f>COUNTIF($E$9:$AC$9,$BD37)+COUNTIF($E$11:$AC$11,$BD37)</f>
        <v/>
      </c>
      <c r="BF37" s="156" t="n"/>
      <c r="BG37" s="156" t="n"/>
      <c r="BH37" s="156" t="n"/>
    </row>
    <row r="38" ht="20.1" customHeight="1">
      <c r="A38" s="628" t="n"/>
      <c r="B38" s="232" t="inlineStr">
        <is>
          <t>CPK</t>
        </is>
      </c>
      <c r="C38" s="744">
        <f>IF(C$31="","",(1-ABS(C$36))*C$37)</f>
        <v/>
      </c>
      <c r="D38" s="744">
        <f>IF(D$31="","",(1-ABS(D$36))*D$37)</f>
        <v/>
      </c>
      <c r="E38" s="744">
        <f>IF(E$31="","",(1-ABS(E$36))*E$37)</f>
        <v/>
      </c>
      <c r="F38" s="745" t="n"/>
      <c r="G38" s="249" t="n"/>
      <c r="I38" s="201" t="n"/>
      <c r="J38" s="206" t="n"/>
      <c r="K38" s="732">
        <f>IF(ISBLANK($E$9),"",K39-J$40)</f>
        <v/>
      </c>
      <c r="L38" s="207">
        <f>IF(ISBLANK($E$9),"",(IF($BE33-$BE34=0,"",$BE33-$BE34)))</f>
        <v/>
      </c>
      <c r="AC38" s="204" t="n"/>
      <c r="AG38" s="201" t="n"/>
      <c r="AH38" s="223" t="n"/>
      <c r="AI38" s="164" t="n"/>
      <c r="BC38" s="156" t="n"/>
      <c r="BD38" s="156">
        <f>"&gt;"&amp;TEXT($K43,"0.000")</f>
        <v/>
      </c>
      <c r="BE38" s="156">
        <f>COUNTIF($E$9:$AC$9,$BD38)+COUNTIF($E$11:$AC$11,$BD38)</f>
        <v/>
      </c>
      <c r="BF38" s="156" t="n"/>
      <c r="BG38" s="156" t="n"/>
      <c r="BH38" s="156" t="n"/>
    </row>
    <row r="39" ht="12.95" customHeight="1">
      <c r="A39" s="235" t="n"/>
      <c r="B39" s="249" t="n"/>
      <c r="C39" s="249" t="n"/>
      <c r="D39" s="249" t="n"/>
      <c r="E39" s="249" t="n"/>
      <c r="F39" s="249" t="n"/>
      <c r="G39" s="249" t="n"/>
      <c r="H39" s="236">
        <f>IF(ISBLANK($E$9),"",D22)</f>
        <v/>
      </c>
      <c r="I39" s="164" t="n"/>
      <c r="J39" s="735">
        <f>IF(ISBLANK($E$9),"",D35)</f>
        <v/>
      </c>
      <c r="K39" s="732">
        <f>IF(ISBLANK($E$9),"",K40-J$40)</f>
        <v/>
      </c>
      <c r="L39" s="207">
        <f>IF(ISBLANK($E$9),"",(IF($BE34-$BE35=0,"",$BE34-$BE35)))</f>
        <v/>
      </c>
      <c r="V39" s="164" t="n"/>
      <c r="AC39" s="204" t="n"/>
      <c r="AG39" s="201" t="n"/>
      <c r="AH39" s="223" t="n"/>
      <c r="BC39" s="156" t="n"/>
      <c r="BD39" s="156">
        <f>"&gt;"&amp;TEXT($K44,"0.000")</f>
        <v/>
      </c>
      <c r="BE39" s="156">
        <f>COUNTIF($E$9:$AC$9,$BD39)+COUNTIF($E$11:$AC$11,$BD39)</f>
        <v/>
      </c>
      <c r="BF39" s="156" t="n"/>
      <c r="BG39" s="156" t="n"/>
      <c r="BH39" s="156" t="n"/>
    </row>
    <row r="40" ht="12.95" customHeight="1">
      <c r="A40" s="235" t="n"/>
      <c r="B40" s="249" t="n"/>
      <c r="C40" s="249" t="n"/>
      <c r="D40" s="249" t="n"/>
      <c r="E40" s="249" t="n"/>
      <c r="F40" s="249" t="n"/>
      <c r="G40" s="249" t="n"/>
      <c r="I40" s="164" t="n"/>
      <c r="J40" s="746">
        <f>IF(ISBLANK($E$9),"",(D34-D35)/6)</f>
        <v/>
      </c>
      <c r="K40" s="732">
        <f>IF(ISBLANK($E$9),"",J39-0.005)</f>
        <v/>
      </c>
      <c r="L40" s="207">
        <f>IF(ISBLANK($E$9),"",(IF($BE35-$BE36=0,"",$BE35-$BE36)))</f>
        <v/>
      </c>
      <c r="V40" s="164" t="n"/>
      <c r="AC40" s="204" t="n"/>
      <c r="AH40" s="223" t="n"/>
      <c r="AI40" s="164" t="n"/>
      <c r="BC40" s="156" t="n"/>
      <c r="BD40" s="156">
        <f>"&gt;"&amp;TEXT($K45,"0.000")</f>
        <v/>
      </c>
      <c r="BE40" s="156">
        <f>COUNTIF($E$9:$AC$9,$BD40)+COUNTIF($E$11:$AC$11,$BD40)</f>
        <v/>
      </c>
      <c r="BF40" s="156" t="n"/>
      <c r="BG40" s="156" t="n"/>
      <c r="BH40" s="156" t="n"/>
    </row>
    <row r="41" ht="12.95" customHeight="1">
      <c r="A41" s="235" t="n"/>
      <c r="B41" s="249" t="n"/>
      <c r="C41" s="249" t="n"/>
      <c r="D41" s="249" t="n"/>
      <c r="E41" s="249" t="n"/>
      <c r="F41" s="249" t="n"/>
      <c r="G41" s="249" t="n"/>
      <c r="I41" s="164">
        <f>IF(I37="","",I37-I39)</f>
        <v/>
      </c>
      <c r="J41" s="207">
        <f>IF(J37="","",J37-J39)</f>
        <v/>
      </c>
      <c r="K41" s="732">
        <f>IF(ISBLANK($E$9),"",K40+J$40)</f>
        <v/>
      </c>
      <c r="L41" s="207">
        <f>IF(ISBLANK($E$9),"",(IF($BE36-$BE37=0,"",$BE36-$BE37)))</f>
        <v/>
      </c>
      <c r="AC41" s="204" t="n"/>
      <c r="BC41" s="156" t="n"/>
      <c r="BD41" s="156">
        <f>"&gt;"&amp;TEXT($K46,"0.000")</f>
        <v/>
      </c>
      <c r="BE41" s="156">
        <f>COUNTIF($E$9:$AC$9,$BD41)+COUNTIF($E$11:$AC$11,$BD41)</f>
        <v/>
      </c>
      <c r="BF41" s="156" t="n"/>
      <c r="BG41" s="156" t="n"/>
      <c r="BH41" s="156" t="n"/>
    </row>
    <row r="42" ht="12.95" customHeight="1">
      <c r="A42" s="235" t="n"/>
      <c r="B42" s="249" t="n"/>
      <c r="C42" s="238" t="n"/>
      <c r="D42" s="238" t="n"/>
      <c r="E42" s="238" t="n"/>
      <c r="F42" s="249" t="n"/>
      <c r="G42" s="249" t="n"/>
      <c r="J42" s="219" t="n"/>
      <c r="K42" s="732">
        <f>IF(ISBLANK($E$9),"",K41+J$40)</f>
        <v/>
      </c>
      <c r="L42" s="207">
        <f>IF(ISBLANK($E$9),"",(IF($BE37-$BE38=0,"",$BE37-$BE38)))</f>
        <v/>
      </c>
      <c r="U42" s="747" t="n"/>
      <c r="AC42" s="204" t="n"/>
      <c r="BC42" s="156" t="n"/>
      <c r="BD42" s="156">
        <f>"&gt;"&amp;TEXT($K47,"0.000")</f>
        <v/>
      </c>
      <c r="BE42" s="156">
        <f>COUNTIF($E$9:$AC$9,$BD42)+COUNTIF($E$11:$AC$11,$BD42)</f>
        <v/>
      </c>
      <c r="BF42" s="156" t="n"/>
      <c r="BG42" s="156" t="n"/>
      <c r="BH42" s="156" t="n"/>
    </row>
    <row r="43" ht="12.95" customHeight="1">
      <c r="A43" s="235" t="n"/>
      <c r="B43" s="249" t="n"/>
      <c r="C43" s="249" t="n"/>
      <c r="D43" s="249" t="n"/>
      <c r="E43" s="249" t="n"/>
      <c r="F43" s="249" t="n"/>
      <c r="G43" s="249" t="n"/>
      <c r="J43" s="219" t="n"/>
      <c r="K43" s="732">
        <f>IF(ISBLANK($E$9),"",K42+J$40)</f>
        <v/>
      </c>
      <c r="L43" s="207">
        <f>IF(ISBLANK($E$9),"",(IF($BE38-$BE39=0,"",$BE38-$BE39)))</f>
        <v/>
      </c>
      <c r="U43" s="216" t="n"/>
      <c r="AC43" s="204" t="n"/>
      <c r="BC43" s="156" t="n"/>
      <c r="BD43" s="156">
        <f>"&gt;"&amp;TEXT($K48,"0.000")</f>
        <v/>
      </c>
      <c r="BE43" s="156">
        <f>COUNTIF($E$9:$AC$9,$BD43)+COUNTIF($E$11:$AC$11,$BD43)</f>
        <v/>
      </c>
      <c r="BF43" s="156" t="n"/>
      <c r="BG43" s="156" t="n"/>
      <c r="BH43" s="156" t="n"/>
    </row>
    <row r="44" ht="12.95" customHeight="1">
      <c r="A44" s="235" t="n"/>
      <c r="B44" s="249" t="n"/>
      <c r="C44" s="249" t="n"/>
      <c r="D44" s="249" t="n"/>
      <c r="E44" s="249" t="n"/>
      <c r="F44" s="249" t="n"/>
      <c r="G44" s="249" t="n"/>
      <c r="J44" s="219" t="n"/>
      <c r="K44" s="732">
        <f>IF(ISBLANK($E$9),"",K43+J$40)</f>
        <v/>
      </c>
      <c r="L44" s="207">
        <f>IF(ISBLANK($E$9),"",(IF($BE39-$BE40=0,"",$BE39-$BE40)))</f>
        <v/>
      </c>
      <c r="AC44" s="204" t="n"/>
      <c r="BC44" s="156" t="n"/>
      <c r="BD44" s="156">
        <f>"&gt;"&amp;TEXT($K49,"0.000")</f>
        <v/>
      </c>
      <c r="BE44" s="156">
        <f>COUNTIF($E$9:$AC$9,$BD44)+COUNTIF($E$11:$AC$11,$BD44)</f>
        <v/>
      </c>
      <c r="BF44" s="156" t="n"/>
      <c r="BG44" s="156" t="n"/>
      <c r="BH44" s="156" t="n"/>
    </row>
    <row r="45" ht="12.95" customHeight="1">
      <c r="A45" s="240" t="n"/>
      <c r="B45" s="226" t="n"/>
      <c r="C45" s="226" t="n"/>
      <c r="D45" s="226" t="n"/>
      <c r="E45" s="226" t="n"/>
      <c r="F45" s="226" t="n"/>
      <c r="G45" s="226" t="n"/>
      <c r="J45" s="219" t="n"/>
      <c r="K45" s="732">
        <f>IF(ISBLANK($E$9),"",K44+J$40)</f>
        <v/>
      </c>
      <c r="L45" s="207">
        <f>IF(ISBLANK($E$9),"",(IF($BE40-$BE41=0,"",$BE40-$BE41)))</f>
        <v/>
      </c>
      <c r="AC45" s="204" t="n"/>
      <c r="BC45" s="156" t="n"/>
      <c r="BD45" s="156">
        <f>"&gt;"&amp;TEXT($K50,"0.000")</f>
        <v/>
      </c>
      <c r="BE45" s="156">
        <f>COUNTIF($E$9:$AC$9,$BD45)+COUNTIF($E$11:$AC$11,$BD45)</f>
        <v/>
      </c>
      <c r="BF45" s="156" t="n"/>
      <c r="BG45" s="156" t="n"/>
      <c r="BH45" s="156" t="n"/>
    </row>
    <row r="46" ht="12.95" customHeight="1">
      <c r="A46" s="203" t="n"/>
      <c r="J46" s="219" t="n"/>
      <c r="K46" s="732">
        <f>IF(ISBLANK($E$9),"",K45+J$40)</f>
        <v/>
      </c>
      <c r="L46" s="207">
        <f>IF(ISBLANK($E$9),"",(IF($BE41-$BE42=0,"",$BE41-$BE42)))</f>
        <v/>
      </c>
      <c r="AC46" s="204" t="n"/>
      <c r="BC46" s="156" t="n"/>
      <c r="BD46" s="156" t="n"/>
      <c r="BE46" s="156" t="n"/>
      <c r="BF46" s="156" t="n"/>
      <c r="BG46" s="156" t="n"/>
      <c r="BH46" s="156" t="n"/>
    </row>
    <row r="47" ht="12.95" customHeight="1">
      <c r="A47" s="203" t="n"/>
      <c r="J47" s="219" t="n"/>
      <c r="K47" s="732">
        <f>IF(ISBLANK($E$9),"",K46+J$40)</f>
        <v/>
      </c>
      <c r="L47" s="207">
        <f>IF(ISBLANK($E$9),"",(IF($BE42-$BE43=0,"",$BE42-$BE43)))</f>
        <v/>
      </c>
      <c r="AC47" s="204" t="n"/>
      <c r="BC47" s="156" t="n"/>
      <c r="BD47" s="156" t="n"/>
      <c r="BE47" s="156" t="n"/>
      <c r="BF47" s="156" t="n"/>
      <c r="BG47" s="156" t="n"/>
      <c r="BH47" s="156" t="n"/>
    </row>
    <row r="48" ht="12.95" customHeight="1">
      <c r="A48" s="203" t="n"/>
      <c r="J48" s="219" t="n"/>
      <c r="K48" s="732">
        <f>IF(ISBLANK($E$9),"",K47+J$40)</f>
        <v/>
      </c>
      <c r="L48" s="207">
        <f>IF(ISBLANK($E$9),"",(IF($BE43-$BE44=0,"",$BE43-$BE44)))</f>
        <v/>
      </c>
      <c r="AC48" s="204" t="n"/>
      <c r="BC48" s="156" t="n"/>
      <c r="BD48" s="156" t="n"/>
      <c r="BE48" s="156" t="n"/>
      <c r="BF48" s="156" t="n"/>
      <c r="BG48" s="156" t="n"/>
      <c r="BH48" s="156" t="n"/>
    </row>
    <row r="49" ht="12.95" customHeight="1">
      <c r="A49" s="203" t="n"/>
      <c r="J49" s="206" t="n"/>
      <c r="K49" s="732">
        <f>IF(ISBLANK($E$9),"",K48+J$40)</f>
        <v/>
      </c>
      <c r="L49" s="207">
        <f>IF(ISBLANK($E$9),"",(IF($BE44-$BE45=0,"",$BE44-$BE45)))</f>
        <v/>
      </c>
      <c r="AC49" s="204" t="n"/>
      <c r="BC49" s="156" t="n"/>
      <c r="BD49" s="156" t="n"/>
      <c r="BE49" s="156" t="n"/>
      <c r="BF49" s="156" t="n"/>
      <c r="BG49" s="156" t="n"/>
      <c r="BH49" s="156" t="n"/>
    </row>
    <row r="50" ht="12.95" customHeight="1">
      <c r="A50" s="203" t="n"/>
      <c r="J50" s="206" t="n"/>
      <c r="K50" s="732">
        <f>IF(ISBLANK($E$9),"",K49+J$40)</f>
        <v/>
      </c>
      <c r="L50" s="207">
        <f>IF(ISBLANK($E$9),"",(IF($BE45-$BE46=0,"",$BE45-$BE46)))</f>
        <v/>
      </c>
      <c r="AC50" s="204" t="n"/>
      <c r="BC50" s="156" t="n"/>
      <c r="BD50" s="156" t="n"/>
      <c r="BE50" s="156" t="n"/>
      <c r="BF50" s="156" t="n"/>
      <c r="BG50" s="156" t="n"/>
      <c r="BH50" s="156" t="n"/>
    </row>
    <row r="51" ht="12.95" customHeight="1">
      <c r="A51" s="203" t="n"/>
      <c r="J51" s="206" t="n"/>
      <c r="K51" s="206" t="n"/>
      <c r="L51" s="206" t="n"/>
      <c r="AC51" s="204" t="n"/>
      <c r="BC51" s="156" t="n"/>
      <c r="BD51" s="156" t="n"/>
      <c r="BE51" s="156" t="n"/>
      <c r="BF51" s="156" t="n"/>
      <c r="BG51" s="156" t="n"/>
      <c r="BH51" s="156" t="n"/>
    </row>
    <row r="52" ht="12.95" customHeight="1">
      <c r="A52" s="203" t="n"/>
      <c r="J52" s="206" t="n"/>
      <c r="K52" s="206" t="n"/>
      <c r="L52" s="206" t="n"/>
      <c r="AC52" s="204" t="n"/>
      <c r="BC52" s="156" t="n"/>
      <c r="BD52" s="156" t="n"/>
      <c r="BE52" s="156" t="n"/>
      <c r="BF52" s="156" t="n"/>
      <c r="BG52" s="156" t="n"/>
      <c r="BH52" s="156" t="n"/>
    </row>
    <row r="53" ht="12.95" customHeight="1">
      <c r="A53" s="203" t="n"/>
      <c r="G53" s="249" t="n"/>
      <c r="J53" s="206" t="n"/>
      <c r="K53" s="206" t="n"/>
      <c r="L53" s="206" t="n"/>
      <c r="AC53" s="204" t="n"/>
      <c r="BC53" s="156" t="n"/>
      <c r="BD53" s="156" t="n"/>
      <c r="BE53" s="156" t="n"/>
      <c r="BF53" s="156" t="n"/>
      <c r="BG53" s="156" t="n"/>
      <c r="BH53" s="156" t="n"/>
    </row>
    <row r="54" ht="14.1" customHeight="1">
      <c r="A54" s="203" t="n"/>
      <c r="F54" s="164" t="n"/>
      <c r="G54" s="249" t="n"/>
      <c r="J54" s="206" t="n"/>
      <c r="K54" s="206" t="n"/>
      <c r="L54" s="206" t="n"/>
      <c r="AC54" s="204" t="n"/>
      <c r="BC54" s="156" t="n"/>
      <c r="BD54" s="156" t="n"/>
      <c r="BE54" s="156" t="n"/>
      <c r="BF54" s="156" t="n"/>
      <c r="BG54" s="156" t="n"/>
      <c r="BH54" s="156" t="n"/>
    </row>
    <row r="55" ht="14.1" customHeight="1">
      <c r="A55" s="203" t="n"/>
      <c r="G55" s="249" t="n"/>
      <c r="J55" s="206" t="n"/>
      <c r="K55" s="736" t="n"/>
      <c r="L55" s="736" t="n"/>
      <c r="M55" s="729" t="n"/>
      <c r="N55" s="729" t="n"/>
      <c r="O55" s="729" t="n"/>
      <c r="P55" s="729" t="n"/>
      <c r="Q55" s="729" t="n"/>
      <c r="AC55" s="204" t="n"/>
      <c r="BC55" s="156">
        <f>"&gt;"&amp;TEXT(K57,"0.000")</f>
        <v/>
      </c>
      <c r="BD55" s="156">
        <f>COUNTIF($E$13:$AC$13,$BC55)+COUNTIF($E$15:$AC$15,$BC55)</f>
        <v/>
      </c>
      <c r="BE55" s="156" t="n"/>
      <c r="BF55" s="156" t="n"/>
      <c r="BG55" s="156" t="n"/>
      <c r="BH55" s="156" t="n"/>
    </row>
    <row r="56" ht="14.1" customHeight="1">
      <c r="A56" s="203" t="n"/>
      <c r="G56" s="249" t="n"/>
      <c r="J56" s="206" t="n"/>
      <c r="K56" s="207" t="n"/>
      <c r="L56" s="207" t="n"/>
      <c r="AC56" s="204" t="n"/>
      <c r="BC56" s="156">
        <f>"&gt;"&amp;TEXT(K58,"0.000")</f>
        <v/>
      </c>
      <c r="BD56" s="156">
        <f>COUNTIF($E$13:$AC$13,$BC56)+COUNTIF($E$15:$AC$15,$BC56)</f>
        <v/>
      </c>
      <c r="BE56" s="156" t="n"/>
      <c r="BF56" s="156" t="n"/>
      <c r="BG56" s="156" t="n"/>
      <c r="BH56" s="156" t="n"/>
    </row>
    <row r="57" ht="14.1" customHeight="1">
      <c r="A57" s="203" t="n"/>
      <c r="G57" s="249" t="n"/>
      <c r="J57" s="206" t="n"/>
      <c r="K57" s="732">
        <f>IF(ISBLANK($E$13),"",K58-J60)</f>
        <v/>
      </c>
      <c r="L57" s="207">
        <f>IF(ISBLANK($E$13),"",(IF($BD55-$BD56=0,"",$BD55-$BD56)))</f>
        <v/>
      </c>
      <c r="AC57" s="204" t="n"/>
      <c r="BC57" s="156">
        <f>"&gt;"&amp;TEXT(K59,"0.000")</f>
        <v/>
      </c>
      <c r="BD57" s="156">
        <f>COUNTIF($E$13:$AC$13,$BC57)+COUNTIF($E$15:$AC$15,$BC57)</f>
        <v/>
      </c>
      <c r="BE57" s="156" t="n"/>
      <c r="BF57" s="156" t="n"/>
      <c r="BG57" s="156" t="n"/>
      <c r="BH57" s="156" t="n"/>
    </row>
    <row r="58" ht="14.1" customHeight="1">
      <c r="A58" s="203" t="n"/>
      <c r="G58" s="249" t="n"/>
      <c r="I58" s="201" t="n"/>
      <c r="J58" s="206" t="n"/>
      <c r="K58" s="732">
        <f>IF(ISBLANK($E$13),"",K59-J60)</f>
        <v/>
      </c>
      <c r="L58" s="207">
        <f>IF(ISBLANK($E$13),"",(IF($BD56-$BD57=0,"",$BD56-$BD57)))</f>
        <v/>
      </c>
      <c r="AC58" s="204" t="n"/>
      <c r="BC58" s="156">
        <f>"&gt;"&amp;TEXT(K60,"0.000")</f>
        <v/>
      </c>
      <c r="BD58" s="156">
        <f>COUNTIF($E$13:$AC$13,$BC58)+COUNTIF($E$15:$AC$15,$BC58)</f>
        <v/>
      </c>
      <c r="BE58" s="156" t="n"/>
      <c r="BF58" s="156" t="n"/>
      <c r="BG58" s="156" t="n"/>
      <c r="BH58" s="156" t="n"/>
    </row>
    <row r="59" ht="14.1" customHeight="1">
      <c r="A59" s="203" t="n"/>
      <c r="G59" s="249" t="n"/>
      <c r="H59" s="236">
        <f>IF(ISBLANK($E$13),"",E22)</f>
        <v/>
      </c>
      <c r="I59" s="164" t="n"/>
      <c r="J59" s="735">
        <f>IF(ISBLANK($E$13),"",E35)</f>
        <v/>
      </c>
      <c r="K59" s="732">
        <f>IF(ISBLANK($E$13),"",J59-0.005)</f>
        <v/>
      </c>
      <c r="L59" s="207">
        <f>IF(ISBLANK($E$13),"",(IF($BD57-$BD58=0,"",$BD57-$BD58)))</f>
        <v/>
      </c>
      <c r="AC59" s="204" t="n"/>
      <c r="BC59" s="156">
        <f>"&gt;"&amp;TEXT(K61,"0.000")</f>
        <v/>
      </c>
      <c r="BD59" s="156">
        <f>COUNTIF($E$13:$AC$13,$BC59)+COUNTIF($E$15:$AC$15,$BC59)</f>
        <v/>
      </c>
      <c r="BE59" s="156" t="n"/>
      <c r="BF59" s="156" t="n"/>
      <c r="BG59" s="156" t="n"/>
      <c r="BH59" s="156" t="n"/>
    </row>
    <row r="60" ht="14.1" customHeight="1">
      <c r="A60" s="203" t="n"/>
      <c r="G60" s="249" t="n"/>
      <c r="I60" s="164" t="n"/>
      <c r="J60" s="746">
        <f>IF(ISBLANK($E$13),"",(E34-E35)/6)</f>
        <v/>
      </c>
      <c r="K60" s="732">
        <f>IF(ISBLANK($E$13),"",K59+J60)</f>
        <v/>
      </c>
      <c r="L60" s="207">
        <f>IF(ISBLANK($E$13),"",(IF($BD58-$BD59=0,"",$BD58-$BD59)))</f>
        <v/>
      </c>
      <c r="AC60" s="204" t="n"/>
      <c r="BC60" s="156">
        <f>"&gt;"&amp;TEXT(K62,"0.000")</f>
        <v/>
      </c>
      <c r="BD60" s="156">
        <f>COUNTIF($E$13:$AC$13,$BC60)+COUNTIF($E$15:$AC$15,$BC60)</f>
        <v/>
      </c>
      <c r="BE60" s="156" t="n"/>
      <c r="BF60" s="156" t="n"/>
      <c r="BG60" s="156" t="n"/>
      <c r="BH60" s="156" t="n"/>
    </row>
    <row r="61" ht="9.75" customHeight="1">
      <c r="A61" s="203" t="n"/>
      <c r="G61" s="249" t="n"/>
      <c r="I61" s="164">
        <f>IF(I57="","",I57-I59)</f>
        <v/>
      </c>
      <c r="J61" s="207">
        <f>IF(J57="","",J57-J59)</f>
        <v/>
      </c>
      <c r="K61" s="732">
        <f>IF(ISBLANK($E$13),"",K60+J$60)</f>
        <v/>
      </c>
      <c r="L61" s="207">
        <f>IF(ISBLANK($E$13),"",(IF($BD59-$BD60=0,"",$BD59-$BD60)))</f>
        <v/>
      </c>
      <c r="AC61" s="204" t="n"/>
      <c r="BC61" s="156">
        <f>"&gt;"&amp;TEXT(K63,"0.000")</f>
        <v/>
      </c>
      <c r="BD61" s="156">
        <f>COUNTIF($E$13:$AC$13,$BC61)+COUNTIF($E$15:$AC$15,$BC61)</f>
        <v/>
      </c>
      <c r="BE61" s="156" t="n"/>
      <c r="BF61" s="156" t="n"/>
      <c r="BG61" s="156" t="n"/>
      <c r="BH61" s="156" t="n"/>
    </row>
    <row r="62" hidden="1" ht="13.5" customHeight="1">
      <c r="A62" s="203" t="n"/>
      <c r="G62" s="249" t="n"/>
      <c r="J62" s="219" t="n"/>
      <c r="K62" s="732">
        <f>IF(ISBLANK($E$13),"",K61+J$60)</f>
        <v/>
      </c>
      <c r="L62" s="207">
        <f>IF(ISBLANK($E$13),"",(IF($BD60-$BD61=0,"",$BD60-$BD61)))</f>
        <v/>
      </c>
      <c r="AC62" s="204" t="n"/>
      <c r="BC62" s="156">
        <f>"&gt;"&amp;TEXT(K64,"0.000")</f>
        <v/>
      </c>
      <c r="BD62" s="156">
        <f>COUNTIF($E$13:$AC$13,$BC62)+COUNTIF($E$15:$AC$15,$BC62)</f>
        <v/>
      </c>
      <c r="BE62" s="156" t="n"/>
      <c r="BF62" s="156" t="n"/>
      <c r="BG62" s="156" t="n"/>
      <c r="BH62" s="156" t="n"/>
    </row>
    <row r="63" ht="14.1" customHeight="1">
      <c r="A63" s="203" t="n"/>
      <c r="G63" s="249" t="n"/>
      <c r="J63" s="219" t="n"/>
      <c r="K63" s="732">
        <f>IF(ISBLANK($E$13),"",K62+J$60)</f>
        <v/>
      </c>
      <c r="L63" s="207">
        <f>IF(ISBLANK($E$13),"",(IF($BD61-$BD62=0,"",$BD61-$BD62)))</f>
        <v/>
      </c>
      <c r="AC63" s="204" t="n"/>
      <c r="BC63" s="156">
        <f>"&gt;"&amp;TEXT(K65,"0.000")</f>
        <v/>
      </c>
      <c r="BD63" s="156">
        <f>COUNTIF($E$13:$AC$13,$BC63)+COUNTIF($E$15:$AC$15,$BC63)</f>
        <v/>
      </c>
      <c r="BE63" s="156" t="n"/>
      <c r="BF63" s="156" t="n"/>
      <c r="BG63" s="156" t="n"/>
      <c r="BH63" s="156" t="n"/>
    </row>
    <row r="64" ht="14.1" customHeight="1" thickBot="1">
      <c r="A64" s="241" t="n"/>
      <c r="B64" s="537" t="n"/>
      <c r="C64" s="243" t="n"/>
      <c r="D64" s="243" t="n"/>
      <c r="E64" s="243" t="n"/>
      <c r="F64" s="243" t="n"/>
      <c r="G64" s="244" t="n"/>
      <c r="H64" s="243" t="n"/>
      <c r="I64" s="243" t="n"/>
      <c r="J64" s="245" t="n"/>
      <c r="K64" s="748">
        <f>IF(ISBLANK($E$13),"",K63+J$60)</f>
        <v/>
      </c>
      <c r="L64" s="247">
        <f>IF(ISBLANK($E$13),"",(IF($BD62-$BD63=0,"",$BD62-$BD63)))</f>
        <v/>
      </c>
      <c r="M64" s="243" t="n"/>
      <c r="N64" s="243" t="n"/>
      <c r="O64" s="243" t="n"/>
      <c r="P64" s="243" t="n"/>
      <c r="Q64" s="243" t="n"/>
      <c r="R64" s="243" t="n"/>
      <c r="S64" s="243" t="n"/>
      <c r="T64" s="243" t="n"/>
      <c r="U64" s="243" t="n"/>
      <c r="V64" s="243" t="n"/>
      <c r="W64" s="243" t="n"/>
      <c r="X64" s="243" t="n"/>
      <c r="Y64" s="243" t="n"/>
      <c r="Z64" s="243" t="n"/>
      <c r="AA64" s="243" t="n"/>
      <c r="AB64" s="243" t="n"/>
      <c r="AC64" s="248" t="n"/>
      <c r="BC64" s="156">
        <f>"&gt;"&amp;TEXT(K66,"0.000")</f>
        <v/>
      </c>
      <c r="BD64" s="156">
        <f>COUNTIF($E$13:$AC$13,$BC64)+COUNTIF($E$15:$AC$15,$BC64)</f>
        <v/>
      </c>
      <c r="BE64" s="156" t="n"/>
      <c r="BF64" s="156" t="n"/>
      <c r="BG64" s="156" t="n"/>
      <c r="BH64" s="156" t="n"/>
    </row>
    <row r="65" ht="21.75" customHeight="1">
      <c r="A65" s="577" t="inlineStr">
        <is>
          <t>R&amp;D.04.00.03 (2017/03/27/Rev:00)</t>
        </is>
      </c>
      <c r="B65" s="614" t="n"/>
      <c r="C65" s="614" t="n"/>
      <c r="D65" s="614" t="n"/>
      <c r="G65" s="249" t="n"/>
      <c r="J65" s="219" t="n"/>
      <c r="K65" s="732">
        <f>IF(ISBLANK($E$13),"",K64+J$60)</f>
        <v/>
      </c>
      <c r="L65" s="207" t="inlineStr">
        <is>
          <t>BOKWANG VINABOKWANG VINA.CO.LTD.CO.LTD</t>
        </is>
      </c>
      <c r="M65" s="250" t="inlineStr">
        <is>
          <t>MNC ELECTRONIC VINA</t>
        </is>
      </c>
      <c r="BC65" s="156">
        <f>"&gt;"&amp;TEXT(K67,"0.000")</f>
        <v/>
      </c>
      <c r="BD65" s="156">
        <f>COUNTIF($E$13:$AC$13,$BC65)+COUNTIF($E$15:$AC$15,$BC65)</f>
        <v/>
      </c>
      <c r="BE65" s="156" t="n"/>
      <c r="BF65" s="156" t="n"/>
      <c r="BG65" s="156" t="n"/>
      <c r="BH65" s="156" t="n"/>
    </row>
    <row r="66" ht="14.1" customHeight="1">
      <c r="G66" s="249" t="n"/>
      <c r="J66" s="219" t="n"/>
      <c r="K66" s="732">
        <f>IF(ISBLANK($E$13),"",K65+J$60)</f>
        <v/>
      </c>
      <c r="L66" s="207">
        <f>IF(ISBLANK($E$13),"",(IF($BD64-$BD65=0,"",$BD64-$BD65)))</f>
        <v/>
      </c>
      <c r="BC66" s="156">
        <f>"&gt;"&amp;TEXT(K68,"0.000")</f>
        <v/>
      </c>
      <c r="BD66" s="156">
        <f>COUNTIF($E$13:$AC$13,$BC66)+COUNTIF($E$15:$AC$15,$BC66)</f>
        <v/>
      </c>
      <c r="BE66" s="156" t="n"/>
      <c r="BF66" s="156" t="n"/>
      <c r="BG66" s="156" t="n"/>
      <c r="BH66" s="156" t="n"/>
    </row>
    <row r="67" ht="14.1" customHeight="1">
      <c r="G67" s="249" t="n"/>
      <c r="J67" s="219" t="n"/>
      <c r="K67" s="732">
        <f>IF(ISBLANK($E$13),"",K66+J$60)</f>
        <v/>
      </c>
      <c r="L67" s="207">
        <f>IF(ISBLANK($E$13),"",(IF($BD65-$BD66=0,"",$BD65-$BD66)))</f>
        <v/>
      </c>
      <c r="BC67" s="156">
        <f>"&gt;"&amp;TEXT(K69,"0.000")</f>
        <v/>
      </c>
      <c r="BD67" s="156">
        <f>COUNTIF($E$13:$AC$13,$BC67)+COUNTIF($E$15:$AC$15,$BC67)</f>
        <v/>
      </c>
      <c r="BE67" s="156" t="n"/>
      <c r="BF67" s="156" t="n"/>
      <c r="BG67" s="156" t="n"/>
      <c r="BH67" s="156" t="n"/>
    </row>
    <row r="68" ht="14.1" customHeight="1">
      <c r="G68" s="249" t="n"/>
      <c r="J68" s="219" t="n"/>
      <c r="K68" s="732">
        <f>IF(ISBLANK($E$13),"",K67+J$60)</f>
        <v/>
      </c>
      <c r="L68" s="207">
        <f>IF(ISBLANK($E$13),"",(IF($BD66-$BD67=0,"",$BD66-$BD67)))</f>
        <v/>
      </c>
      <c r="BC68" s="156" t="n"/>
      <c r="BD68" s="156" t="n"/>
      <c r="BE68" s="156" t="n"/>
      <c r="BF68" s="156" t="n"/>
      <c r="BG68" s="156" t="n"/>
      <c r="BH68" s="156" t="n"/>
    </row>
    <row r="69" ht="14.1" customHeight="1">
      <c r="G69" s="249" t="n"/>
      <c r="J69" s="206" t="n"/>
      <c r="K69" s="732">
        <f>IF(ISBLANK($E$13),"",K68+J$60)</f>
        <v/>
      </c>
      <c r="L69" s="207">
        <f>IF(ISBLANK($E$13),"",(IF($BD67-$BD68=0,"",$BD67-$BD68)))</f>
        <v/>
      </c>
      <c r="BC69" s="156" t="n"/>
      <c r="BD69" s="156" t="n"/>
      <c r="BE69" s="156" t="n"/>
      <c r="BF69" s="156" t="n"/>
      <c r="BG69" s="156" t="n"/>
      <c r="BH69" s="156" t="n"/>
    </row>
    <row r="70" ht="14.1" customHeight="1">
      <c r="G70" s="249" t="n"/>
      <c r="J70" s="207" t="n"/>
      <c r="K70" s="206" t="n"/>
      <c r="L70" s="206" t="n"/>
      <c r="BC70" s="156" t="n"/>
      <c r="BD70" s="156" t="n"/>
      <c r="BE70" s="156" t="n"/>
      <c r="BF70" s="156" t="n"/>
      <c r="BG70" s="156" t="n"/>
      <c r="BH70" s="156" t="n"/>
    </row>
    <row r="71" ht="20.25" customHeight="1">
      <c r="G71" s="249" t="n"/>
      <c r="J71" s="164" t="n"/>
      <c r="BC71" s="156" t="n"/>
      <c r="BD71" s="156" t="n"/>
      <c r="BE71" s="156" t="n"/>
      <c r="BF71" s="156" t="n"/>
      <c r="BG71" s="156" t="n"/>
      <c r="BH71" s="156" t="n"/>
    </row>
    <row r="72" ht="14.1" customFormat="1" customHeight="1" s="249"/>
    <row r="73" ht="14.1" customFormat="1" customHeight="1" s="249"/>
    <row r="74" ht="14.1" customFormat="1" customHeight="1" s="249"/>
    <row r="75" ht="14.1" customFormat="1" customHeight="1" s="249"/>
    <row r="76" ht="14.1" customFormat="1" customHeight="1" s="249"/>
    <row r="77" ht="14.1" customFormat="1" customHeight="1" s="249"/>
    <row r="78" ht="14.1" customFormat="1" customHeight="1" s="249"/>
    <row r="79" ht="14.1" customFormat="1" customHeight="1" s="249"/>
    <row r="80" ht="14.1" customFormat="1" customHeight="1" s="249"/>
    <row r="81" ht="14.1" customFormat="1" customHeight="1" s="249"/>
    <row r="82" ht="14.1" customFormat="1" customHeight="1" s="249"/>
    <row r="83" ht="14.1" customFormat="1" customHeight="1" s="249"/>
    <row r="84" ht="14.1" customFormat="1" customHeight="1" s="249"/>
    <row r="85" ht="14.1" customFormat="1" customHeight="1" s="249"/>
    <row r="86" ht="14.1" customFormat="1" customHeight="1" s="249"/>
    <row r="87" ht="14.1" customFormat="1" customHeight="1" s="249"/>
    <row r="88" ht="14.1" customFormat="1" customHeight="1" s="249"/>
    <row r="89" ht="14.1" customFormat="1" customHeight="1" s="249"/>
    <row r="90" ht="14.1" customFormat="1" customHeight="1" s="249"/>
    <row r="91" ht="14.1" customFormat="1" customHeight="1" s="249"/>
    <row r="92" ht="14.1" customFormat="1" customHeight="1" s="249"/>
    <row r="93" ht="14.1" customFormat="1" customHeight="1" s="249"/>
    <row r="94" ht="14.1" customFormat="1" customHeight="1" s="249"/>
    <row r="95" ht="14.1" customFormat="1" customHeight="1" s="249"/>
    <row r="96" ht="14.1" customFormat="1" customHeight="1" s="249"/>
    <row r="97" ht="14.1" customFormat="1" customHeight="1" s="249"/>
    <row r="98" ht="14.1" customFormat="1" customHeight="1" s="249"/>
    <row r="99" ht="14.1" customFormat="1" customHeight="1" s="249"/>
    <row r="100" ht="14.1" customFormat="1" customHeight="1" s="249"/>
    <row r="101" ht="14.1" customFormat="1" customHeight="1" s="249"/>
    <row r="102" ht="14.1" customFormat="1" customHeight="1" s="249"/>
    <row r="103" ht="14.1" customFormat="1" customHeight="1" s="249"/>
    <row r="104" ht="14.1" customFormat="1" customHeight="1" s="249"/>
    <row r="105" ht="14.1" customFormat="1" customHeight="1" s="249"/>
    <row r="106" ht="14.1" customFormat="1" customHeight="1" s="249"/>
    <row r="107" ht="14.1" customFormat="1" customHeight="1" s="249"/>
    <row r="108" ht="14.1" customFormat="1" customHeight="1" s="249"/>
    <row r="109" ht="14.1" customFormat="1" customHeight="1" s="249"/>
    <row r="110" ht="14.1" customFormat="1" customHeight="1" s="249"/>
    <row r="111" ht="14.1" customFormat="1" customHeight="1" s="249"/>
    <row r="112" ht="14.1" customHeight="1">
      <c r="BC112" s="156" t="n"/>
      <c r="BD112" s="156" t="n"/>
      <c r="BE112" s="156" t="n"/>
      <c r="BF112" s="156" t="n"/>
      <c r="BG112" s="156" t="n"/>
      <c r="BH112" s="156" t="n"/>
    </row>
    <row r="113" ht="14.1" customHeight="1">
      <c r="BC113" s="156" t="n"/>
      <c r="BD113" s="156" t="n"/>
      <c r="BE113" s="156" t="n"/>
      <c r="BF113" s="156" t="n"/>
      <c r="BG113" s="156" t="n"/>
      <c r="BH113" s="156" t="n"/>
    </row>
    <row r="114" ht="14.1" customHeight="1">
      <c r="BC114" s="156" t="n"/>
      <c r="BD114" s="156" t="n"/>
      <c r="BE114" s="156" t="n"/>
      <c r="BF114" s="156" t="n"/>
      <c r="BG114" s="156" t="n"/>
      <c r="BH114" s="156" t="n"/>
    </row>
    <row r="115">
      <c r="BC115" s="156" t="n"/>
      <c r="BD115" s="156" t="n"/>
      <c r="BE115" s="156" t="n"/>
      <c r="BF115" s="156" t="n"/>
      <c r="BG115" s="156" t="n"/>
      <c r="BH115" s="156" t="n"/>
    </row>
    <row r="116">
      <c r="BC116" s="156" t="n"/>
      <c r="BD116" s="156" t="n"/>
      <c r="BE116" s="156" t="n"/>
      <c r="BF116" s="156" t="n"/>
      <c r="BG116" s="156" t="n"/>
      <c r="BH116" s="156" t="n"/>
    </row>
    <row r="117">
      <c r="BC117" s="156" t="n"/>
      <c r="BD117" s="156" t="n"/>
      <c r="BE117" s="156" t="n"/>
      <c r="BF117" s="156" t="n"/>
      <c r="BG117" s="156" t="n"/>
      <c r="BH117" s="156" t="n"/>
    </row>
    <row r="118">
      <c r="BC118" s="156" t="n"/>
      <c r="BD118" s="156" t="n"/>
      <c r="BE118" s="156" t="n"/>
      <c r="BF118" s="156" t="n"/>
      <c r="BG118" s="156" t="n"/>
      <c r="BH118" s="156" t="n"/>
    </row>
    <row r="119">
      <c r="BC119" s="156" t="n"/>
      <c r="BD119" s="156" t="n"/>
      <c r="BE119" s="156" t="n"/>
      <c r="BF119" s="156" t="n"/>
      <c r="BG119" s="156" t="n"/>
      <c r="BH119" s="156" t="n"/>
    </row>
    <row r="120">
      <c r="BC120" s="156" t="n"/>
      <c r="BD120" s="156" t="n"/>
      <c r="BE120" s="156" t="n"/>
      <c r="BF120" s="156" t="n"/>
      <c r="BG120" s="156" t="n"/>
      <c r="BH120" s="156" t="n"/>
    </row>
    <row r="121">
      <c r="BC121" s="156" t="n"/>
      <c r="BD121" s="156" t="n"/>
      <c r="BE121" s="156" t="n"/>
      <c r="BF121" s="156" t="n"/>
      <c r="BG121" s="156" t="n"/>
      <c r="BH121" s="156" t="n"/>
    </row>
    <row r="122">
      <c r="BC122" s="156" t="n"/>
      <c r="BD122" s="156" t="n"/>
      <c r="BE122" s="156" t="n"/>
      <c r="BF122" s="156" t="n"/>
      <c r="BG122" s="156" t="n"/>
      <c r="BH122" s="156" t="n"/>
    </row>
    <row r="123">
      <c r="BC123" s="156" t="n"/>
      <c r="BD123" s="156" t="n"/>
      <c r="BE123" s="156" t="n"/>
      <c r="BF123" s="156" t="n"/>
      <c r="BG123" s="156" t="n"/>
      <c r="BH123" s="156" t="n"/>
    </row>
    <row r="124">
      <c r="BC124" s="156" t="n"/>
      <c r="BD124" s="156" t="n"/>
      <c r="BE124" s="156" t="n"/>
      <c r="BF124" s="156" t="n"/>
      <c r="BG124" s="156" t="n"/>
      <c r="BH124" s="156" t="n"/>
    </row>
    <row r="125">
      <c r="BC125" s="156" t="n"/>
      <c r="BD125" s="156" t="n"/>
      <c r="BE125" s="156" t="n"/>
      <c r="BF125" s="156" t="n"/>
      <c r="BG125" s="156" t="n"/>
      <c r="BH125" s="156" t="n"/>
    </row>
    <row r="126">
      <c r="BC126" s="156" t="n"/>
      <c r="BD126" s="156" t="n"/>
      <c r="BE126" s="156" t="n"/>
      <c r="BF126" s="156" t="n"/>
      <c r="BG126" s="156" t="n"/>
      <c r="BH126" s="156" t="n"/>
    </row>
    <row r="127">
      <c r="BC127" s="156" t="n"/>
      <c r="BD127" s="156" t="n"/>
      <c r="BE127" s="156" t="n"/>
      <c r="BF127" s="156" t="n"/>
      <c r="BG127" s="156" t="n"/>
      <c r="BH127" s="156" t="n"/>
    </row>
    <row r="128">
      <c r="BC128" s="156" t="n"/>
      <c r="BD128" s="156" t="n"/>
      <c r="BE128" s="156" t="n"/>
      <c r="BF128" s="156" t="n"/>
      <c r="BG128" s="156" t="n"/>
      <c r="BH128" s="156" t="n"/>
    </row>
    <row r="129">
      <c r="BC129" s="156" t="n"/>
      <c r="BD129" s="156" t="n"/>
      <c r="BE129" s="156" t="n"/>
      <c r="BF129" s="156" t="n"/>
      <c r="BG129" s="156" t="n"/>
      <c r="BH129" s="156" t="n"/>
    </row>
    <row r="130">
      <c r="BC130" s="156" t="n"/>
      <c r="BD130" s="156" t="n"/>
      <c r="BE130" s="156" t="n"/>
      <c r="BF130" s="156" t="n"/>
      <c r="BG130" s="156" t="n"/>
      <c r="BH130" s="156" t="n"/>
    </row>
    <row r="131">
      <c r="BC131" s="156" t="n"/>
      <c r="BD131" s="156" t="n"/>
      <c r="BE131" s="156" t="n"/>
      <c r="BF131" s="156" t="n"/>
      <c r="BG131" s="156" t="n"/>
      <c r="BH131" s="156" t="n"/>
    </row>
    <row r="132">
      <c r="BC132" s="156" t="n"/>
      <c r="BD132" s="156" t="n"/>
      <c r="BE132" s="156" t="n"/>
      <c r="BF132" s="156" t="n"/>
      <c r="BG132" s="156" t="n"/>
      <c r="BH132" s="156" t="n"/>
    </row>
    <row r="133">
      <c r="BC133" s="156" t="n"/>
      <c r="BD133" s="156" t="n"/>
      <c r="BE133" s="156" t="n"/>
      <c r="BF133" s="156" t="n"/>
      <c r="BG133" s="156" t="n"/>
      <c r="BH133" s="156" t="n"/>
    </row>
    <row r="134">
      <c r="BC134" s="156" t="n"/>
      <c r="BD134" s="156" t="n"/>
      <c r="BE134" s="156" t="n"/>
      <c r="BF134" s="156" t="n"/>
      <c r="BG134" s="156" t="n"/>
      <c r="BH134" s="156" t="n"/>
    </row>
    <row r="135">
      <c r="BC135" s="156" t="n"/>
      <c r="BD135" s="156" t="n"/>
      <c r="BE135" s="156" t="n"/>
      <c r="BF135" s="156" t="n"/>
      <c r="BG135" s="156" t="n"/>
      <c r="BH135" s="156" t="n"/>
    </row>
    <row r="136">
      <c r="BC136" s="156" t="n"/>
      <c r="BD136" s="156" t="n"/>
      <c r="BE136" s="156" t="n"/>
      <c r="BF136" s="156" t="n"/>
      <c r="BG136" s="156" t="n"/>
      <c r="BH136" s="156" t="n"/>
    </row>
    <row r="137">
      <c r="BC137" s="156" t="n"/>
      <c r="BD137" s="156" t="n"/>
      <c r="BE137" s="156" t="n"/>
      <c r="BF137" s="156" t="n"/>
      <c r="BG137" s="156" t="n"/>
      <c r="BH137" s="156" t="n"/>
    </row>
    <row r="138">
      <c r="BC138" s="156" t="n"/>
      <c r="BD138" s="156" t="n"/>
      <c r="BE138" s="156" t="n"/>
      <c r="BF138" s="156" t="n"/>
      <c r="BG138" s="156" t="n"/>
      <c r="BH138" s="156" t="n"/>
    </row>
    <row r="139">
      <c r="BC139" s="156" t="n"/>
      <c r="BD139" s="156" t="n"/>
      <c r="BE139" s="156" t="n"/>
      <c r="BF139" s="156" t="n"/>
      <c r="BG139" s="156" t="n"/>
      <c r="BH139" s="156" t="n"/>
    </row>
    <row r="140">
      <c r="BC140" s="156" t="n"/>
      <c r="BD140" s="156" t="n"/>
      <c r="BE140" s="156" t="n"/>
      <c r="BF140" s="156" t="n"/>
      <c r="BG140" s="156" t="n"/>
      <c r="BH140" s="156" t="n"/>
    </row>
    <row r="141">
      <c r="BC141" s="156" t="n"/>
      <c r="BD141" s="156" t="n"/>
      <c r="BE141" s="156" t="n"/>
      <c r="BF141" s="156" t="n"/>
      <c r="BG141" s="156" t="n"/>
      <c r="BH141" s="156" t="n"/>
    </row>
    <row r="142">
      <c r="BC142" s="156" t="n"/>
      <c r="BD142" s="156" t="n"/>
      <c r="BE142" s="156" t="n"/>
      <c r="BF142" s="156" t="n"/>
      <c r="BG142" s="156" t="n"/>
      <c r="BH142" s="156" t="n"/>
    </row>
    <row r="143">
      <c r="BC143" s="156" t="n"/>
      <c r="BD143" s="156" t="n"/>
      <c r="BE143" s="156" t="n"/>
      <c r="BF143" s="156" t="n"/>
      <c r="BG143" s="156" t="n"/>
      <c r="BH143" s="156" t="n"/>
    </row>
    <row r="144">
      <c r="BC144" s="156" t="n"/>
      <c r="BD144" s="156" t="n"/>
      <c r="BE144" s="156" t="n"/>
      <c r="BF144" s="156" t="n"/>
      <c r="BG144" s="156" t="n"/>
      <c r="BH144" s="156" t="n"/>
    </row>
    <row r="145">
      <c r="BC145" s="156" t="n"/>
      <c r="BD145" s="156" t="n"/>
      <c r="BE145" s="156" t="n"/>
      <c r="BF145" s="156" t="n"/>
      <c r="BG145" s="156" t="n"/>
      <c r="BH145" s="156" t="n"/>
    </row>
    <row r="146">
      <c r="BC146" s="156" t="n"/>
      <c r="BD146" s="156" t="n"/>
      <c r="BE146" s="156" t="n"/>
      <c r="BF146" s="156" t="n"/>
      <c r="BG146" s="156" t="n"/>
      <c r="BH146" s="156" t="n"/>
    </row>
    <row r="147">
      <c r="BC147" s="156" t="n"/>
      <c r="BD147" s="156" t="n"/>
      <c r="BE147" s="156" t="n"/>
      <c r="BF147" s="156" t="n"/>
      <c r="BG147" s="156" t="n"/>
      <c r="BH147" s="156" t="n"/>
    </row>
    <row r="148">
      <c r="BC148" s="156" t="n"/>
      <c r="BD148" s="156" t="n"/>
      <c r="BE148" s="156" t="n"/>
      <c r="BF148" s="156" t="n"/>
      <c r="BG148" s="156" t="n"/>
      <c r="BH148" s="156" t="n"/>
    </row>
    <row r="149">
      <c r="BC149" s="156" t="n"/>
      <c r="BD149" s="156" t="n"/>
      <c r="BE149" s="156" t="n"/>
      <c r="BF149" s="156" t="n"/>
      <c r="BG149" s="156" t="n"/>
      <c r="BH149" s="156" t="n"/>
    </row>
    <row r="150">
      <c r="BC150" s="156" t="n"/>
      <c r="BD150" s="156" t="n"/>
      <c r="BE150" s="156" t="n"/>
      <c r="BF150" s="156" t="n"/>
      <c r="BG150" s="156" t="n"/>
      <c r="BH150" s="156" t="n"/>
    </row>
    <row r="151">
      <c r="BC151" s="156" t="n"/>
      <c r="BD151" s="156" t="n"/>
      <c r="BE151" s="156" t="n"/>
      <c r="BF151" s="156" t="n"/>
      <c r="BG151" s="156" t="n"/>
      <c r="BH151" s="156" t="n"/>
    </row>
    <row r="152">
      <c r="BC152" s="156" t="n"/>
      <c r="BD152" s="156" t="n"/>
      <c r="BE152" s="156" t="n"/>
      <c r="BF152" s="156" t="n"/>
      <c r="BG152" s="156" t="n"/>
      <c r="BH152" s="156" t="n"/>
    </row>
    <row r="153">
      <c r="BC153" s="156" t="n"/>
      <c r="BD153" s="156" t="n"/>
      <c r="BE153" s="156" t="n"/>
      <c r="BF153" s="156" t="n"/>
      <c r="BG153" s="156" t="n"/>
      <c r="BH153" s="156" t="n"/>
    </row>
    <row r="154">
      <c r="BC154" s="156" t="n"/>
      <c r="BD154" s="156" t="n"/>
      <c r="BE154" s="156" t="n"/>
      <c r="BF154" s="156" t="n"/>
      <c r="BG154" s="156" t="n"/>
      <c r="BH154" s="156" t="n"/>
    </row>
    <row r="155">
      <c r="BC155" s="156" t="n"/>
      <c r="BD155" s="156" t="n"/>
      <c r="BE155" s="156" t="n"/>
      <c r="BF155" s="156" t="n"/>
      <c r="BG155" s="156" t="n"/>
      <c r="BH155" s="156" t="n"/>
    </row>
    <row r="156">
      <c r="BC156" s="156" t="n"/>
      <c r="BD156" s="156" t="n"/>
      <c r="BE156" s="156" t="n"/>
      <c r="BF156" s="156" t="n"/>
      <c r="BG156" s="156" t="n"/>
      <c r="BH156" s="156" t="n"/>
    </row>
    <row r="157">
      <c r="BC157" s="156" t="n"/>
      <c r="BD157" s="156" t="n"/>
      <c r="BE157" s="156" t="n"/>
      <c r="BF157" s="156" t="n"/>
      <c r="BG157" s="156" t="n"/>
      <c r="BH157" s="156" t="n"/>
    </row>
    <row r="158">
      <c r="BC158" s="156" t="n"/>
      <c r="BD158" s="156" t="n"/>
      <c r="BE158" s="156" t="n"/>
      <c r="BF158" s="156" t="n"/>
      <c r="BG158" s="156" t="n"/>
      <c r="BH158" s="156" t="n"/>
    </row>
    <row r="159">
      <c r="BC159" s="156" t="n"/>
      <c r="BD159" s="156" t="n"/>
      <c r="BE159" s="156" t="n"/>
      <c r="BF159" s="156" t="n"/>
      <c r="BG159" s="156" t="n"/>
      <c r="BH159" s="156" t="n"/>
    </row>
    <row r="160">
      <c r="BC160" s="156" t="n"/>
      <c r="BD160" s="156" t="n"/>
      <c r="BE160" s="156" t="n"/>
      <c r="BF160" s="156" t="n"/>
      <c r="BG160" s="156" t="n"/>
      <c r="BH160" s="156" t="n"/>
    </row>
    <row r="161">
      <c r="BC161" s="156" t="n"/>
      <c r="BD161" s="156" t="n"/>
      <c r="BE161" s="156" t="n"/>
      <c r="BF161" s="156" t="n"/>
      <c r="BG161" s="156" t="n"/>
      <c r="BH161" s="156" t="n"/>
    </row>
    <row r="162">
      <c r="BC162" s="156" t="n"/>
      <c r="BD162" s="156" t="n"/>
      <c r="BE162" s="156" t="n"/>
      <c r="BF162" s="156" t="n"/>
      <c r="BG162" s="156" t="n"/>
      <c r="BH162" s="156" t="n"/>
    </row>
    <row r="163">
      <c r="BC163" s="156" t="n"/>
      <c r="BD163" s="156" t="n"/>
      <c r="BE163" s="156" t="n"/>
      <c r="BF163" s="156" t="n"/>
      <c r="BG163" s="156" t="n"/>
      <c r="BH163" s="156" t="n"/>
    </row>
    <row r="164">
      <c r="BC164" s="156" t="n"/>
      <c r="BD164" s="156" t="n"/>
      <c r="BE164" s="156" t="n"/>
      <c r="BF164" s="156" t="n"/>
      <c r="BG164" s="156" t="n"/>
      <c r="BH164" s="156" t="n"/>
    </row>
    <row r="165">
      <c r="BC165" s="156" t="n"/>
      <c r="BD165" s="156" t="n"/>
      <c r="BE165" s="156" t="n"/>
      <c r="BF165" s="156" t="n"/>
      <c r="BG165" s="156" t="n"/>
      <c r="BH165" s="156" t="n"/>
    </row>
    <row r="166">
      <c r="BC166" s="156" t="n"/>
      <c r="BD166" s="156" t="n"/>
      <c r="BE166" s="156" t="n"/>
      <c r="BF166" s="156" t="n"/>
      <c r="BG166" s="156" t="n"/>
      <c r="BH166" s="156" t="n"/>
    </row>
    <row r="167">
      <c r="BC167" s="156" t="n"/>
      <c r="BD167" s="156" t="n"/>
      <c r="BE167" s="156" t="n"/>
      <c r="BF167" s="156" t="n"/>
      <c r="BG167" s="156" t="n"/>
      <c r="BH167" s="156" t="n"/>
    </row>
    <row r="168">
      <c r="BC168" s="156" t="n"/>
      <c r="BD168" s="156" t="n"/>
      <c r="BE168" s="156" t="n"/>
      <c r="BF168" s="156" t="n"/>
      <c r="BG168" s="156" t="n"/>
      <c r="BH168" s="156" t="n"/>
    </row>
    <row r="169">
      <c r="BC169" s="156" t="n"/>
      <c r="BD169" s="156" t="n"/>
      <c r="BE169" s="156" t="n"/>
      <c r="BF169" s="156" t="n"/>
      <c r="BG169" s="156" t="n"/>
      <c r="BH169" s="156" t="n"/>
    </row>
    <row r="170">
      <c r="BC170" s="156" t="n"/>
      <c r="BD170" s="156" t="n"/>
      <c r="BE170" s="156" t="n"/>
      <c r="BF170" s="156" t="n"/>
      <c r="BG170" s="156" t="n"/>
      <c r="BH170" s="156" t="n"/>
    </row>
    <row r="171">
      <c r="BC171" s="156" t="n"/>
      <c r="BD171" s="156" t="n"/>
      <c r="BE171" s="156" t="n"/>
      <c r="BF171" s="156" t="n"/>
      <c r="BG171" s="156" t="n"/>
      <c r="BH171" s="156" t="n"/>
    </row>
    <row r="172">
      <c r="BC172" s="156" t="n"/>
      <c r="BD172" s="156" t="n"/>
      <c r="BE172" s="156" t="n"/>
      <c r="BF172" s="156" t="n"/>
      <c r="BG172" s="156" t="n"/>
      <c r="BH172" s="156" t="n"/>
    </row>
    <row r="173">
      <c r="BC173" s="156" t="n"/>
      <c r="BD173" s="156" t="n"/>
      <c r="BE173" s="156" t="n"/>
      <c r="BF173" s="156" t="n"/>
      <c r="BG173" s="156" t="n"/>
      <c r="BH173" s="156" t="n"/>
    </row>
    <row r="174">
      <c r="BC174" s="156" t="n"/>
      <c r="BD174" s="156" t="n"/>
      <c r="BE174" s="156" t="n"/>
      <c r="BF174" s="156" t="n"/>
      <c r="BG174" s="156" t="n"/>
      <c r="BH174" s="156" t="n"/>
    </row>
    <row r="175">
      <c r="BC175" s="156" t="n"/>
      <c r="BD175" s="156" t="n"/>
      <c r="BE175" s="156" t="n"/>
      <c r="BF175" s="156" t="n"/>
      <c r="BG175" s="156" t="n"/>
      <c r="BH175" s="156" t="n"/>
    </row>
    <row r="176">
      <c r="BC176" s="156" t="n"/>
      <c r="BD176" s="156" t="n"/>
      <c r="BE176" s="156" t="n"/>
      <c r="BF176" s="156" t="n"/>
      <c r="BG176" s="156" t="n"/>
      <c r="BH176" s="156" t="n"/>
    </row>
    <row r="177">
      <c r="BC177" s="156" t="n"/>
      <c r="BD177" s="156" t="n"/>
      <c r="BE177" s="156" t="n"/>
      <c r="BF177" s="156" t="n"/>
      <c r="BG177" s="156" t="n"/>
      <c r="BH177" s="156" t="n"/>
    </row>
    <row r="178">
      <c r="BC178" s="156" t="n"/>
      <c r="BD178" s="156" t="n"/>
      <c r="BE178" s="156" t="n"/>
      <c r="BF178" s="156" t="n"/>
      <c r="BG178" s="156" t="n"/>
      <c r="BH178" s="156" t="n"/>
    </row>
    <row r="179">
      <c r="BC179" s="156" t="n"/>
      <c r="BD179" s="156" t="n"/>
      <c r="BE179" s="156" t="n"/>
      <c r="BF179" s="156" t="n"/>
      <c r="BG179" s="156" t="n"/>
      <c r="BH179" s="156" t="n"/>
    </row>
    <row r="180">
      <c r="BC180" s="156" t="n"/>
      <c r="BD180" s="156" t="n"/>
      <c r="BE180" s="156" t="n"/>
      <c r="BF180" s="156" t="n"/>
      <c r="BG180" s="156" t="n"/>
      <c r="BH180" s="156" t="n"/>
    </row>
    <row r="181">
      <c r="BC181" s="156" t="n"/>
      <c r="BD181" s="156" t="n"/>
      <c r="BE181" s="156" t="n"/>
      <c r="BF181" s="156" t="n"/>
      <c r="BG181" s="156" t="n"/>
      <c r="BH181" s="156" t="n"/>
    </row>
    <row r="182">
      <c r="BC182" s="156" t="n"/>
      <c r="BD182" s="156" t="n"/>
      <c r="BE182" s="156" t="n"/>
      <c r="BF182" s="156" t="n"/>
      <c r="BG182" s="156" t="n"/>
      <c r="BH182" s="156" t="n"/>
    </row>
    <row r="183">
      <c r="BC183" s="156" t="n"/>
      <c r="BD183" s="156" t="n"/>
      <c r="BE183" s="156" t="n"/>
      <c r="BF183" s="156" t="n"/>
      <c r="BG183" s="156" t="n"/>
      <c r="BH183" s="156" t="n"/>
    </row>
    <row r="184">
      <c r="BC184" s="156" t="n"/>
      <c r="BD184" s="156" t="n"/>
      <c r="BE184" s="156" t="n"/>
      <c r="BF184" s="156" t="n"/>
      <c r="BG184" s="156" t="n"/>
      <c r="BH184" s="156" t="n"/>
    </row>
    <row r="185">
      <c r="BC185" s="156" t="n"/>
      <c r="BD185" s="156" t="n"/>
      <c r="BE185" s="156" t="n"/>
      <c r="BF185" s="156" t="n"/>
      <c r="BG185" s="156" t="n"/>
      <c r="BH185" s="156" t="n"/>
    </row>
    <row r="186">
      <c r="BC186" s="156" t="n"/>
      <c r="BD186" s="156" t="n"/>
      <c r="BE186" s="156" t="n"/>
      <c r="BF186" s="156" t="n"/>
      <c r="BG186" s="156" t="n"/>
      <c r="BH186" s="156" t="n"/>
    </row>
    <row r="187">
      <c r="BC187" s="156" t="n"/>
      <c r="BD187" s="156" t="n"/>
      <c r="BE187" s="156" t="n"/>
      <c r="BF187" s="156" t="n"/>
      <c r="BG187" s="156" t="n"/>
      <c r="BH187" s="156" t="n"/>
    </row>
    <row r="188">
      <c r="BC188" s="156" t="n"/>
      <c r="BD188" s="156" t="n"/>
      <c r="BE188" s="156" t="n"/>
      <c r="BF188" s="156" t="n"/>
      <c r="BG188" s="156" t="n"/>
      <c r="BH188" s="156" t="n"/>
    </row>
    <row r="189">
      <c r="BC189" s="156" t="n"/>
      <c r="BD189" s="156" t="n"/>
      <c r="BE189" s="156" t="n"/>
      <c r="BF189" s="156" t="n"/>
      <c r="BG189" s="156" t="n"/>
      <c r="BH189" s="156" t="n"/>
    </row>
    <row r="190">
      <c r="BC190" s="156" t="n"/>
      <c r="BD190" s="156" t="n"/>
      <c r="BE190" s="156" t="n"/>
      <c r="BF190" s="156" t="n"/>
      <c r="BG190" s="156" t="n"/>
      <c r="BH190" s="156" t="n"/>
    </row>
    <row r="191">
      <c r="BC191" s="156" t="n"/>
      <c r="BD191" s="156" t="n"/>
      <c r="BE191" s="156" t="n"/>
      <c r="BF191" s="156" t="n"/>
      <c r="BG191" s="156" t="n"/>
      <c r="BH191" s="156" t="n"/>
    </row>
    <row r="192">
      <c r="BC192" s="156" t="n"/>
      <c r="BD192" s="156" t="n"/>
      <c r="BE192" s="156" t="n"/>
      <c r="BF192" s="156" t="n"/>
      <c r="BG192" s="156" t="n"/>
      <c r="BH192" s="156" t="n"/>
    </row>
    <row r="193">
      <c r="BC193" s="156" t="n"/>
      <c r="BD193" s="156" t="n"/>
      <c r="BE193" s="156" t="n"/>
      <c r="BF193" s="156" t="n"/>
      <c r="BG193" s="156" t="n"/>
      <c r="BH193" s="156" t="n"/>
    </row>
    <row r="194">
      <c r="BC194" s="156" t="n"/>
      <c r="BD194" s="156" t="n"/>
      <c r="BE194" s="156" t="n"/>
      <c r="BF194" s="156" t="n"/>
      <c r="BG194" s="156" t="n"/>
      <c r="BH194" s="156" t="n"/>
    </row>
    <row r="195">
      <c r="BC195" s="156" t="n"/>
      <c r="BD195" s="156" t="n"/>
      <c r="BE195" s="156" t="n"/>
      <c r="BF195" s="156" t="n"/>
      <c r="BG195" s="156" t="n"/>
      <c r="BH195" s="156" t="n"/>
    </row>
    <row r="196">
      <c r="BC196" s="156" t="n"/>
      <c r="BD196" s="156" t="n"/>
      <c r="BE196" s="156" t="n"/>
      <c r="BF196" s="156" t="n"/>
      <c r="BG196" s="156" t="n"/>
      <c r="BH196" s="156" t="n"/>
    </row>
    <row r="197">
      <c r="BC197" s="156" t="n"/>
      <c r="BD197" s="156" t="n"/>
      <c r="BE197" s="156" t="n"/>
      <c r="BF197" s="156" t="n"/>
      <c r="BG197" s="156" t="n"/>
      <c r="BH197" s="156" t="n"/>
    </row>
    <row r="198">
      <c r="BC198" s="156" t="n"/>
      <c r="BD198" s="156" t="n"/>
      <c r="BE198" s="156" t="n"/>
      <c r="BF198" s="156" t="n"/>
      <c r="BG198" s="156" t="n"/>
      <c r="BH198" s="156" t="n"/>
    </row>
    <row r="199">
      <c r="BC199" s="156" t="n"/>
      <c r="BD199" s="156" t="n"/>
      <c r="BE199" s="156" t="n"/>
      <c r="BF199" s="156" t="n"/>
      <c r="BG199" s="156" t="n"/>
      <c r="BH199" s="156" t="n"/>
    </row>
  </sheetData>
  <mergeCells count="39">
    <mergeCell ref="A1:D2"/>
    <mergeCell ref="A24:B24"/>
    <mergeCell ref="A30:B30"/>
    <mergeCell ref="W1:Y1"/>
    <mergeCell ref="D5:D7"/>
    <mergeCell ref="B12:B15"/>
    <mergeCell ref="A5:A7"/>
    <mergeCell ref="B5:B7"/>
    <mergeCell ref="AB1:AC1"/>
    <mergeCell ref="A65:D66"/>
    <mergeCell ref="A25:B25"/>
    <mergeCell ref="B8:B11"/>
    <mergeCell ref="A12:A15"/>
    <mergeCell ref="C12:C15"/>
    <mergeCell ref="A27:B27"/>
    <mergeCell ref="A36:A38"/>
    <mergeCell ref="W2:Y2"/>
    <mergeCell ref="A21:E21"/>
    <mergeCell ref="A26:B26"/>
    <mergeCell ref="Z2:AA2"/>
    <mergeCell ref="A8:A11"/>
    <mergeCell ref="A33:B33"/>
    <mergeCell ref="C8:C11"/>
    <mergeCell ref="D12:D15"/>
    <mergeCell ref="E1:V2"/>
    <mergeCell ref="AB2:AC2"/>
    <mergeCell ref="A32:B32"/>
    <mergeCell ref="C5:C7"/>
    <mergeCell ref="A23:B23"/>
    <mergeCell ref="A22:B22"/>
    <mergeCell ref="A35:B35"/>
    <mergeCell ref="A29:B29"/>
    <mergeCell ref="D8:D11"/>
    <mergeCell ref="A28:E28"/>
    <mergeCell ref="A3:D3"/>
    <mergeCell ref="Z1:AA1"/>
    <mergeCell ref="F3:H3"/>
    <mergeCell ref="A31:B31"/>
    <mergeCell ref="A34:B34"/>
  </mergeCells>
  <printOptions horizontalCentered="1" verticalCentered="1"/>
  <pageMargins left="0.1181102362204725" right="0" top="0.7874015748031497" bottom="0.3937007874015748" header="0.5118110236220472" footer="0.5118110236220472"/>
  <pageSetup orientation="landscape" paperSize="9" scale="45" fitToHeight="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HSP</dc:creator>
  <dcterms:created xmlns:dcterms="http://purl.org/dc/terms/" xmlns:xsi="http://www.w3.org/2001/XMLSchema-instance" xsi:type="dcterms:W3CDTF">2001-07-09T07:05:35Z</dcterms:created>
  <dcterms:modified xmlns:dcterms="http://purl.org/dc/terms/" xmlns:xsi="http://www.w3.org/2001/XMLSchema-instance" xsi:type="dcterms:W3CDTF">2026-04-10T11:04:50Z</dcterms:modified>
  <cp:lastModifiedBy>Doan Thi Yen</cp:lastModifiedBy>
  <cp:lastPrinted>2020-03-14T11:19:45Z</cp:lastPrinted>
</cp:coreProperties>
</file>

<file path=docProps/custom.xml><?xml version="1.0" encoding="utf-8"?>
<Properties xmlns="http://schemas.openxmlformats.org/officeDocument/2006/custom-properties">
  <property name="IVID2F1E1603" fmtid="{D5CDD505-2E9C-101B-9397-08002B2CF9AE}" pid="2">
    <vt:lpwstr xmlns:vt="http://schemas.openxmlformats.org/officeDocument/2006/docPropsVTypes"/>
  </property>
  <property name="IVIDC" fmtid="{D5CDD505-2E9C-101B-9397-08002B2CF9AE}" pid="3">
    <vt:lpwstr xmlns:vt="http://schemas.openxmlformats.org/officeDocument/2006/docPropsVTypes"/>
  </property>
  <property name="IVID362F13E8" fmtid="{D5CDD505-2E9C-101B-9397-08002B2CF9AE}" pid="4">
    <vt:lpwstr xmlns:vt="http://schemas.openxmlformats.org/officeDocument/2006/docPropsVTypes"/>
  </property>
  <property name="IVID3A3618F1" fmtid="{D5CDD505-2E9C-101B-9397-08002B2CF9AE}" pid="5">
    <vt:lpwstr xmlns:vt="http://schemas.openxmlformats.org/officeDocument/2006/docPropsVTypes"/>
  </property>
  <property name="IVID15E41318" fmtid="{D5CDD505-2E9C-101B-9397-08002B2CF9AE}" pid="6">
    <vt:lpwstr xmlns:vt="http://schemas.openxmlformats.org/officeDocument/2006/docPropsVTypes"/>
  </property>
  <property name="IVID181914D9" fmtid="{D5CDD505-2E9C-101B-9397-08002B2CF9AE}" pid="7">
    <vt:lpwstr xmlns:vt="http://schemas.openxmlformats.org/officeDocument/2006/docPropsVTypes"/>
  </property>
  <property name="IVID155815FB" fmtid="{D5CDD505-2E9C-101B-9397-08002B2CF9AE}" pid="8">
    <vt:lpwstr xmlns:vt="http://schemas.openxmlformats.org/officeDocument/2006/docPropsVTypes"/>
  </property>
  <property name="IVIDD091BF0" fmtid="{D5CDD505-2E9C-101B-9397-08002B2CF9AE}" pid="9">
    <vt:lpwstr xmlns:vt="http://schemas.openxmlformats.org/officeDocument/2006/docPropsVTypes"/>
  </property>
  <property name="IVID344CCFFC" fmtid="{D5CDD505-2E9C-101B-9397-08002B2CF9AE}" pid="10">
    <vt:lpwstr xmlns:vt="http://schemas.openxmlformats.org/officeDocument/2006/docPropsVTypes"/>
  </property>
  <property name="IVID1A7D12ED" fmtid="{D5CDD505-2E9C-101B-9397-08002B2CF9AE}" pid="11">
    <vt:lpwstr xmlns:vt="http://schemas.openxmlformats.org/officeDocument/2006/docPropsVTypes"/>
  </property>
  <property name="IVID1B2115FE" fmtid="{D5CDD505-2E9C-101B-9397-08002B2CF9AE}" pid="12">
    <vt:lpwstr xmlns:vt="http://schemas.openxmlformats.org/officeDocument/2006/docPropsVTypes"/>
  </property>
  <property name="IVID35431BD0" fmtid="{D5CDD505-2E9C-101B-9397-08002B2CF9AE}" pid="13">
    <vt:lpwstr xmlns:vt="http://schemas.openxmlformats.org/officeDocument/2006/docPropsVTypes"/>
  </property>
  <property name="IVID4637A884" fmtid="{D5CDD505-2E9C-101B-9397-08002B2CF9AE}" pid="14">
    <vt:lpwstr xmlns:vt="http://schemas.openxmlformats.org/officeDocument/2006/docPropsVTypes"/>
  </property>
  <property name="IVID127C14F5" fmtid="{D5CDD505-2E9C-101B-9397-08002B2CF9AE}" pid="15">
    <vt:lpwstr xmlns:vt="http://schemas.openxmlformats.org/officeDocument/2006/docPropsVTypes"/>
  </property>
  <property name="IVID1834F0DD" fmtid="{D5CDD505-2E9C-101B-9397-08002B2CF9AE}" pid="16">
    <vt:lpwstr xmlns:vt="http://schemas.openxmlformats.org/officeDocument/2006/docPropsVTypes"/>
  </property>
  <property name="IVID312119E0" fmtid="{D5CDD505-2E9C-101B-9397-08002B2CF9AE}" pid="17">
    <vt:lpwstr xmlns:vt="http://schemas.openxmlformats.org/officeDocument/2006/docPropsVTypes"/>
  </property>
  <property name="IVID1C5812DA" fmtid="{D5CDD505-2E9C-101B-9397-08002B2CF9AE}" pid="18">
    <vt:lpwstr xmlns:vt="http://schemas.openxmlformats.org/officeDocument/2006/docPropsVTypes"/>
  </property>
  <property name="IVID173907ED" fmtid="{D5CDD505-2E9C-101B-9397-08002B2CF9AE}" pid="19">
    <vt:lpwstr xmlns:vt="http://schemas.openxmlformats.org/officeDocument/2006/docPropsVTypes"/>
  </property>
  <property name="IVID1D3F17E2" fmtid="{D5CDD505-2E9C-101B-9397-08002B2CF9AE}" pid="20">
    <vt:lpwstr xmlns:vt="http://schemas.openxmlformats.org/officeDocument/2006/docPropsVTypes"/>
  </property>
  <property name="IVID13451200" fmtid="{D5CDD505-2E9C-101B-9397-08002B2CF9AE}" pid="21">
    <vt:lpwstr xmlns:vt="http://schemas.openxmlformats.org/officeDocument/2006/docPropsVTypes"/>
  </property>
  <property name="IVID121617DE" fmtid="{D5CDD505-2E9C-101B-9397-08002B2CF9AE}" pid="22">
    <vt:lpwstr xmlns:vt="http://schemas.openxmlformats.org/officeDocument/2006/docPropsVTypes"/>
  </property>
  <property name="IVID13691AF2" fmtid="{D5CDD505-2E9C-101B-9397-08002B2CF9AE}" pid="23">
    <vt:lpwstr xmlns:vt="http://schemas.openxmlformats.org/officeDocument/2006/docPropsVTypes"/>
  </property>
  <property name="IVID1A3B0AF0" fmtid="{D5CDD505-2E9C-101B-9397-08002B2CF9AE}" pid="24">
    <vt:lpwstr xmlns:vt="http://schemas.openxmlformats.org/officeDocument/2006/docPropsVTypes"/>
  </property>
  <property name="IVID373F12DB" fmtid="{D5CDD505-2E9C-101B-9397-08002B2CF9AE}" pid="25">
    <vt:lpwstr xmlns:vt="http://schemas.openxmlformats.org/officeDocument/2006/docPropsVTypes"/>
  </property>
  <property name="IVID274B1CF5" fmtid="{D5CDD505-2E9C-101B-9397-08002B2CF9AE}" pid="26">
    <vt:lpwstr xmlns:vt="http://schemas.openxmlformats.org/officeDocument/2006/docPropsVTypes"/>
  </property>
  <property name="IVID2B4E17FA" fmtid="{D5CDD505-2E9C-101B-9397-08002B2CF9AE}" pid="27">
    <vt:lpwstr xmlns:vt="http://schemas.openxmlformats.org/officeDocument/2006/docPropsVTypes"/>
  </property>
  <property name="IVID253D11EF" fmtid="{D5CDD505-2E9C-101B-9397-08002B2CF9AE}" pid="28">
    <vt:lpwstr xmlns:vt="http://schemas.openxmlformats.org/officeDocument/2006/docPropsVTypes"/>
  </property>
  <property name="IVID102124BA" fmtid="{D5CDD505-2E9C-101B-9397-08002B2CF9AE}" pid="29">
    <vt:lpwstr xmlns:vt="http://schemas.openxmlformats.org/officeDocument/2006/docPropsVTypes"/>
  </property>
  <property name="IVID3D1509D0" fmtid="{D5CDD505-2E9C-101B-9397-08002B2CF9AE}" pid="30">
    <vt:lpwstr xmlns:vt="http://schemas.openxmlformats.org/officeDocument/2006/docPropsVTypes"/>
  </property>
  <property name="IVID35641901" fmtid="{D5CDD505-2E9C-101B-9397-08002B2CF9AE}" pid="31">
    <vt:lpwstr xmlns:vt="http://schemas.openxmlformats.org/officeDocument/2006/docPropsVTypes"/>
  </property>
  <property name="IVID45E1ED9" fmtid="{D5CDD505-2E9C-101B-9397-08002B2CF9AE}" pid="32">
    <vt:lpwstr xmlns:vt="http://schemas.openxmlformats.org/officeDocument/2006/docPropsVTypes"/>
  </property>
  <property name="IVID324113D1" fmtid="{D5CDD505-2E9C-101B-9397-08002B2CF9AE}" pid="33">
    <vt:lpwstr xmlns:vt="http://schemas.openxmlformats.org/officeDocument/2006/docPropsVTypes"/>
  </property>
  <property name="IVID1A2D1903" fmtid="{D5CDD505-2E9C-101B-9397-08002B2CF9AE}" pid="34">
    <vt:lpwstr xmlns:vt="http://schemas.openxmlformats.org/officeDocument/2006/docPropsVTypes"/>
  </property>
  <property name="IVID222F6E42" fmtid="{D5CDD505-2E9C-101B-9397-08002B2CF9AE}" pid="35">
    <vt:lpwstr xmlns:vt="http://schemas.openxmlformats.org/officeDocument/2006/docPropsVTypes"/>
  </property>
  <property name="IVID137012E9" fmtid="{D5CDD505-2E9C-101B-9397-08002B2CF9AE}" pid="36">
    <vt:lpwstr xmlns:vt="http://schemas.openxmlformats.org/officeDocument/2006/docPropsVTypes"/>
  </property>
  <property name="IVID3D4D17F3" fmtid="{D5CDD505-2E9C-101B-9397-08002B2CF9AE}" pid="37">
    <vt:lpwstr xmlns:vt="http://schemas.openxmlformats.org/officeDocument/2006/docPropsVTypes"/>
  </property>
  <property name="IVID2F2214CF" fmtid="{D5CDD505-2E9C-101B-9397-08002B2CF9AE}" pid="38">
    <vt:lpwstr xmlns:vt="http://schemas.openxmlformats.org/officeDocument/2006/docPropsVTypes"/>
  </property>
  <property name="IVID212812E2" fmtid="{D5CDD505-2E9C-101B-9397-08002B2CF9AE}" pid="39">
    <vt:lpwstr xmlns:vt="http://schemas.openxmlformats.org/officeDocument/2006/docPropsVTypes"/>
  </property>
  <property name="IVID174513DF" fmtid="{D5CDD505-2E9C-101B-9397-08002B2CF9AE}" pid="40">
    <vt:lpwstr xmlns:vt="http://schemas.openxmlformats.org/officeDocument/2006/docPropsVTypes"/>
  </property>
  <property name="IVID33601201" fmtid="{D5CDD505-2E9C-101B-9397-08002B2CF9AE}" pid="41">
    <vt:lpwstr xmlns:vt="http://schemas.openxmlformats.org/officeDocument/2006/docPropsVTypes"/>
  </property>
  <property name="IVID28741007" fmtid="{D5CDD505-2E9C-101B-9397-08002B2CF9AE}" pid="42">
    <vt:lpwstr xmlns:vt="http://schemas.openxmlformats.org/officeDocument/2006/docPropsVTypes"/>
  </property>
  <property name="IVID19350FF3" fmtid="{D5CDD505-2E9C-101B-9397-08002B2CF9AE}" pid="43">
    <vt:lpwstr xmlns:vt="http://schemas.openxmlformats.org/officeDocument/2006/docPropsVTypes"/>
  </property>
  <property name="IVID173E1206" fmtid="{D5CDD505-2E9C-101B-9397-08002B2CF9AE}" pid="44">
    <vt:lpwstr xmlns:vt="http://schemas.openxmlformats.org/officeDocument/2006/docPropsVTypes"/>
  </property>
  <property name="IVID232310EC" fmtid="{D5CDD505-2E9C-101B-9397-08002B2CF9AE}" pid="45">
    <vt:lpwstr xmlns:vt="http://schemas.openxmlformats.org/officeDocument/2006/docPropsVTypes"/>
  </property>
  <property name="IVID133D1AE5" fmtid="{D5CDD505-2E9C-101B-9397-08002B2CF9AE}" pid="46">
    <vt:lpwstr xmlns:vt="http://schemas.openxmlformats.org/officeDocument/2006/docPropsVTypes"/>
  </property>
  <property name="IVIDF6113D9" fmtid="{D5CDD505-2E9C-101B-9397-08002B2CF9AE}" pid="47">
    <vt:lpwstr xmlns:vt="http://schemas.openxmlformats.org/officeDocument/2006/docPropsVTypes"/>
  </property>
  <property name="IVID362E14DB" fmtid="{D5CDD505-2E9C-101B-9397-08002B2CF9AE}" pid="48">
    <vt:lpwstr xmlns:vt="http://schemas.openxmlformats.org/officeDocument/2006/docPropsVTypes"/>
  </property>
  <property name="IVID1F6511DB" fmtid="{D5CDD505-2E9C-101B-9397-08002B2CF9AE}" pid="49">
    <vt:lpwstr xmlns:vt="http://schemas.openxmlformats.org/officeDocument/2006/docPropsVTypes"/>
  </property>
  <property name="IVID3F1D10E8" fmtid="{D5CDD505-2E9C-101B-9397-08002B2CF9AE}" pid="50">
    <vt:lpwstr xmlns:vt="http://schemas.openxmlformats.org/officeDocument/2006/docPropsVTypes"/>
  </property>
  <property name="IVID144313EE" fmtid="{D5CDD505-2E9C-101B-9397-08002B2CF9AE}" pid="51">
    <vt:lpwstr xmlns:vt="http://schemas.openxmlformats.org/officeDocument/2006/docPropsVTypes"/>
  </property>
  <property name="IVID272C0FEF" fmtid="{D5CDD505-2E9C-101B-9397-08002B2CF9AE}" pid="52">
    <vt:lpwstr xmlns:vt="http://schemas.openxmlformats.org/officeDocument/2006/docPropsVTypes"/>
  </property>
  <property name="IVID240A1504" fmtid="{D5CDD505-2E9C-101B-9397-08002B2CF9AE}" pid="53">
    <vt:lpwstr xmlns:vt="http://schemas.openxmlformats.org/officeDocument/2006/docPropsVTypes"/>
  </property>
  <property name="IVID2E511106" fmtid="{D5CDD505-2E9C-101B-9397-08002B2CF9AE}" pid="54">
    <vt:lpwstr xmlns:vt="http://schemas.openxmlformats.org/officeDocument/2006/docPropsVTypes"/>
  </property>
  <property name="IVID2A6D14EB" fmtid="{D5CDD505-2E9C-101B-9397-08002B2CF9AE}" pid="55">
    <vt:lpwstr xmlns:vt="http://schemas.openxmlformats.org/officeDocument/2006/docPropsVTypes"/>
  </property>
  <property name="IVID386F14FA" fmtid="{D5CDD505-2E9C-101B-9397-08002B2CF9AE}" pid="56">
    <vt:lpwstr xmlns:vt="http://schemas.openxmlformats.org/officeDocument/2006/docPropsVTypes"/>
  </property>
  <property name="IVIDA1B07F3" fmtid="{D5CDD505-2E9C-101B-9397-08002B2CF9AE}" pid="57">
    <vt:lpwstr xmlns:vt="http://schemas.openxmlformats.org/officeDocument/2006/docPropsVTypes"/>
  </property>
  <property name="IVID2A6715D8" fmtid="{D5CDD505-2E9C-101B-9397-08002B2CF9AE}" pid="58">
    <vt:lpwstr xmlns:vt="http://schemas.openxmlformats.org/officeDocument/2006/docPropsVTypes"/>
  </property>
  <property name="IVID222D19FF" fmtid="{D5CDD505-2E9C-101B-9397-08002B2CF9AE}" pid="59">
    <vt:lpwstr xmlns:vt="http://schemas.openxmlformats.org/officeDocument/2006/docPropsVTypes"/>
  </property>
  <property name="IVID1F611602" fmtid="{D5CDD505-2E9C-101B-9397-08002B2CF9AE}" pid="60">
    <vt:lpwstr xmlns:vt="http://schemas.openxmlformats.org/officeDocument/2006/docPropsVTypes"/>
  </property>
  <property name="IVID1E032323" fmtid="{D5CDD505-2E9C-101B-9397-08002B2CF9AE}" pid="61">
    <vt:lpwstr xmlns:vt="http://schemas.openxmlformats.org/officeDocument/2006/docPropsVTypes"/>
  </property>
  <property name="IVID475611CF" fmtid="{D5CDD505-2E9C-101B-9397-08002B2CF9AE}" pid="62">
    <vt:lpwstr xmlns:vt="http://schemas.openxmlformats.org/officeDocument/2006/docPropsVTypes"/>
  </property>
  <property name="IVID302D13DA" fmtid="{D5CDD505-2E9C-101B-9397-08002B2CF9AE}" pid="63">
    <vt:lpwstr xmlns:vt="http://schemas.openxmlformats.org/officeDocument/2006/docPropsVTypes"/>
  </property>
  <property name="IVIDD5915D9" fmtid="{D5CDD505-2E9C-101B-9397-08002B2CF9AE}" pid="64">
    <vt:lpwstr xmlns:vt="http://schemas.openxmlformats.org/officeDocument/2006/docPropsVTypes"/>
  </property>
  <property name="IVID17F6384A" fmtid="{D5CDD505-2E9C-101B-9397-08002B2CF9AE}" pid="65">
    <vt:lpwstr xmlns:vt="http://schemas.openxmlformats.org/officeDocument/2006/docPropsVTypes"/>
  </property>
  <property name="IVID3B5A10EA" fmtid="{D5CDD505-2E9C-101B-9397-08002B2CF9AE}" pid="66">
    <vt:lpwstr xmlns:vt="http://schemas.openxmlformats.org/officeDocument/2006/docPropsVTypes"/>
  </property>
  <property name="IVID3D0F16E3" fmtid="{D5CDD505-2E9C-101B-9397-08002B2CF9AE}" pid="67">
    <vt:lpwstr xmlns:vt="http://schemas.openxmlformats.org/officeDocument/2006/docPropsVTypes"/>
  </property>
  <property name="IVID30260FFC" fmtid="{D5CDD505-2E9C-101B-9397-08002B2CF9AE}" pid="68">
    <vt:lpwstr xmlns:vt="http://schemas.openxmlformats.org/officeDocument/2006/docPropsVTypes"/>
  </property>
  <property name="IVID2F301BED" fmtid="{D5CDD505-2E9C-101B-9397-08002B2CF9AE}" pid="69">
    <vt:lpwstr xmlns:vt="http://schemas.openxmlformats.org/officeDocument/2006/docPropsVTypes"/>
  </property>
  <property name="IVID2F1117F5" fmtid="{D5CDD505-2E9C-101B-9397-08002B2CF9AE}" pid="70">
    <vt:lpwstr xmlns:vt="http://schemas.openxmlformats.org/officeDocument/2006/docPropsVTypes"/>
  </property>
  <property name="IVID14481408" fmtid="{D5CDD505-2E9C-101B-9397-08002B2CF9AE}" pid="71">
    <vt:lpwstr xmlns:vt="http://schemas.openxmlformats.org/officeDocument/2006/docPropsVTypes"/>
  </property>
  <property name="IVID2E670A05" fmtid="{D5CDD505-2E9C-101B-9397-08002B2CF9AE}" pid="72">
    <vt:lpwstr xmlns:vt="http://schemas.openxmlformats.org/officeDocument/2006/docPropsVTypes"/>
  </property>
  <property name="IVID2A161305" fmtid="{D5CDD505-2E9C-101B-9397-08002B2CF9AE}" pid="73">
    <vt:lpwstr xmlns:vt="http://schemas.openxmlformats.org/officeDocument/2006/docPropsVTypes"/>
  </property>
  <property name="IVID2D4D15EB" fmtid="{D5CDD505-2E9C-101B-9397-08002B2CF9AE}" pid="74">
    <vt:lpwstr xmlns:vt="http://schemas.openxmlformats.org/officeDocument/2006/docPropsVTypes"/>
  </property>
  <property name="IVID80A173A" fmtid="{D5CDD505-2E9C-101B-9397-08002B2CF9AE}" pid="75">
    <vt:lpwstr xmlns:vt="http://schemas.openxmlformats.org/officeDocument/2006/docPropsVTypes"/>
  </property>
  <property name="IVID2B741205" fmtid="{D5CDD505-2E9C-101B-9397-08002B2CF9AE}" pid="76">
    <vt:lpwstr xmlns:vt="http://schemas.openxmlformats.org/officeDocument/2006/docPropsVTypes"/>
  </property>
  <property name="IVID203A1108" fmtid="{D5CDD505-2E9C-101B-9397-08002B2CF9AE}" pid="77">
    <vt:lpwstr xmlns:vt="http://schemas.openxmlformats.org/officeDocument/2006/docPropsVTypes"/>
  </property>
  <property name="IVID1A3517F4" fmtid="{D5CDD505-2E9C-101B-9397-08002B2CF9AE}" pid="78">
    <vt:lpwstr xmlns:vt="http://schemas.openxmlformats.org/officeDocument/2006/docPropsVTypes"/>
  </property>
  <property name="IVID2B0E1302" fmtid="{D5CDD505-2E9C-101B-9397-08002B2CF9AE}" pid="79">
    <vt:lpwstr xmlns:vt="http://schemas.openxmlformats.org/officeDocument/2006/docPropsVTypes"/>
  </property>
  <property name="IVID332E19D7" fmtid="{D5CDD505-2E9C-101B-9397-08002B2CF9AE}" pid="80">
    <vt:lpwstr xmlns:vt="http://schemas.openxmlformats.org/officeDocument/2006/docPropsVTypes"/>
  </property>
  <property name="IVID22261800" fmtid="{D5CDD505-2E9C-101B-9397-08002B2CF9AE}" pid="81">
    <vt:lpwstr xmlns:vt="http://schemas.openxmlformats.org/officeDocument/2006/docPropsVTypes"/>
  </property>
  <property name="IVID325116DE" fmtid="{D5CDD505-2E9C-101B-9397-08002B2CF9AE}" pid="82">
    <vt:lpwstr xmlns:vt="http://schemas.openxmlformats.org/officeDocument/2006/docPropsVTypes"/>
  </property>
  <property name="IVID81113D2" fmtid="{D5CDD505-2E9C-101B-9397-08002B2CF9AE}" pid="83">
    <vt:lpwstr xmlns:vt="http://schemas.openxmlformats.org/officeDocument/2006/docPropsVTypes"/>
  </property>
  <property name="IVID1D231201" fmtid="{D5CDD505-2E9C-101B-9397-08002B2CF9AE}" pid="84">
    <vt:lpwstr xmlns:vt="http://schemas.openxmlformats.org/officeDocument/2006/docPropsVTypes"/>
  </property>
  <property name="IVID366A14F0" fmtid="{D5CDD505-2E9C-101B-9397-08002B2CF9AE}" pid="85">
    <vt:lpwstr xmlns:vt="http://schemas.openxmlformats.org/officeDocument/2006/docPropsVTypes"/>
  </property>
  <property name="IVID316311F9" fmtid="{D5CDD505-2E9C-101B-9397-08002B2CF9AE}" pid="86">
    <vt:lpwstr xmlns:vt="http://schemas.openxmlformats.org/officeDocument/2006/docPropsVTypes"/>
  </property>
  <property name="IVIDE0715F1" fmtid="{D5CDD505-2E9C-101B-9397-08002B2CF9AE}" pid="87">
    <vt:lpwstr xmlns:vt="http://schemas.openxmlformats.org/officeDocument/2006/docPropsVTypes"/>
  </property>
  <property name="IVID3B5816EC" fmtid="{D5CDD505-2E9C-101B-9397-08002B2CF9AE}" pid="88">
    <vt:lpwstr xmlns:vt="http://schemas.openxmlformats.org/officeDocument/2006/docPropsVTypes"/>
  </property>
  <property name="IVID351414F8" fmtid="{D5CDD505-2E9C-101B-9397-08002B2CF9AE}" pid="89">
    <vt:lpwstr xmlns:vt="http://schemas.openxmlformats.org/officeDocument/2006/docPropsVTypes"/>
  </property>
  <property name="IVID2F251AE7" fmtid="{D5CDD505-2E9C-101B-9397-08002B2CF9AE}" pid="90">
    <vt:lpwstr xmlns:vt="http://schemas.openxmlformats.org/officeDocument/2006/docPropsVTypes"/>
  </property>
  <property name="IVID2A5E1D03" fmtid="{D5CDD505-2E9C-101B-9397-08002B2CF9AE}" pid="91">
    <vt:lpwstr xmlns:vt="http://schemas.openxmlformats.org/officeDocument/2006/docPropsVTypes"/>
  </property>
  <property name="IVID306310DF" fmtid="{D5CDD505-2E9C-101B-9397-08002B2CF9AE}" pid="92">
    <vt:lpwstr xmlns:vt="http://schemas.openxmlformats.org/officeDocument/2006/docPropsVTypes"/>
  </property>
  <property name="IVID266F16CF" fmtid="{D5CDD505-2E9C-101B-9397-08002B2CF9AE}" pid="93">
    <vt:lpwstr xmlns:vt="http://schemas.openxmlformats.org/officeDocument/2006/docPropsVTypes"/>
  </property>
  <property name="IVID307414D1" fmtid="{D5CDD505-2E9C-101B-9397-08002B2CF9AE}" pid="94">
    <vt:lpwstr xmlns:vt="http://schemas.openxmlformats.org/officeDocument/2006/docPropsVTypes"/>
  </property>
  <property name="IVID344B1400" fmtid="{D5CDD505-2E9C-101B-9397-08002B2CF9AE}" pid="95">
    <vt:lpwstr xmlns:vt="http://schemas.openxmlformats.org/officeDocument/2006/docPropsVTypes"/>
  </property>
  <property name="IVID135B1DF5" fmtid="{D5CDD505-2E9C-101B-9397-08002B2CF9AE}" pid="96">
    <vt:lpwstr xmlns:vt="http://schemas.openxmlformats.org/officeDocument/2006/docPropsVTypes"/>
  </property>
  <property name="IVID1A3716D3" fmtid="{D5CDD505-2E9C-101B-9397-08002B2CF9AE}" pid="97">
    <vt:lpwstr xmlns:vt="http://schemas.openxmlformats.org/officeDocument/2006/docPropsVTypes"/>
  </property>
  <property name="IVIDD1916DB" fmtid="{D5CDD505-2E9C-101B-9397-08002B2CF9AE}" pid="98">
    <vt:lpwstr xmlns:vt="http://schemas.openxmlformats.org/officeDocument/2006/docPropsVTypes"/>
  </property>
  <property name="IVID11431AF1" fmtid="{D5CDD505-2E9C-101B-9397-08002B2CF9AE}" pid="99">
    <vt:lpwstr xmlns:vt="http://schemas.openxmlformats.org/officeDocument/2006/docPropsVTypes"/>
  </property>
  <property name="IVID1B2C19F3" fmtid="{D5CDD505-2E9C-101B-9397-08002B2CF9AE}" pid="100">
    <vt:lpwstr xmlns:vt="http://schemas.openxmlformats.org/officeDocument/2006/docPropsVTypes"/>
  </property>
  <property name="IVIDD5E0FE6" fmtid="{D5CDD505-2E9C-101B-9397-08002B2CF9AE}" pid="101">
    <vt:lpwstr xmlns:vt="http://schemas.openxmlformats.org/officeDocument/2006/docPropsVTypes"/>
  </property>
  <property name="IVID162D1605" fmtid="{D5CDD505-2E9C-101B-9397-08002B2CF9AE}" pid="102">
    <vt:lpwstr xmlns:vt="http://schemas.openxmlformats.org/officeDocument/2006/docPropsVTypes"/>
  </property>
  <property name="IVID2A3614FA" fmtid="{D5CDD505-2E9C-101B-9397-08002B2CF9AE}" pid="103">
    <vt:lpwstr xmlns:vt="http://schemas.openxmlformats.org/officeDocument/2006/docPropsVTypes"/>
  </property>
  <property name="IVID2E481703" fmtid="{D5CDD505-2E9C-101B-9397-08002B2CF9AE}" pid="104">
    <vt:lpwstr xmlns:vt="http://schemas.openxmlformats.org/officeDocument/2006/docPropsVTypes"/>
  </property>
  <property name="IVID417511F3" fmtid="{D5CDD505-2E9C-101B-9397-08002B2CF9AE}" pid="105">
    <vt:lpwstr xmlns:vt="http://schemas.openxmlformats.org/officeDocument/2006/docPropsVTypes"/>
  </property>
  <property name="IVID22500FDB" fmtid="{D5CDD505-2E9C-101B-9397-08002B2CF9AE}" pid="106">
    <vt:lpwstr xmlns:vt="http://schemas.openxmlformats.org/officeDocument/2006/docPropsVTypes"/>
  </property>
  <property name="IVID84A16D4" fmtid="{D5CDD505-2E9C-101B-9397-08002B2CF9AE}" pid="107">
    <vt:lpwstr xmlns:vt="http://schemas.openxmlformats.org/officeDocument/2006/docPropsVTypes"/>
  </property>
  <property name="IVID12401A08" fmtid="{D5CDD505-2E9C-101B-9397-08002B2CF9AE}" pid="108">
    <vt:lpwstr xmlns:vt="http://schemas.openxmlformats.org/officeDocument/2006/docPropsVTypes"/>
  </property>
  <property name="IVID423516F6" fmtid="{D5CDD505-2E9C-101B-9397-08002B2CF9AE}" pid="109">
    <vt:lpwstr xmlns:vt="http://schemas.openxmlformats.org/officeDocument/2006/docPropsVTypes"/>
  </property>
  <property name="IVID454217EE" fmtid="{D5CDD505-2E9C-101B-9397-08002B2CF9AE}" pid="110">
    <vt:lpwstr xmlns:vt="http://schemas.openxmlformats.org/officeDocument/2006/docPropsVTypes"/>
  </property>
  <property name="IVID1A731EDF" fmtid="{D5CDD505-2E9C-101B-9397-08002B2CF9AE}" pid="111">
    <vt:lpwstr xmlns:vt="http://schemas.openxmlformats.org/officeDocument/2006/docPropsVTypes"/>
  </property>
  <property name="IVID336018D3" fmtid="{D5CDD505-2E9C-101B-9397-08002B2CF9AE}" pid="112">
    <vt:lpwstr xmlns:vt="http://schemas.openxmlformats.org/officeDocument/2006/docPropsVTypes"/>
  </property>
  <property name="IVID10D33C18" fmtid="{D5CDD505-2E9C-101B-9397-08002B2CF9AE}" pid="113">
    <vt:lpwstr xmlns:vt="http://schemas.openxmlformats.org/officeDocument/2006/docPropsVTypes"/>
  </property>
  <property name="IVID18E8171C" fmtid="{D5CDD505-2E9C-101B-9397-08002B2CF9AE}" pid="114">
    <vt:lpwstr xmlns:vt="http://schemas.openxmlformats.org/officeDocument/2006/docPropsVTypes"/>
  </property>
  <property name="IVID381D17E7" fmtid="{D5CDD505-2E9C-101B-9397-08002B2CF9AE}" pid="115">
    <vt:lpwstr xmlns:vt="http://schemas.openxmlformats.org/officeDocument/2006/docPropsVTypes"/>
  </property>
  <property name="IVID327B17E9" fmtid="{D5CDD505-2E9C-101B-9397-08002B2CF9AE}" pid="116">
    <vt:lpwstr xmlns:vt="http://schemas.openxmlformats.org/officeDocument/2006/docPropsVTypes"/>
  </property>
  <property name="IVID86714FA" fmtid="{D5CDD505-2E9C-101B-9397-08002B2CF9AE}" pid="117">
    <vt:lpwstr xmlns:vt="http://schemas.openxmlformats.org/officeDocument/2006/docPropsVTypes"/>
  </property>
  <property name="IVID132318D6" fmtid="{D5CDD505-2E9C-101B-9397-08002B2CF9AE}" pid="118">
    <vt:lpwstr xmlns:vt="http://schemas.openxmlformats.org/officeDocument/2006/docPropsVTypes"/>
  </property>
  <property name="_AdHocReviewCycleID" fmtid="{D5CDD505-2E9C-101B-9397-08002B2CF9AE}" pid="119">
    <vt:i4 xmlns:vt="http://schemas.openxmlformats.org/officeDocument/2006/docPropsVTypes">-1008768892</vt:i4>
  </property>
  <property name="_EmailSubject" fmtid="{D5CDD505-2E9C-101B-9397-08002B2CF9AE}" pid="120">
    <vt:lpwstr xmlns:vt="http://schemas.openxmlformats.org/officeDocument/2006/docPropsVTypes">프로맵 작성 서식 및 참고 프로세스</vt:lpwstr>
  </property>
  <property name="_AuthorEmail" fmtid="{D5CDD505-2E9C-101B-9397-08002B2CF9AE}" pid="121">
    <vt:lpwstr xmlns:vt="http://schemas.openxmlformats.org/officeDocument/2006/docPropsVTypes">hsp@msconsulting.co.kr</vt:lpwstr>
  </property>
  <property name="_AuthorEmailDisplayName" fmtid="{D5CDD505-2E9C-101B-9397-08002B2CF9AE}" pid="122">
    <vt:lpwstr xmlns:vt="http://schemas.openxmlformats.org/officeDocument/2006/docPropsVTypes">박호순</vt:lpwstr>
  </property>
  <property name="_ReviewingToolsShownOnce" fmtid="{D5CDD505-2E9C-101B-9397-08002B2CF9AE}" pid="123">
    <vt:lpwstr xmlns:vt="http://schemas.openxmlformats.org/officeDocument/2006/docPropsVTypes"/>
  </property>
</Properties>
</file>