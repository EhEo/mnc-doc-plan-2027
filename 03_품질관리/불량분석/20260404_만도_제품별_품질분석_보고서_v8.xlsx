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747" firstSheet="0" activeTab="1" autoFilterDateGrouping="1"/>
  </bookViews>
  <sheets>
    <sheet xmlns:r="http://schemas.openxmlformats.org/officeDocument/2006/relationships" name="요약 (Executive Summary)" sheetId="1" state="visible" r:id="rId1"/>
    <sheet xmlns:r="http://schemas.openxmlformats.org/officeDocument/2006/relationships" name="IMEB2" sheetId="2" state="visible" r:id="rId2"/>
    <sheet xmlns:r="http://schemas.openxmlformats.org/officeDocument/2006/relationships" name="NX4 HOUSING" sheetId="3" state="visible" r:id="rId3"/>
    <sheet xmlns:r="http://schemas.openxmlformats.org/officeDocument/2006/relationships" name="NX4 COVER" sheetId="4" state="visible" r:id="rId4"/>
    <sheet xmlns:r="http://schemas.openxmlformats.org/officeDocument/2006/relationships" name="TEYGEN4" sheetId="5" state="visible" r:id="rId5"/>
    <sheet xmlns:r="http://schemas.openxmlformats.org/officeDocument/2006/relationships" name="종합차트" sheetId="6" state="visible" r:id="rId6"/>
  </sheets>
  <externalReferences>
    <externalReference xmlns:r="http://schemas.openxmlformats.org/officeDocument/2006/relationships" r:id="rId7"/>
  </externalReferences>
  <definedNames/>
  <calcPr calcId="191029" fullCalcOnLoad="1"/>
</workbook>
</file>

<file path=xl/styles.xml><?xml version="1.0" encoding="utf-8"?>
<styleSheet xmlns="http://schemas.openxmlformats.org/spreadsheetml/2006/main">
  <numFmts count="2">
    <numFmt numFmtId="164" formatCode="0.0%"/>
    <numFmt numFmtId="165" formatCode="_-* #,##0_-;\-* #,##0_-;_-* &quot;-&quot;_-;_-@_-"/>
  </numFmts>
  <fonts count="38">
    <font>
      <name val="맑은 고딕"/>
      <family val="2"/>
      <color theme="1"/>
      <sz val="11"/>
      <scheme val="minor"/>
    </font>
    <font>
      <name val="Arial"/>
      <family val="2"/>
      <b val="1"/>
      <color rgb="FFFFFFFF"/>
      <sz val="18"/>
    </font>
    <font>
      <name val="Arial"/>
      <family val="2"/>
      <sz val="11"/>
    </font>
    <font>
      <name val="Arial"/>
      <family val="2"/>
      <b val="1"/>
      <color rgb="FFFFFFFF"/>
      <sz val="12"/>
    </font>
    <font>
      <name val="Arial"/>
      <family val="2"/>
      <b val="1"/>
      <color rgb="FFFFFFFF"/>
      <sz val="10"/>
    </font>
    <font>
      <name val="Arial"/>
      <family val="2"/>
      <sz val="10"/>
    </font>
    <font>
      <name val="Arial"/>
      <family val="2"/>
      <b val="1"/>
      <sz val="10"/>
    </font>
    <font>
      <name val="Arial"/>
      <family val="2"/>
      <b val="1"/>
      <color rgb="FF000000"/>
      <sz val="10"/>
    </font>
    <font>
      <name val="Arial"/>
      <family val="2"/>
      <b val="1"/>
      <color rgb="FFFFFFFF"/>
      <sz val="16"/>
    </font>
    <font>
      <name val="Arial"/>
      <family val="2"/>
      <sz val="9"/>
    </font>
    <font>
      <name val="Arial"/>
      <family val="2"/>
      <b val="1"/>
      <color rgb="FFFFFFFF"/>
      <sz val="11"/>
    </font>
    <font>
      <name val="Arial"/>
      <family val="2"/>
      <b val="1"/>
      <color rgb="FFFFFFFF"/>
      <sz val="14"/>
    </font>
    <font>
      <name val="Arial"/>
      <family val="2"/>
      <b val="1"/>
      <color rgb="FFFFFFFF"/>
      <sz val="11"/>
    </font>
    <font>
      <name val="맑은 고딕"/>
      <family val="2"/>
      <color theme="1"/>
      <sz val="11"/>
      <scheme val="minor"/>
    </font>
    <font>
      <name val="맑은 고딕"/>
      <charset val="129"/>
      <family val="3"/>
      <sz val="8"/>
      <scheme val="minor"/>
    </font>
    <font>
      <name val="맑은 고딕"/>
      <charset val="129"/>
      <family val="3"/>
      <b val="1"/>
      <color rgb="FFFFFFFF"/>
      <sz val="10"/>
    </font>
    <font>
      <name val="맑은 고딕"/>
      <charset val="129"/>
      <family val="2"/>
      <b val="1"/>
      <color rgb="FFFFFFFF"/>
      <sz val="10"/>
    </font>
    <font>
      <name val="맑은 고딕"/>
      <charset val="129"/>
      <family val="3"/>
      <sz val="10"/>
    </font>
    <font>
      <name val="맑은 고딕"/>
      <charset val="129"/>
      <family val="2"/>
      <sz val="10"/>
    </font>
    <font>
      <name val="맑은 고딕"/>
      <charset val="129"/>
      <family val="2"/>
      <sz val="9"/>
    </font>
    <font>
      <name val="맑은 고딕"/>
      <charset val="129"/>
      <family val="2"/>
      <b val="1"/>
      <sz val="10"/>
    </font>
    <font>
      <name val="Arial"/>
      <family val="1"/>
      <b val="1"/>
      <color rgb="FFFFFFFF"/>
      <sz val="12"/>
    </font>
    <font>
      <name val="맑은 고딕"/>
      <charset val="129"/>
      <family val="3"/>
      <b val="1"/>
      <color rgb="FFFFFFFF"/>
      <sz val="12"/>
    </font>
    <font>
      <name val="Segoe UI Symbol"/>
      <family val="1"/>
      <b val="1"/>
      <color rgb="FFFFFFFF"/>
      <sz val="12"/>
    </font>
    <font>
      <name val="Arial"/>
      <charset val="129"/>
      <family val="3"/>
      <sz val="10"/>
    </font>
    <font>
      <name val="Segoe UI Symbol"/>
      <family val="2"/>
      <b val="1"/>
      <color rgb="FFFFFFFF"/>
      <sz val="12"/>
    </font>
    <font>
      <name val="맑은 고딕"/>
      <charset val="129"/>
      <family val="3"/>
      <sz val="9"/>
    </font>
    <font>
      <name val="Arial"/>
      <family val="1"/>
      <b val="1"/>
      <color rgb="FFFFFFFF"/>
      <sz val="11"/>
    </font>
    <font>
      <name val="맑은 고딕"/>
      <charset val="129"/>
      <family val="2"/>
      <b val="1"/>
      <color rgb="FFFFFFFF"/>
      <sz val="11"/>
    </font>
    <font>
      <name val="맑은 고딕"/>
      <charset val="129"/>
      <family val="3"/>
      <b val="1"/>
      <color rgb="FFFFFFFF"/>
      <sz val="11"/>
    </font>
    <font>
      <name val="Segoe UI Symbol"/>
      <family val="1"/>
      <b val="1"/>
      <color rgb="FFFFFFFF"/>
      <sz val="11"/>
    </font>
    <font>
      <name val="맑은 고딕"/>
      <charset val="129"/>
      <family val="3"/>
      <sz val="11"/>
    </font>
    <font>
      <name val="Arial"/>
      <charset val="129"/>
      <family val="3"/>
      <sz val="11"/>
    </font>
    <font>
      <name val="맑은 고딕"/>
      <charset val="129"/>
      <family val="3"/>
      <b val="1"/>
      <sz val="10"/>
    </font>
    <font>
      <name val="맑은 고딕"/>
      <charset val="129"/>
      <family val="2"/>
      <b val="1"/>
      <color rgb="FFFFFFFF"/>
      <sz val="12"/>
    </font>
    <font>
      <name val="Arial"/>
      <charset val="129"/>
      <family val="3"/>
      <sz val="9"/>
    </font>
    <font>
      <name val="맑은 고딕"/>
      <charset val="129"/>
      <family val="1"/>
      <b val="1"/>
      <color rgb="FFFFFFFF"/>
      <sz val="12"/>
    </font>
    <font>
      <name val="Arial"/>
      <charset val="129"/>
      <family val="2"/>
      <sz val="9"/>
    </font>
  </fonts>
  <fills count="16">
    <fill>
      <patternFill/>
    </fill>
    <fill>
      <patternFill patternType="gray125"/>
    </fill>
    <fill>
      <patternFill patternType="solid">
        <fgColor rgb="FF002060"/>
        <bgColor rgb="FF002060"/>
      </patternFill>
    </fill>
    <fill>
      <patternFill patternType="solid">
        <fgColor rgb="FF0070C0"/>
        <bgColor rgb="FF0070C0"/>
      </patternFill>
    </fill>
    <fill>
      <patternFill patternType="solid">
        <fgColor rgb="FFFFC000"/>
        <bgColor rgb="FFFFC000"/>
      </patternFill>
    </fill>
    <fill>
      <patternFill patternType="solid">
        <fgColor rgb="FFF2F2F2"/>
        <bgColor rgb="FFF2F2F2"/>
      </patternFill>
    </fill>
    <fill>
      <patternFill patternType="solid">
        <fgColor rgb="FFFF0000"/>
        <bgColor rgb="FFFF0000"/>
      </patternFill>
    </fill>
    <fill>
      <patternFill patternType="solid">
        <fgColor rgb="FF4472C4"/>
        <bgColor rgb="FF4472C4"/>
      </patternFill>
    </fill>
    <fill>
      <patternFill patternType="solid">
        <fgColor theme="5" tint="0.7999816888943144"/>
        <bgColor indexed="64"/>
      </patternFill>
    </fill>
    <fill>
      <patternFill patternType="solid">
        <fgColor rgb="FFFF0000"/>
        <bgColor rgb="FFF2F2F2"/>
      </patternFill>
    </fill>
    <fill>
      <patternFill patternType="solid">
        <fgColor rgb="FFFFC000"/>
        <bgColor rgb="FFF2F2F2"/>
      </patternFill>
    </fill>
    <fill>
      <patternFill patternType="solid">
        <fgColor rgb="FF00B0F0"/>
        <bgColor rgb="FFF2F2F2"/>
      </patternFill>
    </fill>
    <fill>
      <patternFill patternType="solid">
        <fgColor rgb="FF00B0F0"/>
        <bgColor rgb="FF92D050"/>
      </patternFill>
    </fill>
    <fill>
      <patternFill patternType="solid">
        <fgColor rgb="FFFFFF00"/>
        <bgColor indexed="64"/>
      </patternFill>
    </fill>
    <fill>
      <patternFill patternType="solid">
        <fgColor theme="9" tint="0.7999816888943144"/>
        <bgColor rgb="FFFFF2CC"/>
      </patternFill>
    </fill>
    <fill>
      <patternFill patternType="solid">
        <fgColor theme="9" tint="0.7999816888943144"/>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3">
    <xf numFmtId="0" fontId="13" fillId="0" borderId="0"/>
    <xf numFmtId="9" fontId="13" fillId="0" borderId="0" applyAlignment="1">
      <alignment vertical="center"/>
    </xf>
    <xf numFmtId="41" fontId="13" fillId="0" borderId="0" applyAlignment="1">
      <alignment vertical="center"/>
    </xf>
  </cellStyleXfs>
  <cellXfs count="139">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0" fillId="0" borderId="1" pivotButton="0" quotePrefix="0" xfId="0"/>
    <xf numFmtId="0" fontId="4"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0" borderId="0" pivotButton="0" quotePrefix="0" xfId="0"/>
    <xf numFmtId="3" fontId="5" fillId="0" borderId="0" applyAlignment="1" pivotButton="0" quotePrefix="0" xfId="0">
      <alignment horizontal="right"/>
    </xf>
    <xf numFmtId="2" fontId="5" fillId="0" borderId="0" applyAlignment="1" pivotButton="0" quotePrefix="0" xfId="0">
      <alignment horizontal="right"/>
    </xf>
    <xf numFmtId="49" fontId="5" fillId="0" borderId="0" applyAlignment="1" pivotButton="0" quotePrefix="0" xfId="0">
      <alignment horizontal="right"/>
    </xf>
    <xf numFmtId="10" fontId="0" fillId="0" borderId="0" applyAlignment="1" pivotButton="0" quotePrefix="0" xfId="1">
      <alignment horizontal="center"/>
    </xf>
    <xf numFmtId="0" fontId="15" fillId="2" borderId="1" applyAlignment="1" pivotButton="0" quotePrefix="0" xfId="0">
      <alignment horizontal="center" vertical="center" wrapText="1"/>
    </xf>
    <xf numFmtId="3" fontId="0" fillId="0" borderId="0" pivotButton="0" quotePrefix="0" xfId="0"/>
    <xf numFmtId="0" fontId="5" fillId="0" borderId="0"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6" fillId="2" borderId="1" applyAlignment="1" pivotButton="0" quotePrefix="0" xfId="0">
      <alignment horizontal="center" vertical="center" wrapText="1"/>
    </xf>
    <xf numFmtId="164" fontId="0" fillId="0" borderId="0" pivotButton="0" quotePrefix="0" xfId="1"/>
    <xf numFmtId="164" fontId="0" fillId="0" borderId="0" pivotButton="0" quotePrefix="0" xfId="0"/>
    <xf numFmtId="9" fontId="5" fillId="0" borderId="1" applyAlignment="1" pivotButton="0" quotePrefix="0" xfId="1">
      <alignment horizontal="center" vertical="center" wrapText="1"/>
    </xf>
    <xf numFmtId="0" fontId="5" fillId="8" borderId="1" applyAlignment="1" pivotButton="0" quotePrefix="0" xfId="0">
      <alignment horizontal="center" vertical="center" wrapText="1"/>
    </xf>
    <xf numFmtId="3" fontId="5" fillId="8" borderId="1" applyAlignment="1" pivotButton="0" quotePrefix="0" xfId="0">
      <alignment horizontal="center" vertical="center" wrapText="1"/>
    </xf>
    <xf numFmtId="9" fontId="5" fillId="8" borderId="1" applyAlignment="1" pivotButton="0" quotePrefix="0" xfId="1">
      <alignment horizontal="center" vertical="center" wrapText="1"/>
    </xf>
    <xf numFmtId="0" fontId="18" fillId="8" borderId="1" applyAlignment="1" pivotButton="0" quotePrefix="0" xfId="0">
      <alignment horizontal="center" vertical="center" wrapText="1"/>
    </xf>
    <xf numFmtId="164" fontId="5" fillId="0" borderId="1" applyAlignment="1" pivotButton="0" quotePrefix="0" xfId="1">
      <alignment horizontal="right" vertical="center" wrapText="1"/>
    </xf>
    <xf numFmtId="164" fontId="5" fillId="8" borderId="1" applyAlignment="1" pivotButton="0" quotePrefix="0" xfId="1">
      <alignment horizontal="right" vertical="center" wrapText="1"/>
    </xf>
    <xf numFmtId="0" fontId="17" fillId="8" borderId="1" applyAlignment="1" pivotButton="0" quotePrefix="0" xfId="0">
      <alignment horizontal="center" vertical="center" wrapText="1"/>
    </xf>
    <xf numFmtId="0" fontId="20" fillId="0" borderId="1" applyAlignment="1" pivotButton="0" quotePrefix="0" xfId="0">
      <alignment horizontal="center" vertical="center" wrapText="1"/>
    </xf>
    <xf numFmtId="3" fontId="6" fillId="0" borderId="1" applyAlignment="1" pivotButton="0" quotePrefix="0" xfId="0">
      <alignment horizontal="center" vertical="center" wrapText="1"/>
    </xf>
    <xf numFmtId="9" fontId="6" fillId="0" borderId="1" applyAlignment="1" pivotButton="0" quotePrefix="0" xfId="1">
      <alignment horizontal="center" vertical="center" wrapText="1"/>
    </xf>
    <xf numFmtId="164" fontId="6" fillId="0" borderId="1" applyAlignment="1" pivotButton="0" quotePrefix="0" xfId="1">
      <alignment horizontal="right" vertical="center" wrapText="1"/>
    </xf>
    <xf numFmtId="3" fontId="5" fillId="0" borderId="1" applyAlignment="1" pivotButton="0" quotePrefix="0" xfId="0">
      <alignment horizontal="right" vertical="center" wrapText="1"/>
    </xf>
    <xf numFmtId="3" fontId="5" fillId="8" borderId="1" applyAlignment="1" pivotButton="0" quotePrefix="0" xfId="0">
      <alignment horizontal="right" vertical="center" wrapText="1"/>
    </xf>
    <xf numFmtId="165" fontId="5" fillId="0" borderId="1" applyAlignment="1" pivotButton="0" quotePrefix="0" xfId="2">
      <alignment horizontal="center" vertical="center" wrapText="1"/>
    </xf>
    <xf numFmtId="164" fontId="5" fillId="0" borderId="1" applyAlignment="1" pivotButton="0" quotePrefix="0" xfId="1">
      <alignment horizontal="center" vertical="center" wrapText="1"/>
    </xf>
    <xf numFmtId="164" fontId="5" fillId="0" borderId="1" applyAlignment="1" pivotButton="0" quotePrefix="0" xfId="0">
      <alignment horizontal="right" vertical="center" wrapText="1"/>
    </xf>
    <xf numFmtId="164" fontId="5" fillId="8" borderId="1" applyAlignment="1" pivotButton="0" quotePrefix="0" xfId="0">
      <alignment horizontal="right" vertical="center" wrapText="1"/>
    </xf>
    <xf numFmtId="164" fontId="5" fillId="0" borderId="1" applyAlignment="1" pivotButton="0" quotePrefix="0" xfId="1">
      <alignment horizontal="right" vertical="center" wrapText="1"/>
    </xf>
    <xf numFmtId="3" fontId="6" fillId="0" borderId="1" applyAlignment="1" pivotButton="0" quotePrefix="0" xfId="0">
      <alignment horizontal="right" vertical="center" wrapText="1"/>
    </xf>
    <xf numFmtId="164" fontId="6" fillId="0" borderId="1" applyAlignment="1" pivotButton="0" quotePrefix="0" xfId="1">
      <alignment horizontal="center" vertical="center" wrapText="1"/>
    </xf>
    <xf numFmtId="0" fontId="4"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19" fillId="0" borderId="1" applyAlignment="1" pivotButton="0" quotePrefix="0" xfId="0">
      <alignment horizontal="center" vertical="center" wrapText="1"/>
    </xf>
    <xf numFmtId="0" fontId="0" fillId="0" borderId="0" applyAlignment="1" pivotButton="0" quotePrefix="0" xfId="0">
      <alignment horizontal="center"/>
    </xf>
    <xf numFmtId="0" fontId="26" fillId="0" borderId="1" applyAlignment="1" pivotButton="0" quotePrefix="0" xfId="0">
      <alignment horizontal="center" vertical="center" wrapText="1"/>
    </xf>
    <xf numFmtId="164" fontId="0" fillId="0" borderId="0" pivotButton="0" quotePrefix="0" xfId="1"/>
    <xf numFmtId="0" fontId="5" fillId="0" borderId="0" applyAlignment="1" pivotButton="0" quotePrefix="0" xfId="0">
      <alignment horizontal="left" vertical="center" wrapText="1"/>
    </xf>
    <xf numFmtId="3" fontId="5" fillId="13" borderId="1" applyAlignment="1" pivotButton="0" quotePrefix="0" xfId="0">
      <alignment horizontal="right" vertical="center" wrapText="1"/>
    </xf>
    <xf numFmtId="3" fontId="6" fillId="13" borderId="1" applyAlignment="1" pivotButton="0" quotePrefix="0" xfId="0">
      <alignment horizontal="right" vertical="center" wrapText="1"/>
    </xf>
    <xf numFmtId="164" fontId="5" fillId="13" borderId="1" applyAlignment="1" pivotButton="0" quotePrefix="0" xfId="1">
      <alignment horizontal="center" vertical="center" wrapText="1"/>
    </xf>
    <xf numFmtId="165" fontId="0" fillId="0" borderId="0" pivotButton="0" quotePrefix="0" xfId="0"/>
    <xf numFmtId="165" fontId="0" fillId="0" borderId="0" pivotButton="0" quotePrefix="0" xfId="2"/>
    <xf numFmtId="165" fontId="0" fillId="0" borderId="0" pivotButton="0" quotePrefix="0" xfId="2"/>
    <xf numFmtId="164" fontId="5" fillId="8" borderId="1" applyAlignment="1" pivotButton="0" quotePrefix="0" xfId="1">
      <alignment horizontal="center" vertical="center" wrapText="1"/>
    </xf>
    <xf numFmtId="164" fontId="6" fillId="0" borderId="1" applyAlignment="1" pivotButton="0" quotePrefix="0" xfId="1">
      <alignment horizontal="center" vertical="center" wrapText="1"/>
    </xf>
    <xf numFmtId="164" fontId="2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0" applyAlignment="1" pivotButton="0" quotePrefix="0" xfId="0">
      <alignment vertical="center" wrapText="1"/>
    </xf>
    <xf numFmtId="164" fontId="6" fillId="0" borderId="1" applyAlignment="1" pivotButton="0" quotePrefix="0" xfId="1">
      <alignment horizontal="right" vertical="center" wrapText="1"/>
    </xf>
    <xf numFmtId="164" fontId="24"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0" fillId="0" borderId="0" pivotButton="0" quotePrefix="0" xfId="0"/>
    <xf numFmtId="0" fontId="8" fillId="2" borderId="0" applyAlignment="1" pivotButton="0" quotePrefix="0" xfId="0">
      <alignment horizontal="center" vertical="center" wrapText="1"/>
    </xf>
    <xf numFmtId="0" fontId="21" fillId="3" borderId="0" applyAlignment="1" pivotButton="0" quotePrefix="0" xfId="0">
      <alignment horizontal="left" vertical="center" wrapText="1"/>
    </xf>
    <xf numFmtId="164" fontId="5" fillId="13" borderId="2" applyAlignment="1" pivotButton="0" quotePrefix="0" xfId="1">
      <alignment horizontal="center" vertical="center" wrapText="1"/>
    </xf>
    <xf numFmtId="164" fontId="5" fillId="13" borderId="3" applyAlignment="1" pivotButton="0" quotePrefix="0" xfId="1">
      <alignment horizontal="center" vertical="center" wrapText="1"/>
    </xf>
    <xf numFmtId="164" fontId="5" fillId="13" borderId="4" applyAlignment="1" pivotButton="0" quotePrefix="0" xfId="1">
      <alignment horizontal="center" vertical="center" wrapText="1"/>
    </xf>
    <xf numFmtId="0" fontId="3" fillId="3" borderId="5" applyAlignment="1" pivotButton="0" quotePrefix="0" xfId="0">
      <alignment horizontal="center" vertical="center" wrapText="1"/>
    </xf>
    <xf numFmtId="0" fontId="3" fillId="3" borderId="0" applyAlignment="1" pivotButton="0" quotePrefix="0" xfId="0">
      <alignment horizontal="center" vertical="center" wrapText="1"/>
    </xf>
    <xf numFmtId="0" fontId="16" fillId="2" borderId="6" applyAlignment="1" pivotButton="0" quotePrefix="0" xfId="0">
      <alignment horizontal="center" vertical="center" wrapText="1"/>
    </xf>
    <xf numFmtId="0" fontId="16" fillId="2" borderId="7" applyAlignment="1" pivotButton="0" quotePrefix="0" xfId="0">
      <alignment horizontal="center" vertical="center" wrapText="1"/>
    </xf>
    <xf numFmtId="0" fontId="16" fillId="2" borderId="8" applyAlignment="1" pivotButton="0" quotePrefix="0" xfId="0">
      <alignment horizontal="center" vertical="center" wrapText="1"/>
    </xf>
    <xf numFmtId="0" fontId="16" fillId="2" borderId="2" applyAlignment="1" pivotButton="0" quotePrefix="0" xfId="0">
      <alignment horizontal="center" vertical="center" wrapText="1"/>
    </xf>
    <xf numFmtId="0" fontId="16" fillId="2" borderId="4"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4" applyAlignment="1" pivotButton="0" quotePrefix="0" xfId="0">
      <alignment horizontal="center" vertical="center" wrapText="1"/>
    </xf>
    <xf numFmtId="0" fontId="5" fillId="0" borderId="0" applyAlignment="1" pivotButton="0" quotePrefix="0" xfId="0">
      <alignment horizontal="left" vertical="center" wrapText="1"/>
    </xf>
    <xf numFmtId="0" fontId="1" fillId="2" borderId="0" applyAlignment="1" pivotButton="0" quotePrefix="0" xfId="0">
      <alignment horizontal="center" vertical="center" wrapText="1"/>
    </xf>
    <xf numFmtId="0" fontId="32" fillId="0" borderId="0" applyAlignment="1" pivotButton="0" quotePrefix="0" xfId="0">
      <alignment horizontal="center" vertical="center"/>
    </xf>
    <xf numFmtId="0" fontId="11" fillId="2" borderId="0" applyAlignment="1" pivotButton="0" quotePrefix="0" xfId="0">
      <alignment horizontal="center" vertical="center" wrapText="1"/>
    </xf>
    <xf numFmtId="0" fontId="12" fillId="7" borderId="0" pivotButton="0" quotePrefix="0" xfId="0"/>
    <xf numFmtId="0" fontId="27" fillId="7" borderId="0" pivotButton="0" quotePrefix="0" xfId="0"/>
    <xf numFmtId="0" fontId="6" fillId="14" borderId="1" applyAlignment="1" pivotButton="0" quotePrefix="0" xfId="0">
      <alignment horizontal="center" vertical="center" wrapText="1"/>
    </xf>
    <xf numFmtId="165" fontId="5" fillId="15" borderId="1" applyAlignment="1" pivotButton="0" quotePrefix="0" xfId="2">
      <alignment horizontal="center" vertical="center" wrapText="1"/>
    </xf>
    <xf numFmtId="0" fontId="16"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5" borderId="0" applyAlignment="1" pivotButton="0" quotePrefix="0" xfId="0">
      <alignment horizontal="center" vertical="center" wrapText="1"/>
    </xf>
    <xf numFmtId="0" fontId="5" fillId="0" borderId="0" applyAlignment="1" pivotButton="0" quotePrefix="0" xfId="0">
      <alignment horizontal="center" vertical="center" wrapText="1"/>
    </xf>
    <xf numFmtId="9" fontId="16" fillId="2" borderId="0" applyAlignment="1" pivotButton="0" quotePrefix="0" xfId="0">
      <alignment horizontal="center" vertical="center" wrapText="1"/>
    </xf>
    <xf numFmtId="0" fontId="16" fillId="2" borderId="5" applyAlignment="1" pivotButton="0" quotePrefix="0" xfId="0">
      <alignment horizontal="center" vertical="center" wrapText="1"/>
    </xf>
    <xf numFmtId="0" fontId="16"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19"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9" fillId="0" borderId="6" applyAlignment="1" pivotButton="0" quotePrefix="0" xfId="0">
      <alignment horizontal="center" vertical="center" wrapText="1"/>
    </xf>
    <xf numFmtId="0" fontId="19" fillId="0" borderId="7"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6" applyAlignment="1" pivotButton="0" quotePrefix="0" xfId="0">
      <alignment horizontal="left" vertical="center" wrapText="1"/>
    </xf>
    <xf numFmtId="0" fontId="19" fillId="0" borderId="7" applyAlignment="1" pivotButton="0" quotePrefix="0" xfId="0">
      <alignment horizontal="left" vertical="center" wrapText="1"/>
    </xf>
    <xf numFmtId="0" fontId="19" fillId="0" borderId="8" applyAlignment="1" pivotButton="0" quotePrefix="0" xfId="0">
      <alignment horizontal="left" vertical="center" wrapText="1"/>
    </xf>
    <xf numFmtId="0" fontId="9" fillId="0" borderId="7" applyAlignment="1" pivotButton="0" quotePrefix="0" xfId="0">
      <alignment horizontal="left" vertical="center" wrapText="1"/>
    </xf>
    <xf numFmtId="0" fontId="9" fillId="0" borderId="8" applyAlignment="1" pivotButton="0" quotePrefix="0" xfId="0">
      <alignment horizontal="left" vertical="center" wrapText="1"/>
    </xf>
    <xf numFmtId="0" fontId="19" fillId="0" borderId="1" applyAlignment="1" pivotButton="0" quotePrefix="0" xfId="0">
      <alignment vertical="center" wrapText="1"/>
    </xf>
    <xf numFmtId="0" fontId="9" fillId="0" borderId="6" applyAlignment="1" pivotButton="0" quotePrefix="0" xfId="0">
      <alignment horizontal="left" vertical="center" wrapText="1"/>
    </xf>
    <xf numFmtId="0" fontId="35" fillId="0" borderId="1" applyAlignment="1" pivotButton="0" quotePrefix="0" xfId="0">
      <alignment horizontal="center" vertical="center" wrapText="1"/>
    </xf>
    <xf numFmtId="0" fontId="0" fillId="0" borderId="1" applyAlignment="1" pivotButton="0" quotePrefix="0" xfId="0">
      <alignment vertical="center" wrapText="1"/>
    </xf>
    <xf numFmtId="0" fontId="5" fillId="0" borderId="0" applyAlignment="1" pivotButton="0" quotePrefix="0" xfId="0">
      <alignment horizontal="center" vertical="center" wrapText="1"/>
    </xf>
    <xf numFmtId="0" fontId="37" fillId="0" borderId="6" applyAlignment="1" pivotButton="0" quotePrefix="0" xfId="0">
      <alignment horizontal="left" vertical="center" wrapText="1"/>
    </xf>
    <xf numFmtId="0" fontId="0" fillId="0" borderId="4" pivotButton="0" quotePrefix="0" xfId="0"/>
    <xf numFmtId="165" fontId="0" fillId="0" borderId="0" pivotButton="0" quotePrefix="0" xfId="0"/>
    <xf numFmtId="165" fontId="0" fillId="0" borderId="0" pivotButton="0" quotePrefix="0" xfId="2"/>
    <xf numFmtId="164" fontId="0" fillId="0" borderId="0" pivotButton="0" quotePrefix="0" xfId="0"/>
    <xf numFmtId="165" fontId="5" fillId="0" borderId="1" applyAlignment="1" pivotButton="0" quotePrefix="0" xfId="2">
      <alignment horizontal="center" vertical="center" wrapText="1"/>
    </xf>
    <xf numFmtId="164" fontId="5" fillId="0" borderId="1" applyAlignment="1" pivotButton="0" quotePrefix="0" xfId="1">
      <alignment horizontal="center" vertical="center" wrapText="1"/>
    </xf>
    <xf numFmtId="164" fontId="5" fillId="13" borderId="1" applyAlignment="1" pivotButton="0" quotePrefix="0" xfId="1">
      <alignment horizontal="center" vertical="center" wrapText="1"/>
    </xf>
    <xf numFmtId="164" fontId="24" fillId="0" borderId="1" applyAlignment="1" pivotButton="0" quotePrefix="0" xfId="0">
      <alignment horizontal="center" vertical="center" wrapText="1"/>
    </xf>
    <xf numFmtId="164" fontId="5" fillId="0" borderId="1" applyAlignment="1" pivotButton="0" quotePrefix="0" xfId="0">
      <alignment horizontal="center" vertical="center" wrapText="1"/>
    </xf>
    <xf numFmtId="165" fontId="5" fillId="15" borderId="1" applyAlignment="1" pivotButton="0" quotePrefix="0" xfId="2">
      <alignment horizontal="center" vertical="center" wrapText="1"/>
    </xf>
    <xf numFmtId="164" fontId="6" fillId="0" borderId="1" applyAlignment="1" pivotButton="0" quotePrefix="0" xfId="1">
      <alignment horizontal="right" vertical="center" wrapText="1"/>
    </xf>
    <xf numFmtId="164" fontId="0" fillId="0" borderId="0" pivotButton="0" quotePrefix="0" xfId="1"/>
    <xf numFmtId="164" fontId="24" fillId="5" borderId="1" applyAlignment="1" pivotButton="0" quotePrefix="0" xfId="0">
      <alignment horizontal="center" vertical="center" wrapText="1"/>
    </xf>
    <xf numFmtId="164" fontId="5" fillId="5" borderId="1" applyAlignment="1" pivotButton="0" quotePrefix="0" xfId="0">
      <alignment horizontal="center" vertical="center" wrapText="1"/>
    </xf>
    <xf numFmtId="164" fontId="5" fillId="0" borderId="1" applyAlignment="1" pivotButton="0" quotePrefix="0" xfId="0">
      <alignment horizontal="right" vertical="center" wrapText="1"/>
    </xf>
    <xf numFmtId="0" fontId="0" fillId="0" borderId="3" pivotButton="0" quotePrefix="0" xfId="0"/>
    <xf numFmtId="164" fontId="5" fillId="8" borderId="1" applyAlignment="1" pivotButton="0" quotePrefix="0" xfId="0">
      <alignment horizontal="right" vertical="center" wrapText="1"/>
    </xf>
    <xf numFmtId="164" fontId="6" fillId="0" borderId="1" applyAlignment="1" pivotButton="0" quotePrefix="0" xfId="1">
      <alignment horizontal="center" vertical="center" wrapText="1"/>
    </xf>
    <xf numFmtId="164" fontId="5" fillId="8" borderId="1" applyAlignment="1" pivotButton="0" quotePrefix="0" xfId="1">
      <alignment horizontal="center" vertical="center" wrapText="1"/>
    </xf>
    <xf numFmtId="0" fontId="0" fillId="0" borderId="7" pivotButton="0" quotePrefix="0" xfId="0"/>
    <xf numFmtId="0" fontId="0" fillId="0" borderId="8" pivotButton="0" quotePrefix="0" xfId="0"/>
    <xf numFmtId="0" fontId="19" fillId="0" borderId="1" applyAlignment="1" pivotButton="0" quotePrefix="0" xfId="0">
      <alignment horizontal="left" vertical="center" wrapText="1"/>
    </xf>
    <xf numFmtId="164" fontId="5" fillId="0" borderId="1" applyAlignment="1" pivotButton="0" quotePrefix="0" xfId="1">
      <alignment horizontal="right" vertical="center" wrapText="1"/>
    </xf>
    <xf numFmtId="164" fontId="5" fillId="8" borderId="1" applyAlignment="1" pivotButton="0" quotePrefix="0" xfId="1">
      <alignment horizontal="right" vertical="center" wrapText="1"/>
    </xf>
    <xf numFmtId="0" fontId="37" fillId="0" borderId="1" applyAlignment="1" pivotButton="0" quotePrefix="0" xfId="0">
      <alignment horizontal="left" vertical="center" wrapText="1"/>
    </xf>
    <xf numFmtId="0" fontId="9" fillId="0" borderId="1" applyAlignment="1" pivotButton="0" quotePrefix="0" xfId="0">
      <alignment horizontal="left" vertical="center" wrapText="1"/>
    </xf>
  </cellXfs>
  <cellStyles count="3">
    <cellStyle name="표준" xfId="0" builtinId="0"/>
    <cellStyle name="백분율" xfId="1" builtinId="5"/>
    <cellStyle name="쉼표 [0]" xfId="2"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4</row>
      <rowOff>66675</rowOff>
    </from>
    <ext cx="6191250" cy="3810000"/>
    <pic>
      <nvPicPr>
        <cNvPr id="4" name="Image 3"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1009650"/>
          <a:ext cx="6191250" cy="3810000"/>
        </a:xfrm>
        <a:prstGeom xmlns:a="http://schemas.openxmlformats.org/drawingml/2006/main" prst="rect">
          <avLst/>
        </a:prstGeom>
        <a:ln xmlns:a="http://schemas.openxmlformats.org/drawingml/2006/main">
          <a:prstDash val="solid"/>
        </a:ln>
      </spPr>
    </pic>
    <clientData/>
  </oneCellAnchor>
  <oneCellAnchor>
    <from>
      <col>0</col>
      <colOff>0</colOff>
      <row>30</row>
      <rowOff>0</rowOff>
    </from>
    <ext cx="6191250" cy="3810000"/>
    <pic>
      <nvPicPr>
        <cNvPr id="7" name="Image 6"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52</row>
      <rowOff>0</rowOff>
    </from>
    <ext cx="6191250" cy="3810000"/>
    <pic>
      <nvPicPr>
        <cNvPr id="8" name="Image 7"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C:\Users\user\Documents\&#52852;&#52852;&#50724;&#53665;%20&#48155;&#51008;%20&#54028;&#51068;\&#54408;&#51656;&#48516;&#49437;&#48372;&#44256;&#49436;_2026Q1%20(1).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요약(Executive Summary)"/>
      <sheetName val="제품별 불량 현황"/>
      <sheetName val="제품별 공정별 불량현황"/>
      <sheetName val="불량율 매트릭스"/>
      <sheetName val="공정별 불량 현황"/>
      <sheetName val="파레토 분석"/>
      <sheetName val="월별 불량 추이"/>
      <sheetName val="근본원인 분석(5-Why)"/>
      <sheetName val="제품별 파레토"/>
      <sheetName val="개선 우선순위"/>
    </sheetNames>
    <sheetDataSet>
      <sheetData sheetId="0"/>
      <sheetData sheetId="1"/>
      <sheetData sheetId="2">
        <row r="4">
          <cell r="C4">
            <v>162415</v>
          </cell>
        </row>
        <row r="5">
          <cell r="C5">
            <v>158324</v>
          </cell>
        </row>
        <row r="6">
          <cell r="C6">
            <v>164382</v>
          </cell>
          <cell r="D6">
            <v>6552</v>
          </cell>
        </row>
        <row r="7">
          <cell r="C7">
            <v>157276</v>
          </cell>
        </row>
        <row r="21">
          <cell r="C21">
            <v>191407</v>
          </cell>
        </row>
        <row r="22">
          <cell r="C22">
            <v>183047</v>
          </cell>
        </row>
        <row r="23">
          <cell r="C23">
            <v>184556</v>
          </cell>
        </row>
        <row r="24">
          <cell r="C24">
            <v>187090</v>
          </cell>
        </row>
        <row r="26">
          <cell r="C26">
            <v>114896</v>
          </cell>
        </row>
        <row r="27">
          <cell r="C27">
            <v>110849</v>
          </cell>
        </row>
        <row r="28">
          <cell r="C28">
            <v>131533</v>
          </cell>
        </row>
        <row r="29">
          <cell r="C29">
            <v>123318</v>
          </cell>
        </row>
        <row r="31">
          <cell r="C31">
            <v>240922</v>
          </cell>
        </row>
        <row r="32">
          <cell r="C32">
            <v>255770</v>
          </cell>
        </row>
        <row r="33">
          <cell r="C33">
            <v>245812</v>
          </cell>
        </row>
        <row r="34">
          <cell r="C34">
            <v>243388</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34"/>
  <sheetViews>
    <sheetView showGridLines="0" zoomScaleNormal="100" workbookViewId="0">
      <pane ySplit="5" topLeftCell="A6" activePane="bottomLeft" state="frozen"/>
      <selection pane="bottomLeft" activeCell="D8" sqref="D8"/>
    </sheetView>
  </sheetViews>
  <sheetFormatPr baseColWidth="8" defaultRowHeight="17.4"/>
  <cols>
    <col width="13" bestFit="1" customWidth="1" style="66" min="1" max="1"/>
    <col width="17.69921875" customWidth="1" style="66" min="2" max="2"/>
    <col width="18" customWidth="1" style="66" min="3" max="3"/>
    <col width="14.8984375" customWidth="1" style="66" min="4" max="4"/>
    <col width="10.09765625" customWidth="1" style="66" min="5" max="14"/>
    <col width="15" customWidth="1" style="66" min="15" max="16"/>
    <col width="11.69921875" bestFit="1" customWidth="1" style="66" min="17" max="17"/>
    <col width="10.59765625" customWidth="1" style="66" min="18" max="18"/>
  </cols>
  <sheetData>
    <row r="1" ht="30" customHeight="1" s="66">
      <c r="A1" s="82" t="inlineStr">
        <is>
          <t>만도 제품별 불량 원인 분석 보고서</t>
        </is>
      </c>
    </row>
    <row r="2" ht="30" customHeight="1" s="66"/>
    <row r="3">
      <c r="A3" s="83" t="inlineStr">
        <is>
          <t>분석 기간: 2026년 1월 ~ 2026년 3월 | 작성일: 2026-04-03</t>
        </is>
      </c>
    </row>
    <row r="5" ht="16.5" customHeight="1" s="66">
      <c r="A5" s="96" t="inlineStr">
        <is>
          <t>■ 전체 현황 요약</t>
        </is>
      </c>
    </row>
    <row r="6" ht="21" customHeight="1" s="66">
      <c r="A6" s="1" t="inlineStr">
        <is>
          <t>제품</t>
        </is>
      </c>
      <c r="B6" s="18" t="inlineStr">
        <is>
          <t>총 생산량</t>
        </is>
      </c>
      <c r="C6" s="18" t="inlineStr">
        <is>
          <t>총 출하수량</t>
        </is>
      </c>
      <c r="D6" s="18" t="inlineStr">
        <is>
          <t>직통률</t>
        </is>
      </c>
      <c r="E6" s="94" t="inlineStr">
        <is>
          <t>최다불량유형</t>
        </is>
      </c>
    </row>
    <row r="7" ht="21" customHeight="1" s="66">
      <c r="A7" s="113" t="n"/>
      <c r="B7" s="113" t="n"/>
      <c r="C7" s="113" t="n"/>
      <c r="D7" s="113" t="n"/>
      <c r="E7" s="18" t="inlineStr">
        <is>
          <t>1순위</t>
        </is>
      </c>
      <c r="F7" s="18" t="inlineStr">
        <is>
          <t>%</t>
        </is>
      </c>
      <c r="G7" s="18" t="inlineStr">
        <is>
          <t>2순위</t>
        </is>
      </c>
      <c r="H7" s="18" t="inlineStr">
        <is>
          <t>%</t>
        </is>
      </c>
      <c r="I7" s="18" t="inlineStr">
        <is>
          <t>3순위</t>
        </is>
      </c>
      <c r="J7" s="18" t="inlineStr">
        <is>
          <t>%</t>
        </is>
      </c>
      <c r="K7" s="95" t="inlineStr">
        <is>
          <t>4순위</t>
        </is>
      </c>
      <c r="L7" s="95" t="inlineStr">
        <is>
          <t>%</t>
        </is>
      </c>
      <c r="M7" s="95" t="inlineStr">
        <is>
          <t>5순위</t>
        </is>
      </c>
      <c r="N7" s="93" t="n">
        <v>0.05</v>
      </c>
      <c r="O7" s="114" t="n"/>
      <c r="P7" s="115" t="n"/>
      <c r="Q7" s="115" t="n"/>
      <c r="R7" s="116" t="n"/>
    </row>
    <row r="8" ht="21" customHeight="1" s="66">
      <c r="A8" s="2" t="inlineStr">
        <is>
          <t>IMEB2</t>
        </is>
      </c>
      <c r="B8" s="117">
        <f>IMEB2!B8</f>
        <v/>
      </c>
      <c r="C8" s="117" t="n">
        <v>114768</v>
      </c>
      <c r="D8" s="118">
        <f>IMEB2!F8</f>
        <v/>
      </c>
      <c r="E8" s="119">
        <f>IMEB2!A16</f>
        <v/>
      </c>
      <c r="F8" s="119">
        <f>IMEB2!C16</f>
        <v/>
      </c>
      <c r="G8" s="118">
        <f>IMEB2!A17</f>
        <v/>
      </c>
      <c r="H8" s="120">
        <f>IMEB2!C17</f>
        <v/>
      </c>
      <c r="I8" s="118">
        <f>IMEB2!A18</f>
        <v/>
      </c>
      <c r="J8" s="121">
        <f>IMEB2!C18</f>
        <v/>
      </c>
      <c r="K8" s="118">
        <f>IMEB2!A19</f>
        <v/>
      </c>
      <c r="L8" s="121">
        <f>IMEB2!C19</f>
        <v/>
      </c>
      <c r="M8" s="118">
        <f>IMEB2!A20</f>
        <v/>
      </c>
      <c r="N8" s="121">
        <f>IMEB2!C20</f>
        <v/>
      </c>
      <c r="O8" s="114" t="n"/>
      <c r="P8" s="115" t="n"/>
      <c r="Q8" s="115" t="n"/>
      <c r="R8" s="116" t="n"/>
    </row>
    <row r="9" ht="21" customHeight="1" s="66">
      <c r="A9" s="2" t="inlineStr">
        <is>
          <t>NX4 HOUSING</t>
        </is>
      </c>
      <c r="B9" s="117">
        <f>'NX4 HOUSING'!B8</f>
        <v/>
      </c>
      <c r="C9" s="117" t="n">
        <v>129490</v>
      </c>
      <c r="D9" s="118">
        <f>'NX4 HOUSING'!F8</f>
        <v/>
      </c>
      <c r="E9" s="119">
        <f>'NX4 HOUSING'!A16</f>
        <v/>
      </c>
      <c r="F9" s="119">
        <f>'NX4 HOUSING'!C16</f>
        <v/>
      </c>
      <c r="G9" s="2">
        <f>'NX4 HOUSING'!A17</f>
        <v/>
      </c>
      <c r="H9" s="121">
        <f>'NX4 HOUSING'!C17</f>
        <v/>
      </c>
      <c r="I9" s="2">
        <f>'NX4 HOUSING'!A18</f>
        <v/>
      </c>
      <c r="J9" s="121">
        <f>'NX4 HOUSING'!C18</f>
        <v/>
      </c>
      <c r="K9" s="2">
        <f>'NX4 HOUSING'!A19</f>
        <v/>
      </c>
      <c r="L9" s="121">
        <f>'NX4 HOUSING'!C19</f>
        <v/>
      </c>
      <c r="M9" s="2">
        <f>'NX4 HOUSING'!A20</f>
        <v/>
      </c>
      <c r="N9" s="121">
        <f>'NX4 HOUSING'!C20</f>
        <v/>
      </c>
      <c r="O9" s="114" t="n"/>
      <c r="P9" s="115" t="n"/>
      <c r="Q9" s="115" t="n"/>
      <c r="R9" s="116" t="n"/>
    </row>
    <row r="10" ht="21" customHeight="1" s="66">
      <c r="A10" s="2" t="inlineStr">
        <is>
          <t>NX4 COVER</t>
        </is>
      </c>
      <c r="B10" s="117">
        <f>'NX4 COVER'!B5</f>
        <v/>
      </c>
      <c r="C10" s="117" t="n">
        <v>176714</v>
      </c>
      <c r="D10" s="118">
        <f>'NX4 COVER'!F5</f>
        <v/>
      </c>
      <c r="E10" s="119">
        <f>'NX4 COVER'!A13</f>
        <v/>
      </c>
      <c r="F10" s="119">
        <f>'NX4 COVER'!C13</f>
        <v/>
      </c>
      <c r="G10" s="2">
        <f>'NX4 COVER'!A14</f>
        <v/>
      </c>
      <c r="H10" s="121">
        <f>'NX4 COVER'!C14</f>
        <v/>
      </c>
      <c r="I10" s="2">
        <f>'NX4 COVER'!A15</f>
        <v/>
      </c>
      <c r="J10" s="121">
        <f>'NX4 COVER'!C15</f>
        <v/>
      </c>
      <c r="K10" s="2">
        <f>'NX4 COVER'!A16</f>
        <v/>
      </c>
      <c r="L10" s="121">
        <f>'NX4 COVER'!C16</f>
        <v/>
      </c>
      <c r="M10" s="2">
        <f>'NX4 COVER'!A17</f>
        <v/>
      </c>
      <c r="N10" s="121">
        <f>'NX4 COVER'!C17</f>
        <v/>
      </c>
      <c r="O10" s="114" t="n"/>
      <c r="P10" s="115" t="n"/>
      <c r="Q10" s="115" t="n"/>
      <c r="R10" s="116" t="n"/>
    </row>
    <row r="11" ht="21" customHeight="1" s="66">
      <c r="A11" s="2" t="inlineStr">
        <is>
          <t>TEYGEN4</t>
        </is>
      </c>
      <c r="B11" s="117">
        <f>TEYGEN4!B5</f>
        <v/>
      </c>
      <c r="C11" s="117" t="n">
        <v>233040</v>
      </c>
      <c r="D11" s="118">
        <f>TEYGEN4!F5</f>
        <v/>
      </c>
      <c r="E11" s="119">
        <f>TEYGEN4!A13</f>
        <v/>
      </c>
      <c r="F11" s="119">
        <f>TEYGEN4!C13</f>
        <v/>
      </c>
      <c r="G11" s="2">
        <f>TEYGEN4!A14</f>
        <v/>
      </c>
      <c r="H11" s="121">
        <f>TEYGEN4!C14</f>
        <v/>
      </c>
      <c r="I11" s="2">
        <f>TEYGEN4!A15</f>
        <v/>
      </c>
      <c r="J11" s="121">
        <f>TEYGEN4!C15</f>
        <v/>
      </c>
      <c r="K11" s="2">
        <f>TEYGEN4!A16</f>
        <v/>
      </c>
      <c r="L11" s="121">
        <f>TEYGEN4!C16</f>
        <v/>
      </c>
      <c r="M11" s="2">
        <f>TEYGEN4!A17</f>
        <v/>
      </c>
      <c r="N11" s="121">
        <f>TEYGEN4!C17</f>
        <v/>
      </c>
      <c r="O11" s="114" t="n"/>
      <c r="P11" s="115" t="n"/>
      <c r="Q11" s="115" t="n"/>
      <c r="R11" s="116" t="n"/>
    </row>
    <row r="12" ht="21" customHeight="1" s="66">
      <c r="A12" s="87" t="inlineStr">
        <is>
          <t>합계</t>
        </is>
      </c>
      <c r="B12" s="122">
        <f>SUM(B8:B11)</f>
        <v/>
      </c>
      <c r="C12" s="122">
        <f>SUM(C8:C11)</f>
        <v/>
      </c>
      <c r="D12" s="123" t="n"/>
      <c r="E12" s="123" t="n"/>
      <c r="F12" s="123" t="n"/>
      <c r="G12" s="5" t="n"/>
      <c r="H12" s="5" t="n"/>
      <c r="I12" s="5" t="n"/>
      <c r="J12" s="5" t="n"/>
      <c r="K12" s="5" t="n"/>
      <c r="L12" s="5" t="n"/>
      <c r="M12" s="5" t="n"/>
      <c r="N12" s="5" t="n"/>
      <c r="P12" s="124" t="n"/>
    </row>
    <row r="13">
      <c r="Q13" s="114" t="n"/>
    </row>
    <row r="14" ht="16.5" customHeight="1" s="66">
      <c r="A14" s="96" t="inlineStr">
        <is>
          <t>■ 핵심 사항</t>
        </is>
      </c>
      <c r="Q14" s="114" t="n"/>
    </row>
    <row r="15" ht="17.4" customHeight="1" s="66">
      <c r="A15" s="81" t="inlineStr">
        <is>
          <t>1. IMEB2가 가장 높은 불량율을 기록하여 긴급 개선 필요</t>
        </is>
      </c>
      <c r="O15" s="61" t="n"/>
      <c r="P15" s="61" t="n"/>
      <c r="Q15" s="114" t="n"/>
    </row>
    <row r="16" ht="17.4" customHeight="1" s="66">
      <c r="A16" s="81" t="inlineStr">
        <is>
          <t>2. 전 제품 공통: 기공, 박리, 주조불량이 핵심 불량 유형 (※주조불량 : 예열타, 외관 불량)</t>
        </is>
      </c>
      <c r="O16" s="81" t="n"/>
      <c r="Q16" s="114" t="n"/>
    </row>
    <row r="17" ht="17.4" customHeight="1" s="66">
      <c r="A17" s="81" t="inlineStr">
        <is>
          <t>3. CNC MC 공정이 모든 제품에서 최고 불량률 집중 (기공, 박리 등은 주조 문제)</t>
        </is>
      </c>
      <c r="O17" s="81" t="n"/>
    </row>
    <row r="18" ht="17.4" customHeight="1" s="66">
      <c r="A18" s="81" t="inlineStr">
        <is>
          <t>4. 오염, 덧살, 칩 불량 등의 경우 90% 재작업하여 대부분 사용 중. 위 직통률은 재작업 후 OK 수량 미반영</t>
        </is>
      </c>
      <c r="O18" s="81" t="n"/>
      <c r="P18" s="81" t="n"/>
    </row>
    <row r="19">
      <c r="A19" s="111" t="n"/>
      <c r="O19" s="61" t="n"/>
      <c r="P19" s="61" t="n"/>
    </row>
    <row r="20" ht="16.5" customHeight="1" s="66">
      <c r="A20" s="72" t="inlineStr">
        <is>
          <t>■ 제품별 개선 방안</t>
        </is>
      </c>
    </row>
    <row r="22">
      <c r="A22" s="1" t="inlineStr">
        <is>
          <t>순위</t>
        </is>
      </c>
      <c r="B22" s="1" t="inlineStr">
        <is>
          <t>제품</t>
        </is>
      </c>
      <c r="C22" s="1" t="inlineStr">
        <is>
          <t>핵심불량유형</t>
        </is>
      </c>
      <c r="D22" s="1" t="inlineStr">
        <is>
          <t>4M1E주요원인</t>
        </is>
      </c>
      <c r="E22" s="1" t="inlineStr">
        <is>
          <t>개선방향</t>
        </is>
      </c>
      <c r="F22" s="1" t="n"/>
      <c r="G22" s="1" t="inlineStr">
        <is>
          <t>우선등급</t>
        </is>
      </c>
      <c r="H22" s="1" t="n"/>
      <c r="I22" s="1" t="n"/>
      <c r="J22" s="1" t="inlineStr">
        <is>
          <t>기대효과</t>
        </is>
      </c>
      <c r="K22" s="90" t="n"/>
      <c r="L22" s="90" t="n"/>
      <c r="M22" s="90" t="n"/>
      <c r="N22" s="90" t="n"/>
    </row>
    <row r="23">
      <c r="A23" s="4" t="inlineStr">
        <is>
          <t>1</t>
        </is>
      </c>
      <c r="B23" s="4" t="inlineStr">
        <is>
          <t>IMEB2</t>
        </is>
      </c>
      <c r="C23" s="125">
        <f>E8</f>
        <v/>
      </c>
      <c r="D23" s="4" t="n"/>
      <c r="E23" s="4" t="n"/>
      <c r="F23" s="4" t="n"/>
      <c r="G23" s="42" t="inlineStr">
        <is>
          <t>상</t>
        </is>
      </c>
      <c r="H23" s="42" t="n"/>
      <c r="I23" s="42" t="n"/>
      <c r="J23" s="4" t="n"/>
      <c r="K23" s="91" t="n"/>
      <c r="L23" s="91" t="n"/>
      <c r="M23" s="91" t="n"/>
      <c r="N23" s="91" t="n"/>
    </row>
    <row r="24">
      <c r="A24" s="2" t="inlineStr">
        <is>
          <t>2</t>
        </is>
      </c>
      <c r="B24" s="2" t="inlineStr">
        <is>
          <t>IMEB2</t>
        </is>
      </c>
      <c r="C24" s="120">
        <f>G8</f>
        <v/>
      </c>
      <c r="D24" s="2" t="n"/>
      <c r="E24" s="2" t="n"/>
      <c r="F24" s="2" t="n"/>
      <c r="G24" s="6" t="inlineStr">
        <is>
          <t>상</t>
        </is>
      </c>
      <c r="H24" s="6" t="n"/>
      <c r="I24" s="6" t="n"/>
      <c r="J24" s="2" t="n"/>
      <c r="K24" s="111" t="n"/>
      <c r="L24" s="111" t="n"/>
      <c r="M24" s="111" t="n"/>
      <c r="N24" s="111" t="n"/>
    </row>
    <row r="25">
      <c r="A25" s="4" t="inlineStr">
        <is>
          <t>3</t>
        </is>
      </c>
      <c r="B25" s="4" t="inlineStr">
        <is>
          <t>NX4_HOUSING</t>
        </is>
      </c>
      <c r="C25" s="126">
        <f>E9</f>
        <v/>
      </c>
      <c r="D25" s="4" t="n"/>
      <c r="E25" s="4" t="n"/>
      <c r="F25" s="4" t="n"/>
      <c r="G25" s="42" t="inlineStr">
        <is>
          <t>상</t>
        </is>
      </c>
      <c r="H25" s="42" t="n"/>
      <c r="I25" s="42" t="n"/>
      <c r="J25" s="4" t="n"/>
      <c r="K25" s="91" t="n"/>
      <c r="L25" s="91" t="n"/>
      <c r="M25" s="91" t="n"/>
      <c r="N25" s="91" t="n"/>
    </row>
    <row r="26">
      <c r="A26" s="2" t="inlineStr">
        <is>
          <t>4</t>
        </is>
      </c>
      <c r="B26" s="2" t="inlineStr">
        <is>
          <t>NX4_HOUSING</t>
        </is>
      </c>
      <c r="C26" s="2">
        <f>G9</f>
        <v/>
      </c>
      <c r="D26" s="2" t="n"/>
      <c r="E26" s="2" t="n"/>
      <c r="F26" s="2" t="n"/>
      <c r="G26" s="7" t="inlineStr">
        <is>
          <t>중</t>
        </is>
      </c>
      <c r="H26" s="7" t="n"/>
      <c r="I26" s="7" t="n"/>
      <c r="J26" s="2" t="n"/>
      <c r="K26" s="111" t="n"/>
      <c r="L26" s="111" t="n"/>
      <c r="M26" s="111" t="n"/>
      <c r="N26" s="111" t="n"/>
    </row>
    <row r="27">
      <c r="A27" s="4" t="inlineStr">
        <is>
          <t>5</t>
        </is>
      </c>
      <c r="B27" s="4" t="inlineStr">
        <is>
          <t>NX4_COVER</t>
        </is>
      </c>
      <c r="C27" s="126">
        <f>E10</f>
        <v/>
      </c>
      <c r="D27" s="4" t="n"/>
      <c r="E27" s="4" t="n"/>
      <c r="F27" s="4" t="n"/>
      <c r="G27" s="43" t="inlineStr">
        <is>
          <t>중</t>
        </is>
      </c>
      <c r="H27" s="43" t="n"/>
      <c r="I27" s="43" t="n"/>
      <c r="J27" s="4" t="n"/>
      <c r="K27" s="91" t="n"/>
      <c r="L27" s="91" t="n"/>
      <c r="M27" s="91" t="n"/>
      <c r="N27" s="91" t="n"/>
    </row>
    <row r="28">
      <c r="A28" s="2" t="inlineStr">
        <is>
          <t>6</t>
        </is>
      </c>
      <c r="B28" s="2" t="inlineStr">
        <is>
          <t>NX4_COVER</t>
        </is>
      </c>
      <c r="C28" s="2">
        <f>G10</f>
        <v/>
      </c>
      <c r="D28" s="2" t="n"/>
      <c r="E28" s="2" t="n"/>
      <c r="F28" s="2" t="n"/>
      <c r="G28" s="7" t="inlineStr">
        <is>
          <t>중</t>
        </is>
      </c>
      <c r="H28" s="7" t="n"/>
      <c r="I28" s="7" t="n"/>
      <c r="J28" s="2" t="n"/>
      <c r="K28" s="111" t="n"/>
      <c r="L28" s="111" t="n"/>
      <c r="M28" s="111" t="n"/>
      <c r="N28" s="111" t="n"/>
    </row>
    <row r="29">
      <c r="A29" s="4" t="inlineStr">
        <is>
          <t>7</t>
        </is>
      </c>
      <c r="B29" s="4" t="inlineStr">
        <is>
          <t>TEYGEN4</t>
        </is>
      </c>
      <c r="C29" s="126">
        <f>E11</f>
        <v/>
      </c>
      <c r="D29" s="4" t="n"/>
      <c r="E29" s="4" t="n"/>
      <c r="F29" s="4" t="n"/>
      <c r="G29" s="44" t="inlineStr">
        <is>
          <t>하</t>
        </is>
      </c>
      <c r="H29" s="44" t="n"/>
      <c r="I29" s="44" t="n"/>
      <c r="J29" s="4" t="n"/>
      <c r="K29" s="91" t="n"/>
      <c r="L29" s="91" t="n"/>
      <c r="M29" s="91" t="n"/>
      <c r="N29" s="91" t="n"/>
    </row>
    <row r="30">
      <c r="A30" s="2" t="inlineStr">
        <is>
          <t>8</t>
        </is>
      </c>
      <c r="B30" s="2" t="inlineStr">
        <is>
          <t>TEYGEN4</t>
        </is>
      </c>
      <c r="C30" s="2">
        <f>G11</f>
        <v/>
      </c>
      <c r="D30" s="2" t="n"/>
      <c r="E30" s="2" t="n"/>
      <c r="F30" s="2" t="n"/>
      <c r="G30" s="45" t="inlineStr">
        <is>
          <t>하</t>
        </is>
      </c>
      <c r="H30" s="45" t="n"/>
      <c r="I30" s="45" t="n"/>
      <c r="J30" s="2" t="n"/>
      <c r="K30" s="111" t="n"/>
      <c r="L30" s="111" t="n"/>
      <c r="M30" s="111" t="n"/>
      <c r="N30" s="111" t="n"/>
    </row>
    <row r="32">
      <c r="A32" t="inlineStr">
        <is>
          <t>Gen4의 분석 사례를 들면, 전극 가공부 치수를 60% 줄임. 40%만 전극 가공하면 가공 원가가 절감됨 (금형 가공)</t>
        </is>
      </c>
    </row>
    <row r="33">
      <c r="A33" t="inlineStr">
        <is>
          <t>Gen4 가공 부하 가장 높은 부위에 대해 가공 삭제 제안 (주조면으로 두자는 내용) - 원가 인하로 인해 생산 지속 검토 가능</t>
        </is>
      </c>
    </row>
    <row r="34">
      <c r="A34" t="inlineStr">
        <is>
          <t>모든 가공 여유 0.5 -&gt; 0.3 으로 최소화</t>
        </is>
      </c>
    </row>
  </sheetData>
  <mergeCells count="17">
    <mergeCell ref="A17:N17"/>
    <mergeCell ref="A1:N2"/>
    <mergeCell ref="O16:P16"/>
    <mergeCell ref="O17:P17"/>
    <mergeCell ref="A3:N3"/>
    <mergeCell ref="A18:N18"/>
    <mergeCell ref="E6:N6"/>
    <mergeCell ref="A20:N20"/>
    <mergeCell ref="A16:N16"/>
    <mergeCell ref="A15:N15"/>
    <mergeCell ref="A19:N19"/>
    <mergeCell ref="C6:C7"/>
    <mergeCell ref="A6:A7"/>
    <mergeCell ref="A5:N5"/>
    <mergeCell ref="D6:D7"/>
    <mergeCell ref="B6:B7"/>
    <mergeCell ref="A14:N14"/>
  </mergeCells>
  <pageMargins left="0.5" right="0.5" top="0.75" bottom="0.75" header="0.5" footer="0.5"/>
  <pageSetup orientation="landscape"/>
</worksheet>
</file>

<file path=xl/worksheets/sheet2.xml><?xml version="1.0" encoding="utf-8"?>
<worksheet xmlns="http://schemas.openxmlformats.org/spreadsheetml/2006/main">
  <sheetPr>
    <outlinePr summaryBelow="1" summaryRight="1"/>
    <pageSetUpPr/>
  </sheetPr>
  <dimension ref="A1:I40"/>
  <sheetViews>
    <sheetView tabSelected="1" zoomScaleNormal="100" workbookViewId="0">
      <pane ySplit="6" topLeftCell="A28" activePane="bottomLeft" state="frozen"/>
      <selection pane="bottomLeft" activeCell="J31" sqref="J31"/>
    </sheetView>
  </sheetViews>
  <sheetFormatPr baseColWidth="8" defaultRowHeight="17.4"/>
  <cols>
    <col width="12" customWidth="1" style="66" min="1" max="1"/>
    <col width="15" customWidth="1" style="66" min="2" max="7"/>
    <col width="12" customWidth="1" style="66" min="8" max="8"/>
    <col width="15.5" customWidth="1" style="66" min="9" max="9"/>
  </cols>
  <sheetData>
    <row r="1" ht="25.2" customHeight="1" s="66">
      <c r="A1" s="67" t="inlineStr">
        <is>
          <t>IMEB2 불량 분석</t>
        </is>
      </c>
    </row>
    <row r="3">
      <c r="A3" s="8" t="inlineStr">
        <is>
          <t>검사수량</t>
        </is>
      </c>
      <c r="B3" s="9" t="n">
        <v>3890646</v>
      </c>
      <c r="C3" s="8" t="inlineStr">
        <is>
          <t>OK수량</t>
        </is>
      </c>
      <c r="D3" s="9" t="n">
        <v>3631451</v>
      </c>
      <c r="E3" s="8" t="inlineStr">
        <is>
          <t>NG수량</t>
        </is>
      </c>
      <c r="F3" s="9" t="n">
        <v>259195</v>
      </c>
      <c r="G3" s="8" t="inlineStr">
        <is>
          <t>PPM</t>
        </is>
      </c>
      <c r="H3" s="9" t="n">
        <v>66620</v>
      </c>
    </row>
    <row r="4">
      <c r="A4" s="8" t="inlineStr">
        <is>
          <t>불량률(%)</t>
        </is>
      </c>
      <c r="B4" s="10" t="n">
        <v>6.66</v>
      </c>
      <c r="C4" s="8" t="inlineStr">
        <is>
          <t>직통률(%)</t>
        </is>
      </c>
      <c r="D4" s="10" t="n">
        <v>93.34</v>
      </c>
      <c r="E4" s="8" t="inlineStr">
        <is>
          <t>최다불량</t>
        </is>
      </c>
      <c r="F4" s="11" t="inlineStr">
        <is>
          <t>기공</t>
        </is>
      </c>
      <c r="G4" s="8" t="inlineStr">
        <is>
          <t xml:space="preserve">최다 불량 발생월 </t>
        </is>
      </c>
      <c r="H4" s="11" t="inlineStr">
        <is>
          <t>2025-10</t>
        </is>
      </c>
    </row>
    <row r="6">
      <c r="A6" s="65" t="inlineStr">
        <is>
          <t>▶ 공정별 불량현황</t>
        </is>
      </c>
    </row>
    <row r="7">
      <c r="A7" s="1" t="inlineStr">
        <is>
          <t>공정명</t>
        </is>
      </c>
      <c r="B7" s="1" t="inlineStr">
        <is>
          <t>검사수량</t>
        </is>
      </c>
      <c r="C7" s="1" t="inlineStr">
        <is>
          <t>OK수량</t>
        </is>
      </c>
      <c r="D7" s="1" t="inlineStr">
        <is>
          <t>NG수량</t>
        </is>
      </c>
      <c r="E7" s="1" t="inlineStr">
        <is>
          <t>불량률(%)</t>
        </is>
      </c>
      <c r="F7" s="13" t="inlineStr">
        <is>
          <t>전체 직통률(%)</t>
        </is>
      </c>
    </row>
    <row r="8">
      <c r="A8" s="2" t="inlineStr">
        <is>
          <t>Casting</t>
        </is>
      </c>
      <c r="B8" s="51">
        <f>'[1]제품별 공정별 불량현황'!$C$6</f>
        <v/>
      </c>
      <c r="C8" s="33">
        <f>B8-D8</f>
        <v/>
      </c>
      <c r="D8" s="33">
        <f>'[1]제품별 공정별 불량현황'!$D$6</f>
        <v/>
      </c>
      <c r="E8" s="127">
        <f>D8/B8</f>
        <v/>
      </c>
      <c r="F8" s="119">
        <f>1-D12/B8</f>
        <v/>
      </c>
    </row>
    <row r="9">
      <c r="A9" s="2" t="inlineStr">
        <is>
          <t>Blaster</t>
        </is>
      </c>
      <c r="B9" s="33">
        <f>'[1]제품별 공정별 불량현황'!$C$7</f>
        <v/>
      </c>
      <c r="C9" s="33">
        <f>B9-D9</f>
        <v/>
      </c>
      <c r="D9" s="33">
        <f>1466</f>
        <v/>
      </c>
      <c r="E9" s="127">
        <f>D9/B9</f>
        <v/>
      </c>
      <c r="F9" s="128" t="n"/>
      <c r="G9" s="14" t="n"/>
    </row>
    <row r="10">
      <c r="A10" s="22" t="inlineStr">
        <is>
          <t>CNC MC</t>
        </is>
      </c>
      <c r="B10" s="34">
        <f>'[1]제품별 공정별 불량현황'!$C$4</f>
        <v/>
      </c>
      <c r="C10" s="33">
        <f>B10-D10</f>
        <v/>
      </c>
      <c r="D10" s="34">
        <f>44159</f>
        <v/>
      </c>
      <c r="E10" s="129">
        <f>D10/B10</f>
        <v/>
      </c>
      <c r="F10" s="128" t="n"/>
    </row>
    <row r="11">
      <c r="A11" s="22" t="inlineStr">
        <is>
          <t>OQC</t>
        </is>
      </c>
      <c r="B11" s="34">
        <f>'[1]제품별 공정별 불량현황'!$C$5</f>
        <v/>
      </c>
      <c r="C11" s="33" t="n">
        <v>155810</v>
      </c>
      <c r="D11" s="34">
        <f>29331</f>
        <v/>
      </c>
      <c r="E11" s="129">
        <f>D11/B11</f>
        <v/>
      </c>
      <c r="F11" s="113" t="n"/>
    </row>
    <row r="12">
      <c r="A12" s="29" t="inlineStr">
        <is>
          <t>합계</t>
        </is>
      </c>
      <c r="B12" s="40">
        <f>SUM(B8:B11)</f>
        <v/>
      </c>
      <c r="C12" s="40">
        <f>SUM(C8:C11)</f>
        <v/>
      </c>
      <c r="D12" s="52">
        <f>SUM(D8:D11)</f>
        <v/>
      </c>
      <c r="E12" s="123" t="n"/>
      <c r="F12" s="130" t="n"/>
      <c r="G12" s="14" t="n"/>
    </row>
    <row r="13">
      <c r="D13" s="14" t="n"/>
      <c r="F13" s="12" t="n"/>
    </row>
    <row r="14">
      <c r="A14" s="68" t="inlineStr">
        <is>
          <t>▶ 불량유형별 파레토 분석</t>
        </is>
      </c>
    </row>
    <row r="15">
      <c r="A15" s="1" t="inlineStr">
        <is>
          <t>불량유형</t>
        </is>
      </c>
      <c r="B15" s="1" t="inlineStr">
        <is>
          <t>불량수량</t>
        </is>
      </c>
      <c r="C15" s="18" t="inlineStr">
        <is>
          <t>불량률</t>
        </is>
      </c>
      <c r="D15" s="18" t="inlineStr">
        <is>
          <t>점유율</t>
        </is>
      </c>
    </row>
    <row r="16">
      <c r="A16" s="22" t="inlineStr">
        <is>
          <t>기공</t>
        </is>
      </c>
      <c r="B16" s="23" t="n">
        <v>27817</v>
      </c>
      <c r="C16" s="131">
        <f>B16/$B$8</f>
        <v/>
      </c>
      <c r="D16" s="24">
        <f>B16/$B$27</f>
        <v/>
      </c>
      <c r="E16" t="inlineStr">
        <is>
          <t>박리 목표 : 5% 이내</t>
        </is>
      </c>
    </row>
    <row r="17">
      <c r="A17" s="22" t="inlineStr">
        <is>
          <t>박리</t>
        </is>
      </c>
      <c r="B17" s="23" t="n">
        <v>13980</v>
      </c>
      <c r="C17" s="131">
        <f>B17/$B$8</f>
        <v/>
      </c>
      <c r="D17" s="24">
        <f>B17/$B$27</f>
        <v/>
      </c>
    </row>
    <row r="18">
      <c r="A18" s="25" t="inlineStr">
        <is>
          <t>찍힘</t>
        </is>
      </c>
      <c r="B18" s="23" t="n">
        <v>8460</v>
      </c>
      <c r="C18" s="131">
        <f>B18/$B$8</f>
        <v/>
      </c>
      <c r="D18" s="24">
        <f>B18/$B$27</f>
        <v/>
      </c>
    </row>
    <row r="19">
      <c r="A19" s="16" t="inlineStr">
        <is>
          <t>기타(1%↓)</t>
        </is>
      </c>
      <c r="B19" s="3" t="n">
        <v>6429</v>
      </c>
      <c r="C19" s="118">
        <f>B19/$B$8</f>
        <v/>
      </c>
      <c r="D19" s="21">
        <f>B19/$B$27</f>
        <v/>
      </c>
    </row>
    <row r="20">
      <c r="A20" s="17" t="inlineStr">
        <is>
          <t>주조불량</t>
        </is>
      </c>
      <c r="B20" s="3" t="n">
        <v>5544</v>
      </c>
      <c r="C20" s="118">
        <f>B20/$B$8</f>
        <v/>
      </c>
      <c r="D20" s="21">
        <f>B20/$B$27</f>
        <v/>
      </c>
    </row>
    <row r="21">
      <c r="A21" s="16" t="inlineStr">
        <is>
          <t>뜯김</t>
        </is>
      </c>
      <c r="B21" s="3" t="n">
        <v>3863</v>
      </c>
      <c r="C21" s="118">
        <f>B21/$B$8</f>
        <v/>
      </c>
      <c r="D21" s="21">
        <f>B21/$B$27</f>
        <v/>
      </c>
    </row>
    <row r="22">
      <c r="A22" s="17" t="inlineStr">
        <is>
          <t>미가공</t>
        </is>
      </c>
      <c r="B22" s="3" t="n">
        <v>3709</v>
      </c>
      <c r="C22" s="118">
        <f>B22/$B$8</f>
        <v/>
      </c>
      <c r="D22" s="21">
        <f>B22/$B$27</f>
        <v/>
      </c>
    </row>
    <row r="23">
      <c r="A23" s="16" t="inlineStr">
        <is>
          <t>미성형</t>
        </is>
      </c>
      <c r="B23" s="3" t="n">
        <v>3557</v>
      </c>
      <c r="C23" s="118">
        <f>B23/$B$8</f>
        <v/>
      </c>
      <c r="D23" s="21">
        <f>B23/$B$27</f>
        <v/>
      </c>
    </row>
    <row r="24">
      <c r="A24" s="2" t="inlineStr">
        <is>
          <t>오염(얼룩)</t>
        </is>
      </c>
      <c r="B24" s="3" t="n">
        <v>2983</v>
      </c>
      <c r="C24" s="118">
        <f>B24/$B$8</f>
        <v/>
      </c>
      <c r="D24" s="21">
        <f>B24/$B$27</f>
        <v/>
      </c>
    </row>
    <row r="25">
      <c r="A25" s="17" t="inlineStr">
        <is>
          <t>스크래치</t>
        </is>
      </c>
      <c r="B25" s="3" t="n">
        <v>2969</v>
      </c>
      <c r="C25" s="118">
        <f>B25/$B$8</f>
        <v/>
      </c>
      <c r="D25" s="21">
        <f>B25/$B$27</f>
        <v/>
      </c>
    </row>
    <row r="26">
      <c r="A26" s="2" t="inlineStr">
        <is>
          <t>치수불량</t>
        </is>
      </c>
      <c r="B26" s="3" t="n">
        <v>2197</v>
      </c>
      <c r="C26" s="118">
        <f>B26/$B$8</f>
        <v/>
      </c>
      <c r="D26" s="21">
        <f>B26/$B$27</f>
        <v/>
      </c>
    </row>
    <row r="27">
      <c r="A27" s="29" t="inlineStr">
        <is>
          <t>합계</t>
        </is>
      </c>
      <c r="B27" s="30">
        <f>SUM(B16:B26)</f>
        <v/>
      </c>
      <c r="C27" s="130">
        <f>SUM(C16:C26)</f>
        <v/>
      </c>
      <c r="D27" s="31">
        <f>SUM(D16:D26)</f>
        <v/>
      </c>
      <c r="E27" s="111" t="n"/>
    </row>
    <row r="29">
      <c r="A29" s="68" t="inlineStr">
        <is>
          <t>▶ 원인 및 개선안</t>
        </is>
      </c>
    </row>
    <row r="30">
      <c r="A30" s="1" t="inlineStr">
        <is>
          <t>불량유형</t>
        </is>
      </c>
      <c r="B30" s="18" t="inlineStr">
        <is>
          <t>추정 원인</t>
        </is>
      </c>
      <c r="C30" s="132" t="n"/>
      <c r="D30" s="133" t="n"/>
      <c r="E30" s="18" t="inlineStr">
        <is>
          <t>개선 방안</t>
        </is>
      </c>
      <c r="F30" s="132" t="n"/>
      <c r="G30" s="133" t="n"/>
      <c r="H30" s="1" t="inlineStr">
        <is>
          <t>예상 효과</t>
        </is>
      </c>
      <c r="I30" s="1" t="inlineStr">
        <is>
          <t>비고</t>
        </is>
      </c>
    </row>
    <row r="31" ht="55.2" customHeight="1" s="66">
      <c r="A31" s="46">
        <f>A16</f>
        <v/>
      </c>
      <c r="B31" s="134" t="inlineStr">
        <is>
          <t>IMEB2 제품은 복잡한 형상(다수 리브/홀, 얇은 벽)으로 인해 주입 시 가스 트래핑이 발생하기 쉬운 구조임.
① 금형 주입구 설계 미흡으로 가스 배기 불완전
② 합금 용해 시 탈가스 처리 부족 (가스 함유량 과다)
③ 금형 온도 불균형(Hot Spot)으로 국부 응고 → 가스 포집</t>
        </is>
      </c>
      <c r="C31" s="132" t="n"/>
      <c r="D31" s="133" t="n"/>
      <c r="E31" s="134" t="inlineStr">
        <is>
          <t>① 금형 Vent 위치 및 크기 재설계 (현행 대비 30% 확대)
② 주입 속도 프로파일 최적화 (저속→고속 2단계 제어)
③ 알루미늄 합금 탈가스 시간 증가 (현행 대비 20% 연장)
④ 금형 온도 모니터링 센서 추가 및 ±5°C 제어</t>
        </is>
      </c>
      <c r="F31" s="132" t="n"/>
      <c r="G31" s="133" t="n"/>
      <c r="H31" s="48" t="inlineStr">
        <is>
          <t>기공 불량률 40~50% 감소 목표 (현행 34.7% → 17~20% 수준)</t>
        </is>
      </c>
      <c r="I31" s="110" t="n"/>
    </row>
    <row r="32">
      <c r="A32" s="47" t="n"/>
    </row>
    <row r="33">
      <c r="A33" s="1" t="inlineStr">
        <is>
          <t>불량유형</t>
        </is>
      </c>
      <c r="B33" s="18" t="inlineStr">
        <is>
          <t>추정 원인</t>
        </is>
      </c>
      <c r="C33" s="132" t="n"/>
      <c r="D33" s="133" t="n"/>
      <c r="E33" s="18" t="inlineStr">
        <is>
          <t>개선 방안</t>
        </is>
      </c>
      <c r="F33" s="132" t="n"/>
      <c r="G33" s="133" t="n"/>
      <c r="H33" s="1" t="inlineStr">
        <is>
          <t>예상 효과</t>
        </is>
      </c>
      <c r="I33" s="1" t="inlineStr">
        <is>
          <t>비고</t>
        </is>
      </c>
    </row>
    <row r="34" ht="40.2" customHeight="1" s="66">
      <c r="A34" s="46">
        <f>A17</f>
        <v/>
      </c>
      <c r="B34" s="134" t="inlineStr">
        <is>
          <t>금형 표면 온도와 용탕 온도 차이가 심할 경우 필링 발생.
또한 IMEB2는 복잡한 형상과 얇은 벽 구조로 이젝션 시 응력이 집중되어 표면 경화층이 박리되기 쉬움.
캐스팅 후 표면 산화층 미처리 시 결합력이 추가 약화됨</t>
        </is>
      </c>
      <c r="C34" s="132" t="n"/>
      <c r="D34" s="133" t="n"/>
      <c r="E34" s="134" t="inlineStr">
        <is>
          <t>박리 고정 발생 부 코어 내 방전 피막 코팅 적용</t>
        </is>
      </c>
      <c r="F34" s="132" t="n"/>
      <c r="G34" s="133" t="n"/>
      <c r="H34" s="109" t="inlineStr">
        <is>
          <t>불량률 절반 감소 목표</t>
        </is>
      </c>
      <c r="I34" s="5" t="inlineStr">
        <is>
          <t>[수정] IMEB2 제품 특성(형상 복잡, 얇은 벽) 및 이젝션 응력 요인 추가 반영</t>
        </is>
      </c>
    </row>
    <row r="35">
      <c r="A35" s="47" t="n"/>
    </row>
    <row r="36">
      <c r="A36" s="1" t="inlineStr">
        <is>
          <t>불량유형</t>
        </is>
      </c>
      <c r="B36" s="18" t="inlineStr">
        <is>
          <t>추정 원인</t>
        </is>
      </c>
      <c r="C36" s="132" t="n"/>
      <c r="D36" s="133" t="n"/>
      <c r="E36" s="18" t="inlineStr">
        <is>
          <t>개선 방안</t>
        </is>
      </c>
      <c r="F36" s="132" t="n"/>
      <c r="G36" s="133" t="n"/>
      <c r="H36" s="1" t="inlineStr">
        <is>
          <t>예상 효과</t>
        </is>
      </c>
      <c r="I36" s="1" t="inlineStr">
        <is>
          <t>비고</t>
        </is>
      </c>
    </row>
    <row r="37" ht="40.2" customHeight="1" s="66">
      <c r="A37" s="46">
        <f>A18</f>
        <v/>
      </c>
      <c r="B37" s="134" t="inlineStr">
        <is>
          <t>자동화 라인에서 지그에 제품 안착 시, 칩에 의한 찍힘 발생.
제품 놓을 때 제위치가 아닐 경우 발생.
추가: CNC 공구 마모 시 과도한 절삭력으로 표면 찍힘 유발 가능</t>
        </is>
      </c>
      <c r="C37" s="132" t="n"/>
      <c r="D37" s="133" t="n"/>
      <c r="E37" s="134" t="inlineStr">
        <is>
          <t>자동화 로보트 제품 안착,탈착 조건 재검토 
작업자 제품 취급 지속교육(세척공정, 에어 게이지 검사). 궁극적으로 검사 자동화 검토</t>
        </is>
      </c>
      <c r="F37" s="132" t="n"/>
      <c r="G37" s="133" t="n"/>
      <c r="H37" s="48" t="inlineStr">
        <is>
          <t>50% 감소 예상</t>
        </is>
      </c>
      <c r="I37" s="107" t="inlineStr">
        <is>
          <t>[수정] CNC 공구 마모에 의한 찍힘 원인 추가 보완</t>
        </is>
      </c>
    </row>
    <row r="38">
      <c r="A38" s="97" t="n"/>
      <c r="B38" s="98" t="n"/>
      <c r="C38" s="98" t="n"/>
      <c r="D38" s="98" t="n"/>
      <c r="E38" s="98" t="n"/>
      <c r="F38" s="98" t="n"/>
      <c r="G38" s="98" t="n"/>
    </row>
    <row r="39">
      <c r="A39" s="1" t="inlineStr">
        <is>
          <t>불량유형</t>
        </is>
      </c>
      <c r="B39" s="18" t="inlineStr">
        <is>
          <t>추정 원인</t>
        </is>
      </c>
      <c r="C39" s="132" t="n"/>
      <c r="D39" s="133" t="n"/>
      <c r="E39" s="18" t="inlineStr">
        <is>
          <t>개선 방안</t>
        </is>
      </c>
      <c r="F39" s="132" t="n"/>
      <c r="G39" s="133" t="n"/>
      <c r="H39" s="1" t="inlineStr">
        <is>
          <t>예상 효과</t>
        </is>
      </c>
      <c r="I39" s="1" t="inlineStr">
        <is>
          <t>비고</t>
        </is>
      </c>
    </row>
    <row r="40" ht="40.2" customHeight="1" s="66">
      <c r="A40" s="46">
        <f>A20</f>
        <v/>
      </c>
      <c r="B40" s="134" t="inlineStr">
        <is>
          <t>① 주입 시 유동 경로가 길어 말단부 충진 부족
② 금형 Setting 편차로 인한 형상 변형 및 버 발생
③ 금형 가이드 핀 마모에 따른 상·하 금형 정렬 불량</t>
        </is>
      </c>
      <c r="C40" s="132" t="n"/>
      <c r="D40" s="133" t="n"/>
      <c r="E40" s="134" t="inlineStr">
        <is>
          <t>① 금형 주입 경로 단축 설계 검토 (오버플로우 위치 변경)
② 금형 가이드 핀 정밀 재가공 및 교체 주기 단축
③ 주입 압력·속도 모니터링 시스템 도입 (공정 파라미터 실시간 관리)</t>
        </is>
      </c>
      <c r="F40" s="132" t="n"/>
      <c r="G40" s="133" t="n"/>
      <c r="H40" s="48" t="inlineStr">
        <is>
          <t>주조불량 30% 감소 목표</t>
        </is>
      </c>
      <c r="I40" s="5" t="n"/>
    </row>
  </sheetData>
  <mergeCells count="21">
    <mergeCell ref="E31:G31"/>
    <mergeCell ref="E40:G40"/>
    <mergeCell ref="E34:G34"/>
    <mergeCell ref="E30:G30"/>
    <mergeCell ref="B34:D34"/>
    <mergeCell ref="B37:D37"/>
    <mergeCell ref="E36:G36"/>
    <mergeCell ref="A14:I14"/>
    <mergeCell ref="F8:F11"/>
    <mergeCell ref="B40:D40"/>
    <mergeCell ref="B30:D30"/>
    <mergeCell ref="A29:I29"/>
    <mergeCell ref="B33:D33"/>
    <mergeCell ref="B36:D36"/>
    <mergeCell ref="E37:G37"/>
    <mergeCell ref="E33:G33"/>
    <mergeCell ref="B31:D31"/>
    <mergeCell ref="E39:G39"/>
    <mergeCell ref="A1:I1"/>
    <mergeCell ref="A6:I6"/>
    <mergeCell ref="B39:D39"/>
  </mergeCells>
  <pageMargins left="0.5" right="0.5" top="0.75" bottom="0.75" header="0.5" footer="0.5"/>
  <pageSetup orientation="landscape"/>
</worksheet>
</file>

<file path=xl/worksheets/sheet3.xml><?xml version="1.0" encoding="utf-8"?>
<worksheet xmlns="http://schemas.openxmlformats.org/spreadsheetml/2006/main">
  <sheetPr>
    <outlinePr summaryBelow="1" summaryRight="1"/>
    <pageSetUpPr/>
  </sheetPr>
  <dimension ref="A1:I40"/>
  <sheetViews>
    <sheetView workbookViewId="0">
      <pane ySplit="6" topLeftCell="A28" activePane="bottomLeft" state="frozen"/>
      <selection pane="bottomLeft" activeCell="B34" sqref="B34:H34"/>
    </sheetView>
  </sheetViews>
  <sheetFormatPr baseColWidth="8" defaultRowHeight="17.4"/>
  <cols>
    <col width="12" customWidth="1" style="66" min="1" max="1"/>
    <col width="15" customWidth="1" style="66" min="2" max="7"/>
    <col width="12" customWidth="1" style="66" min="8" max="8"/>
    <col width="15.296875" customWidth="1" style="66" min="9" max="9"/>
  </cols>
  <sheetData>
    <row r="1" ht="25.2" customHeight="1" s="66">
      <c r="A1" s="67" t="inlineStr">
        <is>
          <t>NX4 HOUSING 불량 분석</t>
        </is>
      </c>
    </row>
    <row r="3">
      <c r="A3" s="8" t="inlineStr">
        <is>
          <t>검사수량</t>
        </is>
      </c>
      <c r="B3" s="9" t="n">
        <v>3512782</v>
      </c>
      <c r="C3" s="8" t="inlineStr">
        <is>
          <t>OK수량</t>
        </is>
      </c>
      <c r="D3" s="9" t="n">
        <v>3328737</v>
      </c>
      <c r="E3" s="8" t="inlineStr">
        <is>
          <t>NG수량</t>
        </is>
      </c>
      <c r="F3" s="9" t="n">
        <v>184045</v>
      </c>
      <c r="G3" s="8" t="inlineStr">
        <is>
          <t>PPM</t>
        </is>
      </c>
      <c r="H3" s="9" t="n">
        <v>52393</v>
      </c>
    </row>
    <row r="4">
      <c r="A4" s="8" t="inlineStr">
        <is>
          <t>불량률(%)</t>
        </is>
      </c>
      <c r="B4" s="10" t="n">
        <v>5.24</v>
      </c>
      <c r="C4" s="8" t="inlineStr">
        <is>
          <t>직통률(%)</t>
        </is>
      </c>
      <c r="D4" s="10" t="n">
        <v>94.76000000000001</v>
      </c>
      <c r="E4" s="8" t="inlineStr">
        <is>
          <t>최다불량</t>
        </is>
      </c>
      <c r="F4" s="11" t="inlineStr">
        <is>
          <t>기공</t>
        </is>
      </c>
      <c r="G4" s="8" t="inlineStr">
        <is>
          <t xml:space="preserve">최다 불량 발생월 </t>
        </is>
      </c>
      <c r="H4" s="11" t="inlineStr">
        <is>
          <t>2025-05</t>
        </is>
      </c>
    </row>
    <row r="6">
      <c r="A6" s="65" t="inlineStr">
        <is>
          <t>▶ 공정별 불량현황</t>
        </is>
      </c>
    </row>
    <row r="7">
      <c r="A7" s="1" t="inlineStr">
        <is>
          <t>공정명</t>
        </is>
      </c>
      <c r="B7" s="1" t="inlineStr">
        <is>
          <t>검사수량</t>
        </is>
      </c>
      <c r="C7" s="1" t="inlineStr">
        <is>
          <t>OK수량</t>
        </is>
      </c>
      <c r="D7" s="1" t="inlineStr">
        <is>
          <t>NG수량</t>
        </is>
      </c>
      <c r="E7" s="1" t="inlineStr">
        <is>
          <t>불량률(%)</t>
        </is>
      </c>
      <c r="F7" s="13" t="inlineStr">
        <is>
          <t>전체 직통률(%)</t>
        </is>
      </c>
    </row>
    <row r="8">
      <c r="A8" s="2" t="inlineStr">
        <is>
          <t>Casting</t>
        </is>
      </c>
      <c r="B8" s="33">
        <f>'[1]제품별 공정별 불량현황'!$C$28</f>
        <v/>
      </c>
      <c r="C8" s="33">
        <f>126372</f>
        <v/>
      </c>
      <c r="D8" s="33">
        <f>6528</f>
        <v/>
      </c>
      <c r="E8" s="135">
        <f>D8/B8</f>
        <v/>
      </c>
      <c r="F8" s="119">
        <f>1-D12/B8</f>
        <v/>
      </c>
    </row>
    <row r="9">
      <c r="A9" s="2" t="inlineStr">
        <is>
          <t>Blaster</t>
        </is>
      </c>
      <c r="B9" s="33">
        <f>'[1]제품별 공정별 불량현황'!$C$29</f>
        <v/>
      </c>
      <c r="C9" s="33">
        <f>121907</f>
        <v/>
      </c>
      <c r="D9" s="33">
        <f>1411</f>
        <v/>
      </c>
      <c r="E9" s="135">
        <f>D9/B9</f>
        <v/>
      </c>
      <c r="F9" s="128" t="n"/>
    </row>
    <row r="10">
      <c r="A10" s="22" t="inlineStr">
        <is>
          <t>CNC MC</t>
        </is>
      </c>
      <c r="B10" s="34">
        <f>'[1]제품별 공정별 불량현황'!$C$26</f>
        <v/>
      </c>
      <c r="C10" s="34">
        <f>97146</f>
        <v/>
      </c>
      <c r="D10" s="34">
        <f>17795</f>
        <v/>
      </c>
      <c r="E10" s="136">
        <f>D10/B10</f>
        <v/>
      </c>
      <c r="F10" s="128" t="n"/>
    </row>
    <row r="11">
      <c r="A11" s="22" t="inlineStr">
        <is>
          <t>OQC</t>
        </is>
      </c>
      <c r="B11" s="34">
        <f>'[1]제품별 공정별 불량현황'!$C$27</f>
        <v/>
      </c>
      <c r="C11" s="34">
        <f>98311</f>
        <v/>
      </c>
      <c r="D11" s="34">
        <f>12538</f>
        <v/>
      </c>
      <c r="E11" s="136">
        <f>D11/B11</f>
        <v/>
      </c>
      <c r="F11" s="113" t="n"/>
    </row>
    <row r="12">
      <c r="A12" s="29" t="inlineStr">
        <is>
          <t>합계</t>
        </is>
      </c>
      <c r="B12" s="40">
        <f>SUM(B8:B11)</f>
        <v/>
      </c>
      <c r="C12" s="40">
        <f>SUM(C8:C11)</f>
        <v/>
      </c>
      <c r="D12" s="40">
        <f>SUM(D8:D11)</f>
        <v/>
      </c>
      <c r="E12" s="40" t="n"/>
      <c r="F12" s="130" t="n"/>
    </row>
    <row r="13">
      <c r="F13" s="12" t="n"/>
    </row>
    <row r="14">
      <c r="A14" s="68" t="inlineStr">
        <is>
          <t>▶ 불량유형별 파레토 분석</t>
        </is>
      </c>
    </row>
    <row r="15">
      <c r="A15" s="1" t="inlineStr">
        <is>
          <t>불량유형</t>
        </is>
      </c>
      <c r="B15" s="1" t="inlineStr">
        <is>
          <t>불량수량</t>
        </is>
      </c>
      <c r="C15" s="18" t="inlineStr">
        <is>
          <t>불량률</t>
        </is>
      </c>
      <c r="D15" s="18" t="inlineStr">
        <is>
          <t>점유율</t>
        </is>
      </c>
    </row>
    <row r="16">
      <c r="A16" s="22" t="inlineStr">
        <is>
          <t>기공</t>
        </is>
      </c>
      <c r="B16" s="23" t="n">
        <v>12888</v>
      </c>
      <c r="C16" s="131">
        <f>B16/$B$8</f>
        <v/>
      </c>
      <c r="D16" s="24">
        <f>B16/$B$27</f>
        <v/>
      </c>
    </row>
    <row r="17">
      <c r="A17" s="25" t="inlineStr">
        <is>
          <t>박리</t>
        </is>
      </c>
      <c r="B17" s="23" t="n">
        <v>5530</v>
      </c>
      <c r="C17" s="131">
        <f>B17/$B$8</f>
        <v/>
      </c>
      <c r="D17" s="24">
        <f>B17/$B$27</f>
        <v/>
      </c>
    </row>
    <row r="18" ht="16.2" customHeight="1" s="66">
      <c r="A18" s="28" t="inlineStr">
        <is>
          <t>주조불량</t>
        </is>
      </c>
      <c r="B18" s="23" t="n">
        <v>5203</v>
      </c>
      <c r="C18" s="131">
        <f>B18/$B$8</f>
        <v/>
      </c>
      <c r="D18" s="24">
        <f>B18/$B$27</f>
        <v/>
      </c>
    </row>
    <row r="19">
      <c r="A19" s="17" t="inlineStr">
        <is>
          <t>찍힘</t>
        </is>
      </c>
      <c r="B19" s="3" t="n">
        <v>5078</v>
      </c>
      <c r="C19" s="118">
        <f>B19/$B$8</f>
        <v/>
      </c>
      <c r="D19" s="21">
        <f>B19/$B$27</f>
        <v/>
      </c>
    </row>
    <row r="20">
      <c r="A20" s="2" t="inlineStr">
        <is>
          <t>미성형</t>
        </is>
      </c>
      <c r="B20" s="3" t="n">
        <v>2880</v>
      </c>
      <c r="C20" s="118">
        <f>B20/$B$8</f>
        <v/>
      </c>
      <c r="D20" s="21">
        <f>B20/$B$27</f>
        <v/>
      </c>
    </row>
    <row r="21">
      <c r="A21" s="16" t="inlineStr">
        <is>
          <t>기타(1%↓)</t>
        </is>
      </c>
      <c r="B21" s="3" t="n">
        <v>1974</v>
      </c>
      <c r="C21" s="118">
        <f>B21/$B$8</f>
        <v/>
      </c>
      <c r="D21" s="21">
        <f>B21/$B$27</f>
        <v/>
      </c>
    </row>
    <row r="22">
      <c r="A22" s="2" t="inlineStr">
        <is>
          <t>스크래치</t>
        </is>
      </c>
      <c r="B22" s="3" t="n">
        <v>1503</v>
      </c>
      <c r="C22" s="118">
        <f>B22/$B$8</f>
        <v/>
      </c>
      <c r="D22" s="21">
        <f>B22/$B$27</f>
        <v/>
      </c>
    </row>
    <row r="23">
      <c r="A23" s="16" t="inlineStr">
        <is>
          <t>뜯김</t>
        </is>
      </c>
      <c r="B23" s="3" t="n">
        <v>1018</v>
      </c>
      <c r="C23" s="118">
        <f>B23/$B$8</f>
        <v/>
      </c>
      <c r="D23" s="21">
        <f>B23/$B$27</f>
        <v/>
      </c>
    </row>
    <row r="24">
      <c r="A24" s="17" t="inlineStr">
        <is>
          <t>과사상</t>
        </is>
      </c>
      <c r="B24" s="3" t="n">
        <v>812</v>
      </c>
      <c r="C24" s="118">
        <f>B24/$B$8</f>
        <v/>
      </c>
      <c r="D24" s="21">
        <f>B24/$B$27</f>
        <v/>
      </c>
    </row>
    <row r="25">
      <c r="A25" s="17" t="inlineStr">
        <is>
          <t>치수불량</t>
        </is>
      </c>
      <c r="B25" s="3" t="n">
        <v>694</v>
      </c>
      <c r="C25" s="118">
        <f>B25/$B$8</f>
        <v/>
      </c>
      <c r="D25" s="21">
        <f>B25/$B$27</f>
        <v/>
      </c>
    </row>
    <row r="26">
      <c r="A26" s="16" t="inlineStr">
        <is>
          <t>불순물</t>
        </is>
      </c>
      <c r="B26" s="3" t="n">
        <v>692</v>
      </c>
      <c r="C26" s="118">
        <f>B26/$B$8</f>
        <v/>
      </c>
      <c r="D26" s="21">
        <f>B26/$B$27</f>
        <v/>
      </c>
    </row>
    <row r="27">
      <c r="A27" s="29" t="inlineStr">
        <is>
          <t>합계</t>
        </is>
      </c>
      <c r="B27" s="30">
        <f>SUM(B16:B26)</f>
        <v/>
      </c>
      <c r="C27" s="130">
        <f>SUM(C16:C26)</f>
        <v/>
      </c>
      <c r="D27" s="31">
        <f>SUM(D16:D26)</f>
        <v/>
      </c>
    </row>
    <row r="28">
      <c r="D28" s="14" t="n"/>
    </row>
    <row r="29">
      <c r="A29" s="68" t="inlineStr">
        <is>
          <t>▶ 원인 및 개선안</t>
        </is>
      </c>
    </row>
    <row r="30">
      <c r="A30" s="1" t="inlineStr">
        <is>
          <t>불량유형</t>
        </is>
      </c>
      <c r="B30" s="18" t="inlineStr">
        <is>
          <t>추정 원인</t>
        </is>
      </c>
      <c r="C30" s="132" t="n"/>
      <c r="D30" s="133" t="n"/>
      <c r="E30" s="18" t="inlineStr">
        <is>
          <t>개선 방안</t>
        </is>
      </c>
      <c r="F30" s="132" t="n"/>
      <c r="G30" s="133" t="n"/>
      <c r="H30" s="1" t="inlineStr">
        <is>
          <t>예상 효과</t>
        </is>
      </c>
      <c r="I30" s="1" t="inlineStr">
        <is>
          <t>비고</t>
        </is>
      </c>
    </row>
    <row r="31" ht="55.2" customHeight="1" s="66">
      <c r="A31" s="46">
        <f>A16</f>
        <v/>
      </c>
      <c r="B31" s="134" t="inlineStr">
        <is>
          <t>NX4 Housing은 대량 생산 제품으로 높은 생산 속도에서 주입 조건 제어가 불안정해지기 쉬움.
① 고속 생산에 따른 금형 온도 상승 → 가스 배기 불완전
② 주입구 설계 대비 제품 체적이 커 충진 말기 가스 포집
③ 합금 탈가스 처리 시간 부족 (생산 속도 우선)</t>
        </is>
      </c>
      <c r="C31" s="132" t="n"/>
      <c r="D31" s="133" t="n"/>
      <c r="E31" s="134" t="inlineStr">
        <is>
          <t>현재 1차 개선 후 기존 14~15% → 9.8% 수준으로 방안 설계 개선했으나 추가 개선안 검토 예정</t>
        </is>
      </c>
      <c r="F31" s="132" t="n"/>
      <c r="G31" s="133" t="n"/>
      <c r="H31" s="48" t="inlineStr">
        <is>
          <t>기공 불량률 9.8% → 5% 이하 목표 (2차 개선)</t>
        </is>
      </c>
      <c r="I31" s="110" t="n"/>
    </row>
    <row r="32">
      <c r="A32" s="47" t="n"/>
    </row>
    <row r="33">
      <c r="A33" s="1" t="inlineStr">
        <is>
          <t>불량유형</t>
        </is>
      </c>
      <c r="B33" s="18" t="inlineStr">
        <is>
          <t>추정 원인</t>
        </is>
      </c>
      <c r="C33" s="132" t="n"/>
      <c r="D33" s="133" t="n"/>
      <c r="E33" s="18" t="inlineStr">
        <is>
          <t>개선 방안</t>
        </is>
      </c>
      <c r="F33" s="132" t="n"/>
      <c r="G33" s="133" t="n"/>
      <c r="H33" s="1" t="inlineStr">
        <is>
          <t>예상 효과</t>
        </is>
      </c>
      <c r="I33" s="1" t="inlineStr">
        <is>
          <t>비고</t>
        </is>
      </c>
    </row>
    <row r="34" ht="40.2" customHeight="1" s="66">
      <c r="A34" s="46">
        <f>A17</f>
        <v/>
      </c>
      <c r="B34" s="134" t="inlineStr">
        <is>
          <t>금형 표면 온도와 용탕 온도 차이가 심할 경우 필링 발생.
NX4 Housing은 대량 고속 생산으로 금형 표면 코팅 마모가 빠르며,
반복 사출에 따른 금형 표면 상태 악화가 박리 주요 원인.
캐스팅 온도 불안정(과열/저온 반복)도 기여</t>
        </is>
      </c>
      <c r="C34" s="132" t="n"/>
      <c r="D34" s="133" t="n"/>
      <c r="E34" s="134" t="inlineStr">
        <is>
          <t>박리 고정 발생 부 코어 내 방전 피막 코팅 적용</t>
        </is>
      </c>
      <c r="F34" s="132" t="n"/>
      <c r="G34" s="133" t="n"/>
      <c r="H34" s="109" t="inlineStr">
        <is>
          <t>불량률 절반 감소 목표</t>
        </is>
      </c>
      <c r="I34" s="5" t="inlineStr">
        <is>
          <t>[수정] NX4 Housing 대량생산 특성(금형 코팅 마모, 온도 불안정) 반영</t>
        </is>
      </c>
    </row>
    <row r="35">
      <c r="A35" s="47" t="n"/>
    </row>
    <row r="36">
      <c r="A36" s="1" t="inlineStr">
        <is>
          <t>불량유형</t>
        </is>
      </c>
      <c r="B36" s="18" t="inlineStr">
        <is>
          <t>추정 원인</t>
        </is>
      </c>
      <c r="C36" s="132" t="n"/>
      <c r="D36" s="133" t="n"/>
      <c r="E36" s="18" t="inlineStr">
        <is>
          <t>개선 방안</t>
        </is>
      </c>
      <c r="F36" s="132" t="n"/>
      <c r="G36" s="133" t="n"/>
      <c r="H36" s="1" t="inlineStr">
        <is>
          <t>예상 효과</t>
        </is>
      </c>
      <c r="I36" s="1" t="inlineStr">
        <is>
          <t>비고</t>
        </is>
      </c>
    </row>
    <row r="37" ht="40.2" customHeight="1" s="66">
      <c r="A37" s="46" t="inlineStr">
        <is>
          <t>주조불량, 미성형</t>
        </is>
      </c>
      <c r="B37" s="134" t="inlineStr">
        <is>
          <t>① 주입 압력/속도 부족으로 금형 말단부 미충전 발생
② 유압 펌프 용량 감소(장비 노후) 및 압력 제어 밸브 응답 지연
③ 금형 온도 저하 시 용탕 유동성 감소 → 미성형 복합 발생</t>
        </is>
      </c>
      <c r="C37" s="132" t="n"/>
      <c r="D37" s="133" t="n"/>
      <c r="E37" s="134" t="inlineStr">
        <is>
          <t>① 유압 시스템 성능 점검 및 펌프 교체 계획 수립
② 금형 주입구 확대 검토 및 온도 센서 추가
③ 주입 시간 프로파일 최적화 (느린→빠른 2단계)
④ 금형 점검 주기 단축 (주 1회 → 2일 1회)</t>
        </is>
      </c>
      <c r="F37" s="132" t="n"/>
      <c r="G37" s="133" t="n"/>
      <c r="H37" s="109" t="inlineStr">
        <is>
          <t>주조불량·미성형 합산 30% 감소 목표</t>
        </is>
      </c>
      <c r="I37" s="107" t="n"/>
    </row>
    <row r="38">
      <c r="A38" s="97" t="n"/>
      <c r="B38" s="98" t="n"/>
      <c r="C38" s="98" t="n"/>
      <c r="D38" s="98" t="n"/>
      <c r="E38" s="98" t="n"/>
      <c r="F38" s="98" t="n"/>
      <c r="G38" s="98" t="n"/>
    </row>
    <row r="39">
      <c r="A39" s="1" t="inlineStr">
        <is>
          <t>불량유형</t>
        </is>
      </c>
      <c r="B39" s="18" t="inlineStr">
        <is>
          <t>추정 원인</t>
        </is>
      </c>
      <c r="C39" s="132" t="n"/>
      <c r="D39" s="133" t="n"/>
      <c r="E39" s="18" t="inlineStr">
        <is>
          <t>개선 방안</t>
        </is>
      </c>
      <c r="F39" s="132" t="n"/>
      <c r="G39" s="133" t="n"/>
      <c r="H39" s="1" t="inlineStr">
        <is>
          <t>예상 효과</t>
        </is>
      </c>
      <c r="I39" s="1" t="inlineStr">
        <is>
          <t>비고</t>
        </is>
      </c>
    </row>
    <row r="40" ht="40.2" customHeight="1" s="66">
      <c r="A40" s="46">
        <f>A19</f>
        <v/>
      </c>
      <c r="B40" s="134" t="inlineStr">
        <is>
          <t>자동화 라인에서 지그에 제품 안착 시, 칩에 의한 찍힘 발생.
제품 놓을 때 제위치가 아닐 경우 발생.
추가: NX4 Housing 특유의 형상(돌출부)이 이송 중 타 부품과 접촉하여 찍힘 유발</t>
        </is>
      </c>
      <c r="C40" s="132" t="n"/>
      <c r="D40" s="133" t="n"/>
      <c r="E40" s="134" t="inlineStr">
        <is>
          <t>자동화 로보트 제품 안착,탈착 조건 재검토 
작업자 제품 취급 지속교육(세척공정, 에어 게이지 검사). 궁극적으로 검사 자동화 검토</t>
        </is>
      </c>
      <c r="F40" s="132" t="n"/>
      <c r="G40" s="133" t="n"/>
      <c r="H40" s="48" t="inlineStr">
        <is>
          <t>50% 감소 예상</t>
        </is>
      </c>
      <c r="I40" s="5" t="inlineStr">
        <is>
          <t>[수정] NX4 Housing 형상 특성에 의한 이송 중 접촉 찍힘 추가</t>
        </is>
      </c>
    </row>
  </sheetData>
  <mergeCells count="21">
    <mergeCell ref="E31:G31"/>
    <mergeCell ref="E40:G40"/>
    <mergeCell ref="E34:G34"/>
    <mergeCell ref="E30:G30"/>
    <mergeCell ref="B34:D34"/>
    <mergeCell ref="B37:D37"/>
    <mergeCell ref="E36:G36"/>
    <mergeCell ref="A14:I14"/>
    <mergeCell ref="F8:F11"/>
    <mergeCell ref="B40:D40"/>
    <mergeCell ref="B30:D30"/>
    <mergeCell ref="A29:I29"/>
    <mergeCell ref="B33:D33"/>
    <mergeCell ref="B36:D36"/>
    <mergeCell ref="E37:G37"/>
    <mergeCell ref="E33:G33"/>
    <mergeCell ref="B31:D31"/>
    <mergeCell ref="E39:G39"/>
    <mergeCell ref="A1:I1"/>
    <mergeCell ref="A6:I6"/>
    <mergeCell ref="B39:D39"/>
  </mergeCells>
  <pageMargins left="0.5" right="0.5" top="0.75" bottom="0.75" header="0.5" footer="0.5"/>
  <pageSetup orientation="landscape"/>
</worksheet>
</file>

<file path=xl/worksheets/sheet4.xml><?xml version="1.0" encoding="utf-8"?>
<worksheet xmlns="http://schemas.openxmlformats.org/spreadsheetml/2006/main">
  <sheetPr>
    <outlinePr summaryBelow="1" summaryRight="1"/>
    <pageSetUpPr/>
  </sheetPr>
  <dimension ref="A1:I37"/>
  <sheetViews>
    <sheetView zoomScaleNormal="100" workbookViewId="0">
      <pane ySplit="3" topLeftCell="A25" activePane="bottomLeft" state="frozen"/>
      <selection pane="bottomLeft" activeCell="B28" sqref="B28:H28"/>
    </sheetView>
  </sheetViews>
  <sheetFormatPr baseColWidth="8" defaultRowHeight="17.4"/>
  <cols>
    <col width="12" customWidth="1" style="66" min="1" max="1"/>
    <col width="15" customWidth="1" style="66" min="2" max="7"/>
    <col width="12" customWidth="1" style="66" min="8" max="8"/>
    <col width="21.59765625" customWidth="1" style="66" min="9" max="9"/>
  </cols>
  <sheetData>
    <row r="1" ht="25.2" customHeight="1" s="66">
      <c r="A1" s="67" t="inlineStr">
        <is>
          <t>NX4 COVER 불량 분석</t>
        </is>
      </c>
    </row>
    <row r="3">
      <c r="A3" s="65" t="inlineStr">
        <is>
          <t>▶ 공정별 불량현황</t>
        </is>
      </c>
    </row>
    <row r="4">
      <c r="A4" s="1" t="inlineStr">
        <is>
          <t>공정명</t>
        </is>
      </c>
      <c r="B4" s="1" t="inlineStr">
        <is>
          <t>검사수량</t>
        </is>
      </c>
      <c r="C4" s="1" t="inlineStr">
        <is>
          <t>OK수량</t>
        </is>
      </c>
      <c r="D4" s="1" t="inlineStr">
        <is>
          <t>NG수량</t>
        </is>
      </c>
      <c r="E4" s="1" t="inlineStr">
        <is>
          <t>불량률(%)</t>
        </is>
      </c>
      <c r="F4" s="13" t="inlineStr">
        <is>
          <t>전체 직통률(%)</t>
        </is>
      </c>
    </row>
    <row r="5">
      <c r="A5" s="2" t="inlineStr">
        <is>
          <t>Casting</t>
        </is>
      </c>
      <c r="B5" s="33">
        <f>'[1]제품별 공정별 불량현황'!$C$23</f>
        <v/>
      </c>
      <c r="C5" s="33">
        <f>180460</f>
        <v/>
      </c>
      <c r="D5" s="33">
        <f>6826</f>
        <v/>
      </c>
      <c r="E5" s="135">
        <f>D5/B5</f>
        <v/>
      </c>
      <c r="F5" s="119">
        <f>1-D9/B5</f>
        <v/>
      </c>
    </row>
    <row r="6" ht="18" customHeight="1" s="66">
      <c r="A6" s="2" t="inlineStr">
        <is>
          <t>Blaster</t>
        </is>
      </c>
      <c r="B6" s="33">
        <f>'[1]제품별 공정별 불량현황'!$C$24</f>
        <v/>
      </c>
      <c r="C6" s="33">
        <f>186115</f>
        <v/>
      </c>
      <c r="D6" s="33">
        <f>975</f>
        <v/>
      </c>
      <c r="E6" s="135">
        <f>D6/B6</f>
        <v/>
      </c>
      <c r="F6" s="128" t="n"/>
    </row>
    <row r="7">
      <c r="A7" s="22" t="inlineStr">
        <is>
          <t>CNC MC</t>
        </is>
      </c>
      <c r="B7" s="34">
        <f>'[1]제품별 공정별 불량현황'!$C$21</f>
        <v/>
      </c>
      <c r="C7" s="34">
        <f>163611</f>
        <v/>
      </c>
      <c r="D7" s="34">
        <f>28941</f>
        <v/>
      </c>
      <c r="E7" s="136">
        <f>D7/B7</f>
        <v/>
      </c>
      <c r="F7" s="128" t="n"/>
    </row>
    <row r="8">
      <c r="A8" s="22" t="inlineStr">
        <is>
          <t>OQC</t>
        </is>
      </c>
      <c r="B8" s="34">
        <f>'[1]제품별 공정별 불량현황'!$C$22</f>
        <v/>
      </c>
      <c r="C8" s="34">
        <f>161798</f>
        <v/>
      </c>
      <c r="D8" s="34">
        <f>21249</f>
        <v/>
      </c>
      <c r="E8" s="136">
        <f>D8/B8</f>
        <v/>
      </c>
      <c r="F8" s="113" t="n"/>
    </row>
    <row r="9" ht="16.95" customHeight="1" s="66">
      <c r="A9" s="29" t="inlineStr">
        <is>
          <t>합계</t>
        </is>
      </c>
      <c r="B9" s="40">
        <f>SUM(B5:B8)</f>
        <v/>
      </c>
      <c r="C9" s="40">
        <f>SUM(C5:C8)</f>
        <v/>
      </c>
      <c r="D9" s="40">
        <f>B24</f>
        <v/>
      </c>
      <c r="E9" s="40" t="n"/>
      <c r="F9" s="130" t="n"/>
    </row>
    <row r="10">
      <c r="F10" s="12" t="n"/>
    </row>
    <row r="11">
      <c r="A11" s="68" t="inlineStr">
        <is>
          <t>▶ 불량유형별 파레토 분석</t>
        </is>
      </c>
    </row>
    <row r="12">
      <c r="A12" s="1" t="inlineStr">
        <is>
          <t>불량유형</t>
        </is>
      </c>
      <c r="B12" s="1" t="inlineStr">
        <is>
          <t>불량수량</t>
        </is>
      </c>
      <c r="C12" s="18" t="inlineStr">
        <is>
          <t>불량률</t>
        </is>
      </c>
      <c r="D12" s="18" t="inlineStr">
        <is>
          <t>점유율</t>
        </is>
      </c>
    </row>
    <row r="13">
      <c r="A13" s="22" t="inlineStr">
        <is>
          <t>박리</t>
        </is>
      </c>
      <c r="B13" s="23" t="n">
        <v>15258</v>
      </c>
      <c r="C13" s="131">
        <f>B13/$B$5</f>
        <v/>
      </c>
      <c r="D13" s="24">
        <f>B13/SUM($B$13:$B$23)</f>
        <v/>
      </c>
    </row>
    <row r="14">
      <c r="A14" s="28" t="inlineStr">
        <is>
          <t>기공</t>
        </is>
      </c>
      <c r="B14" s="23" t="n">
        <v>9177</v>
      </c>
      <c r="C14" s="131">
        <f>B14/$B$5</f>
        <v/>
      </c>
      <c r="D14" s="24">
        <f>B14/SUM($B$13:$B$23)</f>
        <v/>
      </c>
    </row>
    <row r="15">
      <c r="A15" s="28" t="inlineStr">
        <is>
          <t>치수불량</t>
        </is>
      </c>
      <c r="B15" s="23" t="n">
        <v>6407</v>
      </c>
      <c r="C15" s="131">
        <f>B15/$B$5</f>
        <v/>
      </c>
      <c r="D15" s="24">
        <f>B15/SUM($B$13:$B$23)</f>
        <v/>
      </c>
    </row>
    <row r="16">
      <c r="A16" s="2" t="inlineStr">
        <is>
          <t>뜯김</t>
        </is>
      </c>
      <c r="B16" s="3" t="n">
        <v>6392</v>
      </c>
      <c r="C16" s="118">
        <f>B16/$B$5</f>
        <v/>
      </c>
      <c r="D16" s="21">
        <f>B16/SUM($B$13:$B$23)</f>
        <v/>
      </c>
    </row>
    <row r="17">
      <c r="A17" s="16" t="inlineStr">
        <is>
          <t>찍힘</t>
        </is>
      </c>
      <c r="B17" s="3" t="n">
        <v>6378</v>
      </c>
      <c r="C17" s="118">
        <f>B17/$B$5</f>
        <v/>
      </c>
      <c r="D17" s="21">
        <f>B17/SUM($B$13:$B$23)</f>
        <v/>
      </c>
    </row>
    <row r="18">
      <c r="A18" s="2" t="inlineStr">
        <is>
          <t>미성형</t>
        </is>
      </c>
      <c r="B18" s="3" t="n">
        <v>5595</v>
      </c>
      <c r="C18" s="118">
        <f>B18/$B$5</f>
        <v/>
      </c>
      <c r="D18" s="21">
        <f>B18/SUM($B$13:$B$23)</f>
        <v/>
      </c>
    </row>
    <row r="19">
      <c r="A19" s="17" t="inlineStr">
        <is>
          <t>주조불량</t>
        </is>
      </c>
      <c r="B19" s="3" t="n">
        <v>4111</v>
      </c>
      <c r="C19" s="118">
        <f>B19/$B$5</f>
        <v/>
      </c>
      <c r="D19" s="21">
        <f>B19/SUM($B$13:$B$23)</f>
        <v/>
      </c>
    </row>
    <row r="20">
      <c r="A20" s="16" t="inlineStr">
        <is>
          <t>기타(1%↓)</t>
        </is>
      </c>
      <c r="B20" s="3" t="n">
        <v>1672</v>
      </c>
      <c r="C20" s="118">
        <f>B20/$B$5</f>
        <v/>
      </c>
      <c r="D20" s="21">
        <f>B20/SUM($B$13:$B$23)</f>
        <v/>
      </c>
    </row>
    <row r="21">
      <c r="A21" s="16" t="inlineStr">
        <is>
          <t>스크래치</t>
        </is>
      </c>
      <c r="B21" s="3" t="n">
        <v>1305</v>
      </c>
      <c r="C21" s="118">
        <f>B21/$B$5</f>
        <v/>
      </c>
      <c r="D21" s="21">
        <f>B21/SUM($B$13:$B$23)</f>
        <v/>
      </c>
      <c r="F21" s="14" t="n"/>
    </row>
    <row r="22">
      <c r="A22" s="16" t="inlineStr">
        <is>
          <t>오염(얼룩)</t>
        </is>
      </c>
      <c r="B22" s="3" t="n">
        <v>1099</v>
      </c>
      <c r="C22" s="118">
        <f>B22/$B$5</f>
        <v/>
      </c>
      <c r="D22" s="21">
        <f>B22/SUM($B$13:$B$23)</f>
        <v/>
      </c>
    </row>
    <row r="23">
      <c r="A23" s="16" t="inlineStr">
        <is>
          <t>미가공</t>
        </is>
      </c>
      <c r="B23" s="3" t="n">
        <v>597</v>
      </c>
      <c r="C23" s="118">
        <f>B23/$B$5</f>
        <v/>
      </c>
      <c r="D23" s="21">
        <f>B23/SUM($B$13:$B$23)</f>
        <v/>
      </c>
    </row>
    <row r="24">
      <c r="A24" s="29" t="inlineStr">
        <is>
          <t>합계</t>
        </is>
      </c>
      <c r="B24" s="30">
        <f>SUM(B13:B23)</f>
        <v/>
      </c>
      <c r="C24" s="130">
        <f>SUM(C13:C23)</f>
        <v/>
      </c>
      <c r="D24" s="31">
        <f>SUM(D13:D23)</f>
        <v/>
      </c>
    </row>
    <row r="26">
      <c r="A26" s="68" t="inlineStr">
        <is>
          <t>▶ 원인 및 개선안</t>
        </is>
      </c>
    </row>
    <row r="27">
      <c r="A27" s="1" t="inlineStr">
        <is>
          <t>불량유형</t>
        </is>
      </c>
      <c r="B27" s="18" t="inlineStr">
        <is>
          <t>추정 원인</t>
        </is>
      </c>
      <c r="C27" s="132" t="n"/>
      <c r="D27" s="133" t="n"/>
      <c r="E27" s="18" t="inlineStr">
        <is>
          <t>개선 방안</t>
        </is>
      </c>
      <c r="F27" s="132" t="n"/>
      <c r="G27" s="133" t="n"/>
      <c r="H27" s="1" t="inlineStr">
        <is>
          <t>예상 효과</t>
        </is>
      </c>
      <c r="I27" s="1" t="inlineStr">
        <is>
          <t>비고</t>
        </is>
      </c>
    </row>
    <row r="28" ht="55.2" customHeight="1" s="66">
      <c r="A28" s="46">
        <f>A13</f>
        <v/>
      </c>
      <c r="B28" s="134" t="inlineStr">
        <is>
          <t>금형 표면 온도와 용탕 온도 차이가 심할 경우 필링 발생.
NX4 Cover는 넓은 평면부와 얇은 벽 구조로 냉각 불균일이 심하며,
이형제 분사 불균일 시 국부적 박리 다발.
기존 온조기 최대 280도 한계로 금형 온도 제어 범위 부족</t>
        </is>
      </c>
      <c r="C28" s="132" t="n"/>
      <c r="D28" s="133" t="n"/>
      <c r="E28" s="134" t="inlineStr">
        <is>
          <t>온조기 신형 교체 (기존 최대 280도 → 신형 320도까지 가능)
이형제 분사 시간 조정
박리 고정 발생 부 코어 내 방전 피막 코팅 적용</t>
        </is>
      </c>
      <c r="F28" s="132" t="n"/>
      <c r="G28" s="133" t="n"/>
      <c r="H28" s="109" t="inlineStr">
        <is>
          <t>불량률 절반 감소 목표</t>
        </is>
      </c>
      <c r="I28" s="110" t="inlineStr">
        <is>
          <t>[수정] NX4 Cover 형상 특성(넓은 평면, 냉각 불균일) 및 온조기 한계 반영</t>
        </is>
      </c>
    </row>
    <row r="29">
      <c r="A29" s="47" t="n"/>
    </row>
    <row r="30">
      <c r="A30" s="1" t="inlineStr">
        <is>
          <t>불량유형</t>
        </is>
      </c>
      <c r="B30" s="18" t="inlineStr">
        <is>
          <t>추정 원인</t>
        </is>
      </c>
      <c r="C30" s="132" t="n"/>
      <c r="D30" s="133" t="n"/>
      <c r="E30" s="18" t="inlineStr">
        <is>
          <t>개선 방안</t>
        </is>
      </c>
      <c r="F30" s="132" t="n"/>
      <c r="G30" s="133" t="n"/>
      <c r="H30" s="1" t="inlineStr">
        <is>
          <t>예상 효과</t>
        </is>
      </c>
      <c r="I30" s="1" t="inlineStr">
        <is>
          <t>비고</t>
        </is>
      </c>
    </row>
    <row r="31" ht="40.2" customHeight="1" s="66">
      <c r="A31" s="46">
        <f>A14</f>
        <v/>
      </c>
      <c r="B31" s="134" t="inlineStr">
        <is>
          <t>생산 중 비산(Splash) 발생이 불규칙적으로 발생하여 그로 인한 가스 혼입 및 기공으로 추정.
비스켓 두께 편차가 클 경우 주입 안정성 저하 → 가스 트래핑 증가</t>
        </is>
      </c>
      <c r="C31" s="132" t="n"/>
      <c r="D31" s="133" t="n"/>
      <c r="E31" s="134" t="inlineStr">
        <is>
          <t>설비 내 비스켓 두께 설정 → 10~16mm 외 제품은 자동 폐기하는 것으로 세팅 진행</t>
        </is>
      </c>
      <c r="F31" s="132" t="n"/>
      <c r="G31" s="133" t="n"/>
      <c r="H31" s="109" t="inlineStr">
        <is>
          <t>30% 감소 목표</t>
        </is>
      </c>
      <c r="I31" s="5" t="inlineStr">
        <is>
          <t>[수정] 비스켓 두께 편차와 주입 안정성 연관 원인 구체화</t>
        </is>
      </c>
    </row>
    <row r="32">
      <c r="A32" s="47" t="n"/>
    </row>
    <row r="33">
      <c r="A33" s="1" t="inlineStr">
        <is>
          <t>불량유형</t>
        </is>
      </c>
      <c r="B33" s="18" t="inlineStr">
        <is>
          <t>추정 원인</t>
        </is>
      </c>
      <c r="C33" s="132" t="n"/>
      <c r="D33" s="133" t="n"/>
      <c r="E33" s="18" t="inlineStr">
        <is>
          <t>개선 방안</t>
        </is>
      </c>
      <c r="F33" s="132" t="n"/>
      <c r="G33" s="133" t="n"/>
      <c r="H33" s="1" t="inlineStr">
        <is>
          <t>예상 효과</t>
        </is>
      </c>
      <c r="I33" s="1" t="inlineStr">
        <is>
          <t>비고</t>
        </is>
      </c>
    </row>
    <row r="34" ht="40.2" customHeight="1" s="66">
      <c r="A34" s="46">
        <f>A15</f>
        <v/>
      </c>
      <c r="B34" s="134" t="inlineStr">
        <is>
          <t>2월 단발성 가공 세팅 불량으로 발생.
근본원인: 세팅 변경 시 작업 표준서 미준수 및 초품 검사 미흡.
지그 마모에 의한 클램핑 위치 편차도 기여 요인</t>
        </is>
      </c>
      <c r="C34" s="132" t="n"/>
      <c r="D34" s="133" t="n"/>
      <c r="E34" s="134" t="inlineStr">
        <is>
          <t>재세팅, 지그 개선 완료. 현재 1% 미만</t>
        </is>
      </c>
      <c r="F34" s="132" t="n"/>
      <c r="G34" s="133" t="n"/>
      <c r="H34" s="109" t="inlineStr">
        <is>
          <t>치수불량률 1% 미만 유지 (현재 재세팅 후 안정화 확인)</t>
        </is>
      </c>
      <c r="I34" s="107" t="inlineStr">
        <is>
          <t>[수정] 단발성 → 근본원인(표준서 미준수, 초품검사 미흡, 지그 마모) 추가</t>
        </is>
      </c>
    </row>
    <row r="35">
      <c r="A35" s="97" t="n"/>
      <c r="B35" s="98" t="n"/>
      <c r="C35" s="98" t="n"/>
      <c r="D35" s="98" t="n"/>
      <c r="E35" s="98" t="n"/>
      <c r="F35" s="98" t="n"/>
      <c r="G35" s="98" t="n"/>
    </row>
    <row r="36">
      <c r="A36" s="1" t="inlineStr">
        <is>
          <t>불량유형</t>
        </is>
      </c>
      <c r="B36" s="18" t="inlineStr">
        <is>
          <t>추정 원인</t>
        </is>
      </c>
      <c r="C36" s="132" t="n"/>
      <c r="D36" s="133" t="n"/>
      <c r="E36" s="18" t="inlineStr">
        <is>
          <t>개선 방안</t>
        </is>
      </c>
      <c r="F36" s="132" t="n"/>
      <c r="G36" s="133" t="n"/>
      <c r="H36" s="1" t="inlineStr">
        <is>
          <t>예상 효과</t>
        </is>
      </c>
      <c r="I36" s="1" t="inlineStr">
        <is>
          <t>비고</t>
        </is>
      </c>
    </row>
    <row r="37" ht="40.2" customHeight="1" s="66">
      <c r="A37" s="46">
        <f>A16</f>
        <v/>
      </c>
      <c r="B37" s="134" t="inlineStr">
        <is>
          <t>현재 디게이팅 매뉴얼 작업 시, 제품 면이 일부 과하게 뜯김.
해당 면은 가공면이라 즉시 판단이 어려워 가공 후 NG 판정.
작업자 숙련도 편차 및 디게이팅 공구 마모 상태도 영향</t>
        </is>
      </c>
      <c r="C37" s="132" t="n"/>
      <c r="D37" s="133" t="n"/>
      <c r="E37" s="134" t="inlineStr">
        <is>
          <t>CNC 작업 혹은 레이저커팅 제작 검토</t>
        </is>
      </c>
      <c r="F37" s="132" t="n"/>
      <c r="G37" s="133" t="n"/>
      <c r="H37" s="48" t="inlineStr">
        <is>
          <t>100% 감소 예상</t>
        </is>
      </c>
      <c r="I37" s="5" t="inlineStr">
        <is>
          <t>[수정] 작업자 숙련도 편차 및 공구 마모 요인 추가</t>
        </is>
      </c>
    </row>
  </sheetData>
  <mergeCells count="21">
    <mergeCell ref="E28:G28"/>
    <mergeCell ref="E31:G31"/>
    <mergeCell ref="E34:G34"/>
    <mergeCell ref="A3:I3"/>
    <mergeCell ref="E30:G30"/>
    <mergeCell ref="F5:F8"/>
    <mergeCell ref="A26:I26"/>
    <mergeCell ref="B34:D34"/>
    <mergeCell ref="B28:D28"/>
    <mergeCell ref="B37:D37"/>
    <mergeCell ref="E36:G36"/>
    <mergeCell ref="E27:G27"/>
    <mergeCell ref="B30:D30"/>
    <mergeCell ref="B33:D33"/>
    <mergeCell ref="B36:D36"/>
    <mergeCell ref="E37:G37"/>
    <mergeCell ref="E33:G33"/>
    <mergeCell ref="A11:I11"/>
    <mergeCell ref="B31:D31"/>
    <mergeCell ref="A1:I1"/>
    <mergeCell ref="B27:D27"/>
  </mergeCells>
  <pageMargins left="0.5" right="0.5" top="0.75" bottom="0.75" header="0.5" footer="0.5"/>
  <pageSetup orientation="landscape"/>
</worksheet>
</file>

<file path=xl/worksheets/sheet5.xml><?xml version="1.0" encoding="utf-8"?>
<worksheet xmlns="http://schemas.openxmlformats.org/spreadsheetml/2006/main">
  <sheetPr>
    <outlinePr summaryBelow="1" summaryRight="1"/>
    <pageSetUpPr/>
  </sheetPr>
  <dimension ref="A1:I36"/>
  <sheetViews>
    <sheetView workbookViewId="0">
      <pane ySplit="3" topLeftCell="A22" activePane="bottomLeft" state="frozen"/>
      <selection pane="bottomLeft" activeCell="B35" sqref="B35:D35"/>
    </sheetView>
  </sheetViews>
  <sheetFormatPr baseColWidth="8" defaultRowHeight="17.4"/>
  <cols>
    <col width="12" customWidth="1" style="66" min="1" max="1"/>
    <col width="15" customWidth="1" style="66" min="2" max="7"/>
    <col width="13.3984375" customWidth="1" style="66" min="8" max="8"/>
    <col width="20.8984375" customWidth="1" style="66" min="9" max="9"/>
  </cols>
  <sheetData>
    <row r="1" ht="25.2" customHeight="1" s="66">
      <c r="A1" s="67" t="inlineStr">
        <is>
          <t>TEYGEN4 불량 분석</t>
        </is>
      </c>
    </row>
    <row r="3">
      <c r="A3" s="65" t="inlineStr">
        <is>
          <t>▶ 공정별 불량현황</t>
        </is>
      </c>
    </row>
    <row r="4">
      <c r="A4" s="1" t="inlineStr">
        <is>
          <t>공정명</t>
        </is>
      </c>
      <c r="B4" s="1" t="inlineStr">
        <is>
          <t>검사수량</t>
        </is>
      </c>
      <c r="C4" s="1" t="inlineStr">
        <is>
          <t>OK수량</t>
        </is>
      </c>
      <c r="D4" s="1" t="inlineStr">
        <is>
          <t>NG수량</t>
        </is>
      </c>
      <c r="E4" s="1" t="inlineStr">
        <is>
          <t>불량률(%)</t>
        </is>
      </c>
      <c r="F4" s="13" t="inlineStr">
        <is>
          <t>전체 직통률(%)</t>
        </is>
      </c>
    </row>
    <row r="5">
      <c r="A5" s="2" t="inlineStr">
        <is>
          <t>Casting</t>
        </is>
      </c>
      <c r="B5" s="33">
        <f>'[1]제품별 공정별 불량현황'!$C$33</f>
        <v/>
      </c>
      <c r="C5" s="33">
        <f>236860</f>
        <v/>
      </c>
      <c r="D5" s="33">
        <f>12058</f>
        <v/>
      </c>
      <c r="E5" s="135">
        <f>D5/B5</f>
        <v/>
      </c>
      <c r="F5" s="119">
        <f>1-D9/B5</f>
        <v/>
      </c>
    </row>
    <row r="6">
      <c r="A6" s="2" t="inlineStr">
        <is>
          <t>Blaster</t>
        </is>
      </c>
      <c r="B6" s="33">
        <f>'[1]제품별 공정별 불량현황'!$C$34</f>
        <v/>
      </c>
      <c r="C6" s="33">
        <f>241585</f>
        <v/>
      </c>
      <c r="D6" s="33" t="n">
        <v>1841</v>
      </c>
      <c r="E6" s="135">
        <f>D6/B6</f>
        <v/>
      </c>
      <c r="F6" s="128" t="n"/>
    </row>
    <row r="7">
      <c r="A7" s="22" t="inlineStr">
        <is>
          <t>CNC MC</t>
        </is>
      </c>
      <c r="B7" s="34">
        <f>'[1]제품별 공정별 불량현황'!$C$31</f>
        <v/>
      </c>
      <c r="C7" s="34">
        <f>220925</f>
        <v/>
      </c>
      <c r="D7" s="34">
        <f>19997</f>
        <v/>
      </c>
      <c r="E7" s="136">
        <f>D7/B7</f>
        <v/>
      </c>
      <c r="F7" s="128" t="n"/>
    </row>
    <row r="8">
      <c r="A8" s="22" t="inlineStr">
        <is>
          <t>OQC</t>
        </is>
      </c>
      <c r="B8" s="34">
        <f>'[1]제품별 공정별 불량현황'!$C$32</f>
        <v/>
      </c>
      <c r="C8" s="34">
        <f>237311</f>
        <v/>
      </c>
      <c r="D8" s="34">
        <f>18459</f>
        <v/>
      </c>
      <c r="E8" s="136">
        <f>D8/B8</f>
        <v/>
      </c>
      <c r="F8" s="113" t="n"/>
    </row>
    <row r="9" ht="16.95" customHeight="1" s="66">
      <c r="A9" s="29" t="inlineStr">
        <is>
          <t>합계</t>
        </is>
      </c>
      <c r="B9" s="40">
        <f>SUM(B5:B8)</f>
        <v/>
      </c>
      <c r="C9" s="40">
        <f>SUM(C5:C8)</f>
        <v/>
      </c>
      <c r="D9" s="40">
        <f>B23</f>
        <v/>
      </c>
      <c r="E9" s="40" t="n"/>
      <c r="F9" s="130" t="n"/>
    </row>
    <row r="10">
      <c r="D10" s="14" t="n"/>
      <c r="F10" s="12" t="n"/>
    </row>
    <row r="11">
      <c r="A11" s="68" t="inlineStr">
        <is>
          <t>▶ 불량유형별 파레토 분석</t>
        </is>
      </c>
    </row>
    <row r="12">
      <c r="A12" s="1" t="inlineStr">
        <is>
          <t>불량유형</t>
        </is>
      </c>
      <c r="B12" s="1" t="inlineStr">
        <is>
          <t>불량수량</t>
        </is>
      </c>
      <c r="C12" s="18" t="inlineStr">
        <is>
          <t>불량률</t>
        </is>
      </c>
      <c r="D12" s="18" t="inlineStr">
        <is>
          <t>점유율</t>
        </is>
      </c>
    </row>
    <row r="13">
      <c r="A13" s="28" t="inlineStr">
        <is>
          <t>주조불량</t>
        </is>
      </c>
      <c r="B13" s="23" t="n">
        <v>8952</v>
      </c>
      <c r="C13" s="131">
        <f>B13/$B$5</f>
        <v/>
      </c>
      <c r="D13" s="136">
        <f>B13/TEYGEN4!$B$23</f>
        <v/>
      </c>
    </row>
    <row r="14">
      <c r="A14" s="22" t="inlineStr">
        <is>
          <t>박리</t>
        </is>
      </c>
      <c r="B14" s="23" t="n">
        <v>8323</v>
      </c>
      <c r="C14" s="131">
        <f>B14/$B$5</f>
        <v/>
      </c>
      <c r="D14" s="136">
        <f>B14/TEYGEN4!$B$23</f>
        <v/>
      </c>
    </row>
    <row r="15">
      <c r="A15" s="22" t="inlineStr">
        <is>
          <t>오염(얼룩)</t>
        </is>
      </c>
      <c r="B15" s="23" t="n">
        <v>7646</v>
      </c>
      <c r="C15" s="131">
        <f>B15/$B$5</f>
        <v/>
      </c>
      <c r="D15" s="136">
        <f>B15/TEYGEN4!$B$23</f>
        <v/>
      </c>
    </row>
    <row r="16">
      <c r="A16" s="17" t="inlineStr">
        <is>
          <t>찍힘</t>
        </is>
      </c>
      <c r="B16" s="3" t="n">
        <v>6799</v>
      </c>
      <c r="C16" s="118">
        <f>B16/$B$5</f>
        <v/>
      </c>
      <c r="D16" s="135">
        <f>B16/TEYGEN4!$B$23</f>
        <v/>
      </c>
    </row>
    <row r="17">
      <c r="A17" s="16" t="inlineStr">
        <is>
          <t>기공</t>
        </is>
      </c>
      <c r="B17" s="3" t="n">
        <v>5428</v>
      </c>
      <c r="C17" s="118">
        <f>B17/$B$5</f>
        <v/>
      </c>
      <c r="D17" s="135">
        <f>B17/TEYGEN4!$B$23</f>
        <v/>
      </c>
    </row>
    <row r="18">
      <c r="A18" s="16" t="inlineStr">
        <is>
          <t>기타(1%↓)</t>
        </is>
      </c>
      <c r="B18" s="3" t="n">
        <v>5194</v>
      </c>
      <c r="C18" s="118">
        <f>B18/$B$5</f>
        <v/>
      </c>
      <c r="D18" s="135">
        <f>B18/TEYGEN4!$B$23</f>
        <v/>
      </c>
    </row>
    <row r="19">
      <c r="A19" s="17" t="inlineStr">
        <is>
          <t>미성형</t>
        </is>
      </c>
      <c r="B19" s="3" t="n">
        <v>3803</v>
      </c>
      <c r="C19" s="118">
        <f>B19/$B$5</f>
        <v/>
      </c>
      <c r="D19" s="135">
        <f>B19/TEYGEN4!$B$23</f>
        <v/>
      </c>
    </row>
    <row r="20">
      <c r="A20" s="16" t="inlineStr">
        <is>
          <t>뜯김</t>
        </is>
      </c>
      <c r="B20" s="3" t="n">
        <v>2363</v>
      </c>
      <c r="C20" s="118">
        <f>B20/$B$5</f>
        <v/>
      </c>
      <c r="D20" s="135">
        <f>B20/TEYGEN4!$B$23</f>
        <v/>
      </c>
    </row>
    <row r="21">
      <c r="A21" s="2" t="inlineStr">
        <is>
          <t>변형/휨</t>
        </is>
      </c>
      <c r="B21" s="3" t="n">
        <v>2119</v>
      </c>
      <c r="C21" s="118">
        <f>B21/$B$5</f>
        <v/>
      </c>
      <c r="D21" s="135">
        <f>B21/TEYGEN4!$B$23</f>
        <v/>
      </c>
    </row>
    <row r="22">
      <c r="A22" s="16" t="inlineStr">
        <is>
          <t>수축</t>
        </is>
      </c>
      <c r="B22" s="3" t="n">
        <v>1728</v>
      </c>
      <c r="C22" s="118">
        <f>B22/$B$5</f>
        <v/>
      </c>
      <c r="D22" s="135">
        <f>B22/TEYGEN4!$B$23</f>
        <v/>
      </c>
      <c r="I22" s="124" t="n"/>
    </row>
    <row r="23">
      <c r="A23" s="29" t="inlineStr">
        <is>
          <t>합계</t>
        </is>
      </c>
      <c r="B23" s="30">
        <f>SUM(B13:B22)</f>
        <v/>
      </c>
      <c r="C23" s="130">
        <f>SUM(C13:C22)</f>
        <v/>
      </c>
      <c r="D23" s="123">
        <f>SUM(D13:D22)</f>
        <v/>
      </c>
      <c r="I23" s="124" t="n"/>
    </row>
    <row r="24">
      <c r="A24" s="68" t="inlineStr">
        <is>
          <t>▶ 원인 및 개선안</t>
        </is>
      </c>
    </row>
    <row r="25">
      <c r="A25" s="1" t="inlineStr">
        <is>
          <t>불량유형</t>
        </is>
      </c>
      <c r="B25" s="18" t="inlineStr">
        <is>
          <t>추정 원인</t>
        </is>
      </c>
      <c r="C25" s="132" t="n"/>
      <c r="D25" s="133" t="n"/>
      <c r="E25" s="18" t="inlineStr">
        <is>
          <t>개선 방안</t>
        </is>
      </c>
      <c r="F25" s="132" t="n"/>
      <c r="G25" s="133" t="n"/>
      <c r="H25" s="1" t="inlineStr">
        <is>
          <t>예상 효과</t>
        </is>
      </c>
      <c r="I25" s="1" t="inlineStr">
        <is>
          <t>비고</t>
        </is>
      </c>
    </row>
    <row r="26" ht="55.2" customHeight="1" s="66">
      <c r="A26" s="46" t="inlineStr">
        <is>
          <t>주조 불량, 기공, 변형/휨</t>
        </is>
      </c>
      <c r="B26" s="134" t="inlineStr">
        <is>
          <t>제품 세로 방향 게이트로 인해 충진 속도가 늦어지고 게이트 부가 먼저 식으며 제품의 수축 변형 발생.
제품 말단부에 기공 다량 발생.
추가: 세로 게이트 구조 특성상 에어 트랩 발생 확률이 높아 기공과 변형이 복합적으로 발생</t>
        </is>
      </c>
      <c r="C26" s="132" t="n"/>
      <c r="D26" s="133" t="n"/>
      <c r="E26" s="134" t="inlineStr">
        <is>
          <t>제품 가로 방향 게이트 설계 반영 금형 제작 및 검증 완료. 고객사 승인 대기 중</t>
        </is>
      </c>
      <c r="F26" s="132" t="n"/>
      <c r="G26" s="133" t="n"/>
      <c r="H26" s="48" t="inlineStr">
        <is>
          <t>공정 간소화
(LVDT 검사 및 보정 공정 삭제)
가공치수 안정화</t>
        </is>
      </c>
      <c r="I26" s="110" t="inlineStr">
        <is>
          <t>[수정] 에어 트랩 복합 발생 메커니즘 추가 설명</t>
        </is>
      </c>
    </row>
    <row r="27">
      <c r="A27" s="47" t="n"/>
    </row>
    <row r="28">
      <c r="A28" s="1" t="inlineStr">
        <is>
          <t>불량유형</t>
        </is>
      </c>
      <c r="B28" s="18" t="inlineStr">
        <is>
          <t>추정 원인</t>
        </is>
      </c>
      <c r="C28" s="132" t="n"/>
      <c r="D28" s="133" t="n"/>
      <c r="E28" s="18" t="inlineStr">
        <is>
          <t>개선 방안</t>
        </is>
      </c>
      <c r="F28" s="132" t="n"/>
      <c r="G28" s="133" t="n"/>
      <c r="H28" s="1" t="inlineStr">
        <is>
          <t>예상 효과</t>
        </is>
      </c>
      <c r="I28" s="1" t="inlineStr">
        <is>
          <t>비고</t>
        </is>
      </c>
    </row>
    <row r="29" ht="40.2" customHeight="1" s="66">
      <c r="A29" s="46">
        <f>A14</f>
        <v/>
      </c>
      <c r="B29" s="134" t="inlineStr">
        <is>
          <t>금형 표면 온도와 용탕 온도 차이가 심할 경우 필링 발생.
이즈미 설비 형체력 감소 문제로 금형 밀착도 저하 → 박리 악화.
형체력 부족 시 주입 압력에 의한 금형 미세 개방으로 표면 품질 저하 및 박리 촉진</t>
        </is>
      </c>
      <c r="C29" s="132" t="n"/>
      <c r="D29" s="133" t="n"/>
      <c r="E29" s="137" t="inlineStr">
        <is>
          <t>변경 게이트 도요 350t 생산 시 박리 개선 효과 있음
(충진율, 흐름성 개선, 제품 내 온도차 감소)</t>
        </is>
      </c>
      <c r="F29" s="132" t="n"/>
      <c r="G29" s="133" t="n"/>
      <c r="H29" s="109" t="inlineStr">
        <is>
          <t>불량률 절반 감소 목표</t>
        </is>
      </c>
      <c r="I29" s="5" t="inlineStr">
        <is>
          <t>[수정] 형체력 부족→금형 미세 개방→표면 품질 저하 메커니즘 상세화</t>
        </is>
      </c>
    </row>
    <row r="30">
      <c r="A30" s="47" t="n"/>
    </row>
    <row r="31">
      <c r="A31" s="1" t="inlineStr">
        <is>
          <t>불량유형</t>
        </is>
      </c>
      <c r="B31" s="18" t="inlineStr">
        <is>
          <t>추정 원인</t>
        </is>
      </c>
      <c r="C31" s="132" t="n"/>
      <c r="D31" s="133" t="n"/>
      <c r="E31" s="18" t="inlineStr">
        <is>
          <t>개선 방안</t>
        </is>
      </c>
      <c r="F31" s="132" t="n"/>
      <c r="G31" s="133" t="n"/>
      <c r="H31" s="1" t="inlineStr">
        <is>
          <t>예상 효과</t>
        </is>
      </c>
      <c r="I31" s="1" t="inlineStr">
        <is>
          <t>비고</t>
        </is>
      </c>
    </row>
    <row r="32" ht="40.2" customHeight="1" s="66">
      <c r="A32" s="46">
        <f>A15</f>
        <v/>
      </c>
      <c r="B32" s="46" t="inlineStr">
        <is>
          <t>CNC 자동화 → 세척 이동 사이 제품 대기 시간 증가로 얼룩 발생.
대기 중 표면 산화 및 절삭유 잔류물 건조로 인한 얼룩 고착.
공장 환경 습도 관리 미흡 시 산화 촉진</t>
        </is>
      </c>
      <c r="C32" s="132" t="n"/>
      <c r="D32" s="133" t="n"/>
      <c r="E32" s="138" t="inlineStr">
        <is>
          <t>CNC 자동화 라인에서 자동 세척라인 연결</t>
        </is>
      </c>
      <c r="F32" s="132" t="n"/>
      <c r="G32" s="133" t="n"/>
      <c r="H32" s="109" t="inlineStr">
        <is>
          <t>불량률 1%미만</t>
        </is>
      </c>
      <c r="I32" s="107" t="inlineStr">
        <is>
          <t>[수정] 산화 및 절삭유 건조 메커니즘, 습도 요인 추가</t>
        </is>
      </c>
    </row>
    <row r="33">
      <c r="A33" s="97" t="n"/>
      <c r="B33" s="98" t="n"/>
      <c r="C33" s="98" t="n"/>
      <c r="D33" s="98" t="n"/>
      <c r="E33" s="98" t="n"/>
      <c r="F33" s="98" t="n"/>
      <c r="G33" s="98" t="n"/>
    </row>
    <row r="34">
      <c r="A34" s="1" t="inlineStr">
        <is>
          <t>불량유형</t>
        </is>
      </c>
      <c r="B34" s="18" t="inlineStr">
        <is>
          <t>추정 원인</t>
        </is>
      </c>
      <c r="C34" s="132" t="n"/>
      <c r="D34" s="133" t="n"/>
      <c r="E34" s="18" t="inlineStr">
        <is>
          <t>개선 방안</t>
        </is>
      </c>
      <c r="F34" s="132" t="n"/>
      <c r="G34" s="133" t="n"/>
      <c r="H34" s="1" t="inlineStr">
        <is>
          <t>예상 효과</t>
        </is>
      </c>
      <c r="I34" s="1" t="inlineStr">
        <is>
          <t>비고</t>
        </is>
      </c>
    </row>
    <row r="35" ht="40.2" customHeight="1" s="66">
      <c r="A35" s="46">
        <f>A16</f>
        <v/>
      </c>
      <c r="B35" s="134" t="inlineStr">
        <is>
          <t>자동화 라인에서 지그에 제품 안착 시, 칩에 의한 찍힘 발생.
제품 놓을 때 제위치가 아닐 경우 발생.
추가: TEYGEN4는 얇은 벽 부위가 있어 경미한 충격에도 찍힘 발생 가능</t>
        </is>
      </c>
      <c r="C35" s="132" t="n"/>
      <c r="D35" s="133" t="n"/>
      <c r="E35" s="134" t="inlineStr">
        <is>
          <t>자동화 로보트 제품 안착,탈착 조건 재검토 
작업자 제품 취급 지속교육(세척공정, 에어 게이지 검사). 궁극적으로 검사 자동화 검토</t>
        </is>
      </c>
      <c r="F35" s="132" t="n"/>
      <c r="G35" s="133" t="n"/>
      <c r="H35" s="48" t="inlineStr">
        <is>
          <t>50% 감소 예상</t>
        </is>
      </c>
      <c r="I35" s="5" t="inlineStr">
        <is>
          <t>[수정] TEYGEN4 얇은 벽 구조 취약성 반영</t>
        </is>
      </c>
    </row>
    <row r="36" ht="40.2" customHeight="1" s="66">
      <c r="A36" s="97" t="n"/>
      <c r="B36" s="98" t="n"/>
      <c r="C36" s="98" t="n"/>
      <c r="D36" s="98" t="n"/>
      <c r="E36" s="98" t="n"/>
      <c r="F36" s="98" t="n"/>
    </row>
  </sheetData>
  <mergeCells count="21">
    <mergeCell ref="E28:G28"/>
    <mergeCell ref="E31:G31"/>
    <mergeCell ref="E34:G34"/>
    <mergeCell ref="A3:I3"/>
    <mergeCell ref="B29:D29"/>
    <mergeCell ref="F5:F8"/>
    <mergeCell ref="B34:D34"/>
    <mergeCell ref="B28:D28"/>
    <mergeCell ref="E26:G26"/>
    <mergeCell ref="E25:G25"/>
    <mergeCell ref="E32:G32"/>
    <mergeCell ref="B32:D32"/>
    <mergeCell ref="B35:D35"/>
    <mergeCell ref="B26:D26"/>
    <mergeCell ref="B25:D25"/>
    <mergeCell ref="A24:I24"/>
    <mergeCell ref="A11:I11"/>
    <mergeCell ref="B31:D31"/>
    <mergeCell ref="A1:I1"/>
    <mergeCell ref="E35:G35"/>
    <mergeCell ref="E29:G29"/>
  </mergeCells>
  <pageMargins left="0.5" right="0.5" top="0.75" bottom="0.75" header="0.5" footer="0.5"/>
  <pageSetup orientation="landscape"/>
</worksheet>
</file>

<file path=xl/worksheets/sheet6.xml><?xml version="1.0" encoding="utf-8"?>
<worksheet xmlns="http://schemas.openxmlformats.org/spreadsheetml/2006/main">
  <sheetPr>
    <outlinePr summaryBelow="1" summaryRight="1"/>
    <pageSetUpPr/>
  </sheetPr>
  <dimension ref="A1:G52"/>
  <sheetViews>
    <sheetView topLeftCell="A5" zoomScale="130" zoomScaleNormal="130" workbookViewId="0">
      <selection activeCell="A4" sqref="A4:G4"/>
    </sheetView>
  </sheetViews>
  <sheetFormatPr baseColWidth="8" defaultRowHeight="17.4"/>
  <sheetData>
    <row r="1" ht="25.2" customHeight="1" s="66">
      <c r="A1" s="84" t="inlineStr">
        <is>
          <t>전체 분석 차트 모음</t>
        </is>
      </c>
    </row>
    <row r="4">
      <c r="A4" s="86" t="inlineStr">
        <is>
          <t>▶ 부품별 월별 불량율 비교</t>
        </is>
      </c>
    </row>
    <row r="30">
      <c r="A30" s="85" t="inlineStr">
        <is>
          <t>▶ 공정별 불량율</t>
        </is>
      </c>
    </row>
    <row r="52">
      <c r="A52" s="85" t="inlineStr">
        <is>
          <t>▶ 상위 5 불량유형 추이</t>
        </is>
      </c>
    </row>
  </sheetData>
  <mergeCells count="4">
    <mergeCell ref="A30:G30"/>
    <mergeCell ref="A1:G1"/>
    <mergeCell ref="A52:G52"/>
    <mergeCell ref="A4:G4"/>
  </mergeCells>
  <pageMargins left="0.75" right="0.75" top="1" bottom="1" header="0.5" footer="0.5"/>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2026-04-03T04:55:57Z</dcterms:created>
  <dcterms:modified xmlns:dcterms="http://purl.org/dc/terms/" xmlns:xsi="http://www.w3.org/2001/XMLSchema-instance" xsi:type="dcterms:W3CDTF">2026-04-04T08:48:08Z</dcterms:modified>
  <cp:lastModifiedBy>YJ.NOH</cp:lastModifiedBy>
  <cp:lastPrinted>2026-04-03T05:44:24Z</cp:lastPrinted>
</cp:coreProperties>
</file>