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bb3407b826457bf/文档/Company MC/구매 관련/금형 업무/금형 가공 자동화 관련/업체 방안 및 견적/20260421/"/>
    </mc:Choice>
  </mc:AlternateContent>
  <xr:revisionPtr revIDLastSave="187" documentId="11_AD4DA82427541F7ACA7EB8B2500D2F9A6AE8DE12" xr6:coauthVersionLast="47" xr6:coauthVersionMax="47" xr10:uidLastSave="{C73EAD47-5DF1-4598-B041-316CBF54E97C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8" i="1"/>
  <c r="E29" i="1"/>
  <c r="E25" i="1"/>
  <c r="F23" i="1"/>
  <c r="F25" i="1"/>
  <c r="F24" i="1"/>
  <c r="F20" i="1"/>
  <c r="F19" i="1"/>
  <c r="F18" i="1"/>
  <c r="E17" i="1"/>
  <c r="F17" i="1" s="1"/>
  <c r="E14" i="1"/>
  <c r="E8" i="1"/>
  <c r="F14" i="1"/>
  <c r="E12" i="1"/>
  <c r="F12" i="1" s="1"/>
  <c r="F13" i="1"/>
  <c r="E7" i="1"/>
  <c r="F7" i="1"/>
  <c r="F8" i="1"/>
  <c r="F11" i="1"/>
  <c r="E6" i="1"/>
  <c r="F6" i="1" s="1"/>
  <c r="F21" i="1" l="1"/>
  <c r="E9" i="1"/>
  <c r="E21" i="1"/>
  <c r="E15" i="1"/>
  <c r="F15" i="1" s="1"/>
  <c r="F9" i="1" l="1"/>
  <c r="E23" i="1"/>
</calcChain>
</file>

<file path=xl/sharedStrings.xml><?xml version="1.0" encoding="utf-8"?>
<sst xmlns="http://schemas.openxmlformats.org/spreadsheetml/2006/main" count="34" uniqueCount="32">
  <si>
    <t>금형 자동화 업체 견적 분석표</t>
    <phoneticPr fontId="2" type="noConversion"/>
  </si>
  <si>
    <t>No</t>
    <phoneticPr fontId="2" type="noConversion"/>
  </si>
  <si>
    <t>항목</t>
    <phoneticPr fontId="2" type="noConversion"/>
  </si>
  <si>
    <t>가격</t>
    <phoneticPr fontId="2" type="noConversion"/>
  </si>
  <si>
    <t>비고</t>
    <phoneticPr fontId="2" type="noConversion"/>
  </si>
  <si>
    <t>자동화 프로그램 관리 시스템 표준 기능</t>
    <phoneticPr fontId="2" type="noConversion"/>
  </si>
  <si>
    <t>환율</t>
    <phoneticPr fontId="2" type="noConversion"/>
  </si>
  <si>
    <t>RMB</t>
    <phoneticPr fontId="2" type="noConversion"/>
  </si>
  <si>
    <t>USD</t>
    <phoneticPr fontId="2" type="noConversion"/>
  </si>
  <si>
    <t>스마트 설계 옵션 모듈</t>
    <phoneticPr fontId="2" type="noConversion"/>
  </si>
  <si>
    <t>자동화 프로그램 관리 시스템 옵션 기능</t>
    <phoneticPr fontId="2" type="noConversion"/>
  </si>
  <si>
    <t>소계</t>
    <phoneticPr fontId="2" type="noConversion"/>
  </si>
  <si>
    <t>대분류</t>
    <phoneticPr fontId="2" type="noConversion"/>
  </si>
  <si>
    <t>프로그램</t>
    <phoneticPr fontId="2" type="noConversion"/>
  </si>
  <si>
    <t>하드웨어</t>
    <phoneticPr fontId="2" type="noConversion"/>
  </si>
  <si>
    <t>자동화 콘트롤러</t>
    <phoneticPr fontId="2" type="noConversion"/>
  </si>
  <si>
    <t>기계 부분</t>
    <phoneticPr fontId="2" type="noConversion"/>
  </si>
  <si>
    <t>위치 감지 모듈 (옵션)</t>
    <phoneticPr fontId="2" type="noConversion"/>
  </si>
  <si>
    <t>LED 상태등 모듈 (옵션)</t>
    <phoneticPr fontId="2" type="noConversion"/>
  </si>
  <si>
    <t>운송, 셋업 등 기타</t>
    <phoneticPr fontId="2" type="noConversion"/>
  </si>
  <si>
    <t>운송/포장 (중국 국내 항구까지)</t>
    <phoneticPr fontId="2" type="noConversion"/>
  </si>
  <si>
    <t>설계 관리비</t>
    <phoneticPr fontId="2" type="noConversion"/>
  </si>
  <si>
    <t>하드웨어 셋업비</t>
    <phoneticPr fontId="2" type="noConversion"/>
  </si>
  <si>
    <t>소프트웨어 셋업비</t>
    <phoneticPr fontId="2" type="noConversion"/>
  </si>
  <si>
    <t>합계</t>
    <phoneticPr fontId="2" type="noConversion"/>
  </si>
  <si>
    <t>업체 디스카운터 후 비용 (부가세 포함)</t>
    <phoneticPr fontId="2" type="noConversion"/>
  </si>
  <si>
    <t>부가세 제외시 최종 비용</t>
    <phoneticPr fontId="2" type="noConversion"/>
  </si>
  <si>
    <t>0포인트 지그 비용</t>
    <phoneticPr fontId="2" type="noConversion"/>
  </si>
  <si>
    <t>가격 (부가세 포함)</t>
    <phoneticPr fontId="2" type="noConversion"/>
  </si>
  <si>
    <t>가격 (부가세 제외시)</t>
    <phoneticPr fontId="2" type="noConversion"/>
  </si>
  <si>
    <t>프로그램 가격을 중점으로 업체와 협의 예정</t>
    <phoneticPr fontId="2" type="noConversion"/>
  </si>
  <si>
    <t>셋업비를 위주로 업체와 협의 예정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</si>
</sst>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8" formatCode="_ * #,##0_ ;_ * \-#,##0_ ;_ * &quot;-&quot;??_ ;_ @_ 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algun Gothic"/>
      <family val="2"/>
      <charset val="129"/>
    </font>
    <font>
      <b/>
      <sz val="11"/>
      <color theme="1"/>
      <name val="Malgun Gothic"/>
      <family val="2"/>
      <charset val="129"/>
    </font>
    <font>
      <b/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6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0" xfId="1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0" fillId="0" borderId="6" xfId="1" applyNumberFormat="1" applyFont="1" applyBorder="1" applyAlignment="1">
      <alignment vertical="center"/>
    </xf>
    <xf numFmtId="178" fontId="0" fillId="0" borderId="8" xfId="1" applyNumberFormat="1" applyFont="1" applyBorder="1" applyAlignment="1">
      <alignment vertical="center"/>
    </xf>
    <xf numFmtId="178" fontId="0" fillId="0" borderId="10" xfId="1" applyNumberFormat="1" applyFont="1" applyBorder="1" applyAlignment="1">
      <alignment vertical="center"/>
    </xf>
    <xf numFmtId="178" fontId="0" fillId="0" borderId="1" xfId="1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78" fontId="5" fillId="0" borderId="1" xfId="1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vertical="center"/>
    </xf>
    <xf numFmtId="178" fontId="5" fillId="3" borderId="1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178" fontId="5" fillId="0" borderId="11" xfId="1" applyNumberFormat="1" applyFont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9"/>
  <sheetViews>
    <sheetView tabSelected="1" workbookViewId="0">
      <selection activeCell="I5" sqref="I5"/>
    </sheetView>
  </sheetViews>
  <sheetFormatPr defaultRowHeight="14" x14ac:dyDescent="0.3"/>
  <cols>
    <col min="1" max="1" width="1.58203125" style="2" customWidth="1"/>
    <col min="2" max="2" width="4.4140625" style="2" customWidth="1"/>
    <col min="3" max="3" width="8.9140625" style="2" customWidth="1"/>
    <col min="4" max="4" width="36.08203125" style="2" customWidth="1"/>
    <col min="5" max="6" width="10.1640625" style="2" customWidth="1"/>
    <col min="7" max="7" width="30.9140625" style="2" customWidth="1"/>
    <col min="8" max="16384" width="8.6640625" style="2"/>
  </cols>
  <sheetData>
    <row r="2" spans="2:7" ht="17" x14ac:dyDescent="0.3">
      <c r="B2" s="43" t="s">
        <v>0</v>
      </c>
      <c r="C2" s="1"/>
    </row>
    <row r="3" spans="2:7" ht="17" x14ac:dyDescent="0.3">
      <c r="E3" s="59" t="s">
        <v>6</v>
      </c>
      <c r="F3" s="58">
        <v>6.9</v>
      </c>
    </row>
    <row r="4" spans="2:7" ht="17" x14ac:dyDescent="0.3">
      <c r="B4" s="21" t="s">
        <v>1</v>
      </c>
      <c r="C4" s="21" t="s">
        <v>12</v>
      </c>
      <c r="D4" s="21" t="s">
        <v>2</v>
      </c>
      <c r="E4" s="21" t="s">
        <v>3</v>
      </c>
      <c r="F4" s="21"/>
      <c r="G4" s="21" t="s">
        <v>4</v>
      </c>
    </row>
    <row r="5" spans="2:7" ht="17" x14ac:dyDescent="0.3">
      <c r="B5" s="21"/>
      <c r="C5" s="21"/>
      <c r="D5" s="21"/>
      <c r="E5" s="22" t="s">
        <v>7</v>
      </c>
      <c r="F5" s="22" t="s">
        <v>8</v>
      </c>
      <c r="G5" s="21"/>
    </row>
    <row r="6" spans="2:7" ht="17" x14ac:dyDescent="0.3">
      <c r="B6" s="18">
        <v>1</v>
      </c>
      <c r="C6" s="7" t="s">
        <v>13</v>
      </c>
      <c r="D6" s="14" t="s">
        <v>5</v>
      </c>
      <c r="E6" s="10">
        <f>632000</f>
        <v>632000</v>
      </c>
      <c r="F6" s="10">
        <f>E6/$F$3</f>
        <v>91594.20289855072</v>
      </c>
      <c r="G6" s="51" t="s">
        <v>30</v>
      </c>
    </row>
    <row r="7" spans="2:7" ht="17" x14ac:dyDescent="0.3">
      <c r="B7" s="19">
        <v>2</v>
      </c>
      <c r="C7" s="8"/>
      <c r="D7" s="15" t="s">
        <v>9</v>
      </c>
      <c r="E7" s="11">
        <f>45000+35000</f>
        <v>80000</v>
      </c>
      <c r="F7" s="11">
        <f>E7/$F$3</f>
        <v>11594.202898550724</v>
      </c>
      <c r="G7" s="52"/>
    </row>
    <row r="8" spans="2:7" ht="17" x14ac:dyDescent="0.3">
      <c r="B8" s="20">
        <v>3</v>
      </c>
      <c r="C8" s="8"/>
      <c r="D8" s="16" t="s">
        <v>10</v>
      </c>
      <c r="E8" s="12">
        <f>30000+30000+10000+5000+(5000*12)</f>
        <v>135000</v>
      </c>
      <c r="F8" s="12">
        <f>E8/$F$3</f>
        <v>19565.217391304348</v>
      </c>
      <c r="G8" s="53"/>
    </row>
    <row r="9" spans="2:7" ht="17" x14ac:dyDescent="0.3">
      <c r="B9" s="23">
        <v>4</v>
      </c>
      <c r="C9" s="9"/>
      <c r="D9" s="24" t="s">
        <v>11</v>
      </c>
      <c r="E9" s="25">
        <f>SUM(E6:E8)</f>
        <v>847000</v>
      </c>
      <c r="F9" s="25">
        <f>E9/$F$3</f>
        <v>122753.62318840579</v>
      </c>
      <c r="G9" s="26"/>
    </row>
    <row r="10" spans="2:7" x14ac:dyDescent="0.3">
      <c r="B10" s="3"/>
      <c r="C10" s="3"/>
      <c r="E10" s="4"/>
      <c r="F10" s="4"/>
    </row>
    <row r="11" spans="2:7" ht="17" x14ac:dyDescent="0.3">
      <c r="B11" s="18">
        <v>5</v>
      </c>
      <c r="C11" s="7" t="s">
        <v>14</v>
      </c>
      <c r="D11" s="14" t="s">
        <v>15</v>
      </c>
      <c r="E11" s="10">
        <v>90000</v>
      </c>
      <c r="F11" s="10">
        <f>E11/$F$3</f>
        <v>13043.478260869564</v>
      </c>
      <c r="G11" s="27"/>
    </row>
    <row r="12" spans="2:7" ht="17" x14ac:dyDescent="0.3">
      <c r="B12" s="19">
        <v>6</v>
      </c>
      <c r="C12" s="8"/>
      <c r="D12" s="15" t="s">
        <v>16</v>
      </c>
      <c r="E12" s="11">
        <f>1854600-E11-E13-E14</f>
        <v>1687400</v>
      </c>
      <c r="F12" s="11">
        <f>E12/$F$3</f>
        <v>244550.72463768115</v>
      </c>
      <c r="G12" s="28"/>
    </row>
    <row r="13" spans="2:7" ht="17" x14ac:dyDescent="0.3">
      <c r="B13" s="19">
        <v>7</v>
      </c>
      <c r="C13" s="8"/>
      <c r="D13" s="15" t="s">
        <v>17</v>
      </c>
      <c r="E13" s="11">
        <v>55200</v>
      </c>
      <c r="F13" s="11">
        <f>E13/$F$3</f>
        <v>8000</v>
      </c>
      <c r="G13" s="28"/>
    </row>
    <row r="14" spans="2:7" ht="17" x14ac:dyDescent="0.3">
      <c r="B14" s="20">
        <v>8</v>
      </c>
      <c r="C14" s="8"/>
      <c r="D14" s="16" t="s">
        <v>18</v>
      </c>
      <c r="E14" s="12">
        <f>5500*4</f>
        <v>22000</v>
      </c>
      <c r="F14" s="12">
        <f>E14/$F$3</f>
        <v>3188.405797101449</v>
      </c>
      <c r="G14" s="29"/>
    </row>
    <row r="15" spans="2:7" ht="17" x14ac:dyDescent="0.3">
      <c r="B15" s="23">
        <v>9</v>
      </c>
      <c r="C15" s="9"/>
      <c r="D15" s="24" t="s">
        <v>11</v>
      </c>
      <c r="E15" s="25">
        <f>SUM(E11:E14)</f>
        <v>1854600</v>
      </c>
      <c r="F15" s="25">
        <f>E15/$F$3</f>
        <v>268782.60869565216</v>
      </c>
      <c r="G15" s="26"/>
    </row>
    <row r="16" spans="2:7" x14ac:dyDescent="0.3">
      <c r="E16" s="4"/>
      <c r="F16" s="4"/>
    </row>
    <row r="17" spans="2:7" ht="17" x14ac:dyDescent="0.3">
      <c r="B17" s="18">
        <v>10</v>
      </c>
      <c r="C17" s="30" t="s">
        <v>19</v>
      </c>
      <c r="D17" s="14" t="s">
        <v>20</v>
      </c>
      <c r="E17" s="10">
        <f>25000+9000</f>
        <v>34000</v>
      </c>
      <c r="F17" s="10">
        <f>E17/$F$3</f>
        <v>4927.536231884058</v>
      </c>
      <c r="G17" s="31"/>
    </row>
    <row r="18" spans="2:7" ht="17" x14ac:dyDescent="0.3">
      <c r="B18" s="19">
        <v>11</v>
      </c>
      <c r="C18" s="32"/>
      <c r="D18" s="15" t="s">
        <v>21</v>
      </c>
      <c r="E18" s="11">
        <v>74000</v>
      </c>
      <c r="F18" s="11">
        <f>E18/$F$3</f>
        <v>10724.63768115942</v>
      </c>
      <c r="G18" s="33"/>
    </row>
    <row r="19" spans="2:7" ht="17" x14ac:dyDescent="0.3">
      <c r="B19" s="19">
        <v>12</v>
      </c>
      <c r="C19" s="32"/>
      <c r="D19" s="15" t="s">
        <v>22</v>
      </c>
      <c r="E19" s="11">
        <v>150000</v>
      </c>
      <c r="F19" s="11">
        <f>E19/$F$3</f>
        <v>21739.130434782608</v>
      </c>
      <c r="G19" s="54" t="s">
        <v>31</v>
      </c>
    </row>
    <row r="20" spans="2:7" ht="17" x14ac:dyDescent="0.3">
      <c r="B20" s="20">
        <v>13</v>
      </c>
      <c r="C20" s="32"/>
      <c r="D20" s="16" t="s">
        <v>23</v>
      </c>
      <c r="E20" s="12">
        <v>351000</v>
      </c>
      <c r="F20" s="12">
        <f>E20/$F$3</f>
        <v>50869.565217391304</v>
      </c>
      <c r="G20" s="50"/>
    </row>
    <row r="21" spans="2:7" ht="17" x14ac:dyDescent="0.3">
      <c r="B21" s="55">
        <v>14</v>
      </c>
      <c r="C21" s="34"/>
      <c r="D21" s="56" t="s">
        <v>11</v>
      </c>
      <c r="E21" s="57">
        <f>SUM(E17:E20)</f>
        <v>609000</v>
      </c>
      <c r="F21" s="57">
        <f>SUM(F17:F20)</f>
        <v>88260.869565217392</v>
      </c>
      <c r="G21" s="35"/>
    </row>
    <row r="22" spans="2:7" ht="17" x14ac:dyDescent="0.3">
      <c r="B22" s="3"/>
      <c r="C22" s="5"/>
      <c r="D22" s="1"/>
      <c r="E22" s="4"/>
      <c r="F22" s="4"/>
    </row>
    <row r="23" spans="2:7" ht="17" x14ac:dyDescent="0.3">
      <c r="B23" s="6" t="s">
        <v>24</v>
      </c>
      <c r="C23" s="36"/>
      <c r="D23" s="36"/>
      <c r="E23" s="37">
        <f>E9+E15+E21</f>
        <v>3310600</v>
      </c>
      <c r="F23" s="13">
        <f>E23/$F$3</f>
        <v>479797.10144927533</v>
      </c>
      <c r="G23" s="17"/>
    </row>
    <row r="24" spans="2:7" ht="17" x14ac:dyDescent="0.3">
      <c r="B24" s="6" t="s">
        <v>25</v>
      </c>
      <c r="C24" s="36"/>
      <c r="D24" s="36"/>
      <c r="E24" s="13">
        <v>3020000</v>
      </c>
      <c r="F24" s="13">
        <f>E24/$F$3</f>
        <v>437681.15942028986</v>
      </c>
      <c r="G24" s="17"/>
    </row>
    <row r="25" spans="2:7" ht="17" x14ac:dyDescent="0.3">
      <c r="B25" s="38" t="s">
        <v>26</v>
      </c>
      <c r="C25" s="39"/>
      <c r="D25" s="39"/>
      <c r="E25" s="40">
        <f>E24/1.13</f>
        <v>2672566.3716814164</v>
      </c>
      <c r="F25" s="41">
        <f>E25/$F$3</f>
        <v>387328.45966397336</v>
      </c>
      <c r="G25" s="42"/>
    </row>
    <row r="27" spans="2:7" ht="17" x14ac:dyDescent="0.3">
      <c r="B27" s="43" t="s">
        <v>27</v>
      </c>
    </row>
    <row r="28" spans="2:7" ht="17" x14ac:dyDescent="0.3">
      <c r="B28" s="44" t="s">
        <v>28</v>
      </c>
      <c r="C28" s="45"/>
      <c r="D28" s="46"/>
      <c r="E28" s="13">
        <v>783390</v>
      </c>
      <c r="F28" s="13">
        <f>E28/$F$3</f>
        <v>113534.78260869565</v>
      </c>
      <c r="G28" s="17"/>
    </row>
    <row r="29" spans="2:7" ht="17" x14ac:dyDescent="0.3">
      <c r="B29" s="47" t="s">
        <v>29</v>
      </c>
      <c r="C29" s="48"/>
      <c r="D29" s="49"/>
      <c r="E29" s="40">
        <f>E28/1.13</f>
        <v>693265.48672566377</v>
      </c>
      <c r="F29" s="41">
        <f>E29/$F$3</f>
        <v>100473.25894574837</v>
      </c>
      <c r="G29" s="42"/>
    </row>
  </sheetData>
  <mergeCells count="15">
    <mergeCell ref="B29:D29"/>
    <mergeCell ref="G6:G8"/>
    <mergeCell ref="G19:G20"/>
    <mergeCell ref="C11:C15"/>
    <mergeCell ref="C17:C21"/>
    <mergeCell ref="B23:D23"/>
    <mergeCell ref="B24:D24"/>
    <mergeCell ref="B25:D25"/>
    <mergeCell ref="B28:D28"/>
    <mergeCell ref="E4:F4"/>
    <mergeCell ref="G4:G5"/>
    <mergeCell ref="B4:B5"/>
    <mergeCell ref="D4:D5"/>
    <mergeCell ref="C4:C5"/>
    <mergeCell ref="C6:C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方勇泽</dc:creator>
  <cp:lastModifiedBy>勇泽 方</cp:lastModifiedBy>
  <dcterms:created xsi:type="dcterms:W3CDTF">2015-06-05T18:19:34Z</dcterms:created>
  <dcterms:modified xsi:type="dcterms:W3CDTF">2026-04-21T14:04:29Z</dcterms:modified>
</cp:coreProperties>
</file>