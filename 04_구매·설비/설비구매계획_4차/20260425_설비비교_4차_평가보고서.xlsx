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TOP\Documents\04_구매·설비\설비구매계획_4차\"/>
    </mc:Choice>
  </mc:AlternateContent>
  <xr:revisionPtr revIDLastSave="0" documentId="13_ncr:1_{8B41AC3D-A0EB-4CF3-8386-03B192C5050A}" xr6:coauthVersionLast="47" xr6:coauthVersionMax="47" xr10:uidLastSave="{00000000-0000-0000-0000-000000000000}"/>
  <bookViews>
    <workbookView xWindow="-120" yWindow="-120" windowWidth="29040" windowHeight="15720" tabRatio="679" firstSheet="1" activeTab="8" xr2:uid="{00000000-000D-0000-FFFF-FFFF00000000}"/>
  </bookViews>
  <sheets>
    <sheet name="00_요약" sheetId="1" r:id="rId1"/>
    <sheet name="01_평가방법론" sheetId="2" r:id="rId2"/>
    <sheet name="02_평가매트릭스" sheetId="3" r:id="rId3"/>
    <sheet name="03_사양비교" sheetId="4" r:id="rId4"/>
    <sheet name="04_가격분석" sheetId="5" r:id="rId5"/>
    <sheet name="05_TCO_5년" sheetId="6" r:id="rId6"/>
    <sheet name="06_상업조건" sheetId="7" r:id="rId7"/>
    <sheet name="07_리스크" sheetId="8" r:id="rId8"/>
    <sheet name="08_권고사항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3" i="8" l="1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20" i="6"/>
  <c r="E20" i="6"/>
  <c r="D20" i="6"/>
  <c r="C20" i="6"/>
  <c r="F16" i="6"/>
  <c r="F18" i="6" s="1"/>
  <c r="F19" i="6" s="1"/>
  <c r="F21" i="6" s="1"/>
  <c r="E16" i="6"/>
  <c r="E18" i="6" s="1"/>
  <c r="E19" i="6" s="1"/>
  <c r="E21" i="6" s="1"/>
  <c r="D16" i="6"/>
  <c r="D18" i="6" s="1"/>
  <c r="D19" i="6" s="1"/>
  <c r="C16" i="6"/>
  <c r="C18" i="6" s="1"/>
  <c r="C19" i="6" s="1"/>
  <c r="F15" i="6"/>
  <c r="E15" i="6"/>
  <c r="D15" i="6"/>
  <c r="C15" i="6"/>
  <c r="F12" i="6"/>
  <c r="E12" i="6"/>
  <c r="D12" i="6"/>
  <c r="C12" i="6"/>
  <c r="F9" i="6"/>
  <c r="E9" i="6"/>
  <c r="D9" i="6"/>
  <c r="C9" i="6"/>
  <c r="F15" i="5"/>
  <c r="E15" i="5"/>
  <c r="D15" i="5"/>
  <c r="C15" i="5"/>
  <c r="F14" i="5"/>
  <c r="E14" i="5"/>
  <c r="D14" i="5"/>
  <c r="C14" i="5"/>
  <c r="F13" i="5"/>
  <c r="E13" i="5"/>
  <c r="D13" i="5"/>
  <c r="C13" i="5"/>
  <c r="F12" i="5"/>
  <c r="E12" i="5"/>
  <c r="D12" i="5"/>
  <c r="C12" i="5"/>
  <c r="E26" i="3"/>
  <c r="F25" i="3"/>
  <c r="F26" i="3" s="1"/>
  <c r="E25" i="3"/>
  <c r="D25" i="3"/>
  <c r="D21" i="1" s="1"/>
  <c r="C25" i="3"/>
  <c r="C26" i="3" s="1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F17" i="3"/>
  <c r="E17" i="3"/>
  <c r="D17" i="3"/>
  <c r="C17" i="3"/>
  <c r="G14" i="3"/>
  <c r="C14" i="2"/>
  <c r="E21" i="1"/>
  <c r="F13" i="1"/>
  <c r="E13" i="1"/>
  <c r="D13" i="1"/>
  <c r="C13" i="1"/>
  <c r="C21" i="6" l="1"/>
  <c r="E22" i="6"/>
  <c r="E23" i="6"/>
  <c r="F23" i="6"/>
  <c r="F22" i="6"/>
  <c r="D21" i="6"/>
  <c r="D26" i="3"/>
  <c r="C21" i="1"/>
  <c r="C22" i="1" s="1"/>
  <c r="F21" i="1"/>
  <c r="F22" i="1" l="1"/>
  <c r="D23" i="6"/>
  <c r="D22" i="6"/>
  <c r="D22" i="1"/>
  <c r="C23" i="6"/>
  <c r="C22" i="6"/>
  <c r="E22" i="1"/>
</calcChain>
</file>

<file path=xl/sharedStrings.xml><?xml version="1.0" encoding="utf-8"?>
<sst xmlns="http://schemas.openxmlformats.org/spreadsheetml/2006/main" count="702" uniqueCount="508">
  <si>
    <t>고속가공기 견적 비교 평가 보고서</t>
  </si>
  <si>
    <r>
      <rPr>
        <i/>
        <sz val="12"/>
        <color rgb="FF555555"/>
        <rFont val="맑은 고딕"/>
        <family val="3"/>
        <charset val="129"/>
      </rPr>
      <t xml:space="preserve">M&amp;C Electronics VINA — </t>
    </r>
    <r>
      <rPr>
        <i/>
        <sz val="12"/>
        <color rgb="FF555555"/>
        <rFont val="DejaVu Sans"/>
        <family val="2"/>
      </rPr>
      <t xml:space="preserve">설비구매계획 </t>
    </r>
    <r>
      <rPr>
        <i/>
        <sz val="12"/>
        <color rgb="FF555555"/>
        <rFont val="맑은 고딕"/>
        <family val="3"/>
        <charset val="129"/>
      </rPr>
      <t>4</t>
    </r>
    <r>
      <rPr>
        <i/>
        <sz val="12"/>
        <color rgb="FF555555"/>
        <rFont val="DejaVu Sans"/>
        <family val="2"/>
      </rPr>
      <t xml:space="preserve">차 </t>
    </r>
    <r>
      <rPr>
        <i/>
        <sz val="12"/>
        <color rgb="FF555555"/>
        <rFont val="맑은 고딕"/>
        <family val="3"/>
        <charset val="129"/>
      </rPr>
      <t>(2026.04)</t>
    </r>
  </si>
  <si>
    <r>
      <rPr>
        <sz val="11"/>
        <color rgb="FF555555"/>
        <rFont val="DejaVu Sans"/>
        <family val="2"/>
      </rPr>
      <t>대상</t>
    </r>
    <r>
      <rPr>
        <sz val="11"/>
        <color rgb="FF555555"/>
        <rFont val="맑은 고딕"/>
        <family val="3"/>
        <charset val="129"/>
      </rPr>
      <t>: Roeders RXP500 / RXP400, Makino V33i, Komatech KT420A</t>
    </r>
  </si>
  <si>
    <r>
      <rPr>
        <sz val="10"/>
        <color rgb="FF888888"/>
        <rFont val="DejaVu Sans"/>
        <family val="2"/>
      </rPr>
      <t>작성일</t>
    </r>
    <r>
      <rPr>
        <sz val="10"/>
        <color rgb="FF888888"/>
        <rFont val="맑은 고딕"/>
        <family val="3"/>
        <charset val="129"/>
      </rPr>
      <t xml:space="preserve">: 2026-04-25  |  </t>
    </r>
    <r>
      <rPr>
        <sz val="10"/>
        <color rgb="FF888888"/>
        <rFont val="DejaVu Sans"/>
        <family val="2"/>
      </rPr>
      <t>통화기준</t>
    </r>
    <r>
      <rPr>
        <sz val="10"/>
        <color rgb="FF888888"/>
        <rFont val="맑은 고딕"/>
        <family val="3"/>
        <charset val="129"/>
      </rPr>
      <t>: USD (</t>
    </r>
    <r>
      <rPr>
        <sz val="10"/>
        <color rgb="FF888888"/>
        <rFont val="DejaVu Sans"/>
        <family val="2"/>
      </rPr>
      <t xml:space="preserve">환율 </t>
    </r>
    <r>
      <rPr>
        <sz val="10"/>
        <color rgb="FF888888"/>
        <rFont val="맑은 고딕"/>
        <family val="3"/>
        <charset val="129"/>
      </rPr>
      <t>EUR1.08 / JPY150 / KRW1440)</t>
    </r>
  </si>
  <si>
    <t>⚠ 객관성 확보를 위한 핵심 사전 인지사항</t>
  </si>
  <si>
    <r>
      <rPr>
        <sz val="11"/>
        <color rgb="FF000000"/>
        <rFont val="맑은 고딕"/>
        <family val="3"/>
        <charset val="129"/>
      </rPr>
      <t>Komatech KT420A</t>
    </r>
    <r>
      <rPr>
        <sz val="11"/>
        <color rgb="FF000000"/>
        <rFont val="DejaVu Sans"/>
        <family val="2"/>
      </rPr>
      <t xml:space="preserve">는 </t>
    </r>
    <r>
      <rPr>
        <sz val="11"/>
        <color rgb="FF000000"/>
        <rFont val="맑은 고딕"/>
        <family val="3"/>
        <charset val="129"/>
      </rPr>
      <t xml:space="preserve">24,000rpm BT30 </t>
    </r>
    <r>
      <rPr>
        <sz val="11"/>
        <color rgb="FF000000"/>
        <rFont val="DejaVu Sans"/>
        <family val="2"/>
      </rPr>
      <t>탭핑센터 클래스이며</t>
    </r>
    <r>
      <rPr>
        <sz val="11"/>
        <color rgb="FF000000"/>
        <rFont val="맑은 고딕"/>
        <family val="3"/>
        <charset val="129"/>
      </rPr>
      <t>, Roeders(42K~50K rpm HSK)·Makino(20K rpm HSK-A63)</t>
    </r>
    <r>
      <rPr>
        <sz val="11"/>
        <color rgb="FF000000"/>
        <rFont val="DejaVu Sans"/>
        <family val="2"/>
      </rPr>
      <t>와는 정밀도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DejaVu Sans"/>
        <family val="2"/>
      </rPr>
      <t>용도 클래스가 다릅니다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DejaVu Sans"/>
        <family val="2"/>
      </rPr>
      <t>단순 가격 비교는 부적절하며</t>
    </r>
    <r>
      <rPr>
        <sz val="11"/>
        <color rgb="FF000000"/>
        <rFont val="맑은 고딕"/>
        <family val="3"/>
        <charset val="129"/>
      </rPr>
      <t>, "</t>
    </r>
    <r>
      <rPr>
        <sz val="11"/>
        <color rgb="FF000000"/>
        <rFont val="DejaVu Sans"/>
        <family val="2"/>
      </rPr>
      <t>가공 정밀도 요구 수준</t>
    </r>
    <r>
      <rPr>
        <sz val="11"/>
        <color rgb="FF000000"/>
        <rFont val="맑은 고딕"/>
        <family val="3"/>
        <charset val="129"/>
      </rPr>
      <t>"</t>
    </r>
    <r>
      <rPr>
        <sz val="11"/>
        <color rgb="FF000000"/>
        <rFont val="DejaVu Sans"/>
        <family val="2"/>
      </rPr>
      <t>을 먼저 정의한 후 동급군 내에서 비교해야 합니다</t>
    </r>
    <r>
      <rPr>
        <sz val="11"/>
        <color rgb="FF000000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</si>
  <si>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1. </t>
    </r>
    <r>
      <rPr>
        <b/>
        <sz val="12"/>
        <color rgb="FFFFFFFF"/>
        <rFont val="DejaVu Sans"/>
        <family val="2"/>
      </rPr>
      <t xml:space="preserve">가격 요약 </t>
    </r>
    <r>
      <rPr>
        <b/>
        <sz val="12"/>
        <color rgb="FFFFFFFF"/>
        <rFont val="맑은 고딕"/>
        <family val="3"/>
        <charset val="129"/>
      </rPr>
      <t>(1</t>
    </r>
    <r>
      <rPr>
        <b/>
        <sz val="12"/>
        <color rgb="FFFFFFFF"/>
        <rFont val="DejaVu Sans"/>
        <family val="2"/>
      </rPr>
      <t>대 기준</t>
    </r>
    <r>
      <rPr>
        <b/>
        <sz val="12"/>
        <color rgb="FFFFFFFF"/>
        <rFont val="맑은 고딕"/>
        <family val="3"/>
        <charset val="129"/>
      </rPr>
      <t xml:space="preserve">, USD </t>
    </r>
    <r>
      <rPr>
        <b/>
        <sz val="12"/>
        <color rgb="FFFFFFFF"/>
        <rFont val="DejaVu Sans"/>
        <family val="2"/>
      </rPr>
      <t>환산</t>
    </r>
    <r>
      <rPr>
        <b/>
        <sz val="12"/>
        <color rgb="FFFFFFFF"/>
        <rFont val="맑은 고딕"/>
        <family val="3"/>
        <charset val="129"/>
      </rPr>
      <t>)</t>
    </r>
  </si>
  <si>
    <t>항목</t>
  </si>
  <si>
    <t>Roeders RXP500</t>
  </si>
  <si>
    <t>Roeders RXP400</t>
  </si>
  <si>
    <t>Makino V33i</t>
  </si>
  <si>
    <t>Komatech KT420A</t>
  </si>
  <si>
    <t>비고</t>
  </si>
  <si>
    <r>
      <rPr>
        <b/>
        <sz val="10"/>
        <color rgb="FF000000"/>
        <rFont val="DejaVu Sans"/>
        <family val="2"/>
      </rPr>
      <t xml:space="preserve">견적가 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DejaVu Sans"/>
        <family val="2"/>
      </rPr>
      <t>원통화</t>
    </r>
    <r>
      <rPr>
        <b/>
        <sz val="10"/>
        <color rgb="FF000000"/>
        <rFont val="맑은 고딕"/>
        <family val="3"/>
        <charset val="129"/>
      </rPr>
      <t>)</t>
    </r>
  </si>
  <si>
    <t>EUR 249,255</t>
  </si>
  <si>
    <t>EUR 229,355</t>
  </si>
  <si>
    <t>JPY 34,498,418</t>
  </si>
  <si>
    <t>USD 59,500</t>
  </si>
  <si>
    <t>원견적 통화</t>
  </si>
  <si>
    <r>
      <rPr>
        <b/>
        <sz val="10"/>
        <color rgb="FF000000"/>
        <rFont val="맑은 고딕"/>
        <family val="3"/>
        <charset val="129"/>
      </rPr>
      <t xml:space="preserve">USD </t>
    </r>
    <r>
      <rPr>
        <b/>
        <sz val="10"/>
        <color rgb="FF000000"/>
        <rFont val="DejaVu Sans"/>
        <family val="2"/>
      </rPr>
      <t>환산</t>
    </r>
  </si>
  <si>
    <r>
      <rPr>
        <sz val="10"/>
        <color rgb="FF000000"/>
        <rFont val="DejaVu Sans"/>
        <family val="2"/>
      </rPr>
      <t xml:space="preserve">환율 적용 </t>
    </r>
    <r>
      <rPr>
        <sz val="10"/>
        <color rgb="FF000000"/>
        <rFont val="맑은 고딕"/>
        <family val="3"/>
        <charset val="129"/>
      </rPr>
      <t>(4</t>
    </r>
    <r>
      <rPr>
        <sz val="10"/>
        <color rgb="FF000000"/>
        <rFont val="DejaVu Sans"/>
        <family val="2"/>
      </rPr>
      <t xml:space="preserve">월 </t>
    </r>
    <r>
      <rPr>
        <sz val="10"/>
        <color rgb="FF000000"/>
        <rFont val="맑은 고딕"/>
        <family val="3"/>
        <charset val="129"/>
      </rPr>
      <t xml:space="preserve">2026 </t>
    </r>
    <r>
      <rPr>
        <sz val="10"/>
        <color rgb="FF000000"/>
        <rFont val="DejaVu Sans"/>
        <family val="2"/>
      </rPr>
      <t>가정</t>
    </r>
    <r>
      <rPr>
        <sz val="10"/>
        <color rgb="FF000000"/>
        <rFont val="맑은 고딕"/>
        <family val="3"/>
        <charset val="129"/>
      </rPr>
      <t>)</t>
    </r>
  </si>
  <si>
    <t>클래스</t>
  </si>
  <si>
    <r>
      <rPr>
        <sz val="10"/>
        <color rgb="FF000000"/>
        <rFont val="DejaVu Sans"/>
        <family val="2"/>
      </rPr>
      <t xml:space="preserve">고속가공기 </t>
    </r>
    <r>
      <rPr>
        <sz val="10"/>
        <color rgb="FF000000"/>
        <rFont val="맑은 고딕"/>
        <family val="3"/>
        <charset val="129"/>
      </rPr>
      <t>(HSK-E40)</t>
    </r>
  </si>
  <si>
    <r>
      <rPr>
        <sz val="10"/>
        <color rgb="FF000000"/>
        <rFont val="DejaVu Sans"/>
        <family val="2"/>
      </rPr>
      <t xml:space="preserve">초정밀 </t>
    </r>
    <r>
      <rPr>
        <sz val="10"/>
        <color rgb="FF000000"/>
        <rFont val="맑은 고딕"/>
        <family val="3"/>
        <charset val="129"/>
      </rPr>
      <t>(HSK-E32)</t>
    </r>
  </si>
  <si>
    <r>
      <rPr>
        <sz val="10"/>
        <color rgb="FF000000"/>
        <rFont val="DejaVu Sans"/>
        <family val="2"/>
      </rPr>
      <t xml:space="preserve">머시닝센터 </t>
    </r>
    <r>
      <rPr>
        <sz val="10"/>
        <color rgb="FF000000"/>
        <rFont val="맑은 고딕"/>
        <family val="3"/>
        <charset val="129"/>
      </rPr>
      <t>(HSK-F63, 30K)</t>
    </r>
  </si>
  <si>
    <r>
      <rPr>
        <sz val="10"/>
        <color rgb="FF000000"/>
        <rFont val="DejaVu Sans"/>
        <family val="2"/>
      </rPr>
      <t xml:space="preserve">탭핑센터 </t>
    </r>
    <r>
      <rPr>
        <sz val="10"/>
        <color rgb="FF000000"/>
        <rFont val="맑은 고딕"/>
        <family val="3"/>
        <charset val="129"/>
      </rPr>
      <t>(BT30)</t>
    </r>
  </si>
  <si>
    <r>
      <rPr>
        <sz val="10"/>
        <color rgb="FF000000"/>
        <rFont val="DejaVu Sans"/>
        <family val="2"/>
      </rPr>
      <t>용도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DejaVu Sans"/>
        <family val="2"/>
      </rPr>
      <t>정밀도 등급 차이</t>
    </r>
  </si>
  <si>
    <r>
      <rPr>
        <b/>
        <sz val="10"/>
        <color rgb="FF000000"/>
        <rFont val="DejaVu Sans"/>
        <family val="2"/>
      </rPr>
      <t xml:space="preserve">최대 스핀들 </t>
    </r>
    <r>
      <rPr>
        <b/>
        <sz val="10"/>
        <color rgb="FF000000"/>
        <rFont val="맑은 고딕"/>
        <family val="3"/>
        <charset val="129"/>
      </rPr>
      <t>RPM</t>
    </r>
  </si>
  <si>
    <r>
      <rPr>
        <sz val="10"/>
        <color rgb="FF000000"/>
        <rFont val="DejaVu Sans"/>
        <family val="2"/>
      </rPr>
      <t>높을수록 고속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정밀가공 유리</t>
    </r>
  </si>
  <si>
    <r>
      <rPr>
        <b/>
        <sz val="10"/>
        <color rgb="FF000000"/>
        <rFont val="DejaVu Sans"/>
        <family val="2"/>
      </rPr>
      <t xml:space="preserve">납기 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DejaVu Sans"/>
        <family val="2"/>
      </rPr>
      <t>개월</t>
    </r>
    <r>
      <rPr>
        <b/>
        <sz val="10"/>
        <color rgb="FF000000"/>
        <rFont val="맑은 고딕"/>
        <family val="3"/>
        <charset val="129"/>
      </rPr>
      <t>)</t>
    </r>
  </si>
  <si>
    <t>짧을수록 유리</t>
  </si>
  <si>
    <r>
      <rPr>
        <b/>
        <sz val="10"/>
        <color rgb="FF000000"/>
        <rFont val="DejaVu Sans"/>
        <family val="2"/>
      </rPr>
      <t xml:space="preserve">보증 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DejaVu Sans"/>
        <family val="2"/>
      </rPr>
      <t>개월</t>
    </r>
    <r>
      <rPr>
        <b/>
        <sz val="10"/>
        <color rgb="FF000000"/>
        <rFont val="맑은 고딕"/>
        <family val="3"/>
        <charset val="129"/>
      </rPr>
      <t xml:space="preserve">, </t>
    </r>
    <r>
      <rPr>
        <b/>
        <sz val="10"/>
        <color rgb="FF000000"/>
        <rFont val="DejaVu Sans"/>
        <family val="2"/>
      </rPr>
      <t>기계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</si>
  <si>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12 (</t>
    </r>
    <r>
      <rPr>
        <sz val="10"/>
        <color rgb="FF000000"/>
        <rFont val="DejaVu Sans"/>
        <family val="2"/>
      </rPr>
      <t xml:space="preserve">리니어 </t>
    </r>
    <r>
      <rPr>
        <sz val="10"/>
        <color rgb="FF000000"/>
        <rFont val="맑은 고딕"/>
        <family val="3"/>
        <charset val="129"/>
      </rPr>
      <t>60)</t>
    </r>
  </si>
  <si>
    <t>12 (FANUC 24)</t>
  </si>
  <si>
    <t>길수록 유리</t>
  </si>
  <si>
    <r>
      <rPr>
        <b/>
        <sz val="12"/>
        <color rgb="FFFFFFFF"/>
        <rFont val="맑은 고딕"/>
        <family val="3"/>
        <charset val="129"/>
      </rPr>
      <t xml:space="preserve">2. </t>
    </r>
    <r>
      <rPr>
        <b/>
        <sz val="12"/>
        <color rgb="FFFFFFFF"/>
        <rFont val="DejaVu Sans"/>
        <family val="2"/>
      </rPr>
      <t xml:space="preserve">종합 평가 점수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>가중치 적용</t>
    </r>
    <r>
      <rPr>
        <b/>
        <sz val="12"/>
        <color rgb="FFFFFFFF"/>
        <rFont val="맑은 고딕"/>
        <family val="3"/>
        <charset val="129"/>
      </rPr>
      <t>, 100</t>
    </r>
    <r>
      <rPr>
        <b/>
        <sz val="12"/>
        <color rgb="FFFFFFFF"/>
        <rFont val="DejaVu Sans"/>
        <family val="2"/>
      </rPr>
      <t>점 만점</t>
    </r>
    <r>
      <rPr>
        <b/>
        <sz val="12"/>
        <color rgb="FFFFFFFF"/>
        <rFont val="맑은 고딕"/>
        <family val="3"/>
        <charset val="129"/>
      </rPr>
      <t>)</t>
    </r>
  </si>
  <si>
    <t>RXP500</t>
  </si>
  <si>
    <t>RXP400</t>
  </si>
  <si>
    <t>V33i</t>
  </si>
  <si>
    <t>KT420A</t>
  </si>
  <si>
    <t>평가 의견</t>
  </si>
  <si>
    <t>종합 점수</t>
  </si>
  <si>
    <t>평가매트릭스 시트 자동참조</t>
  </si>
  <si>
    <t>순위</t>
  </si>
  <si>
    <r>
      <rPr>
        <sz val="10"/>
        <color rgb="FF000000"/>
        <rFont val="DejaVu Sans"/>
        <family val="2"/>
      </rPr>
      <t xml:space="preserve">점수가 높을수록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위</t>
    </r>
  </si>
  <si>
    <r>
      <rPr>
        <b/>
        <sz val="12"/>
        <color rgb="FFFFFFFF"/>
        <rFont val="맑은 고딕"/>
        <family val="3"/>
        <charset val="129"/>
      </rPr>
      <t xml:space="preserve">3. </t>
    </r>
    <r>
      <rPr>
        <b/>
        <sz val="12"/>
        <color rgb="FFFFFFFF"/>
        <rFont val="DejaVu Sans"/>
        <family val="2"/>
      </rPr>
      <t xml:space="preserve">권장 의사결정 가이드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>객관적 분류</t>
    </r>
    <r>
      <rPr>
        <b/>
        <sz val="12"/>
        <color rgb="FFFFFFFF"/>
        <rFont val="맑은 고딕"/>
        <family val="3"/>
        <charset val="129"/>
      </rPr>
      <t>)</t>
    </r>
  </si>
  <si>
    <r>
      <rPr>
        <b/>
        <sz val="10"/>
        <color rgb="FF000000"/>
        <rFont val="DejaVu Sans"/>
        <family val="2"/>
      </rPr>
      <t xml:space="preserve">초정밀 가공 </t>
    </r>
    <r>
      <rPr>
        <b/>
        <sz val="10"/>
        <color rgb="FF000000"/>
        <rFont val="맑은 고딕"/>
        <family val="3"/>
        <charset val="129"/>
      </rPr>
      <t xml:space="preserve">(≤±2μm) </t>
    </r>
    <r>
      <rPr>
        <b/>
        <sz val="10"/>
        <color rgb="FF000000"/>
        <rFont val="DejaVu Sans"/>
        <family val="2"/>
      </rPr>
      <t>필요</t>
    </r>
  </si>
  <si>
    <r>
      <rPr>
        <b/>
        <sz val="10"/>
        <color rgb="FF1E2761"/>
        <rFont val="맑은 고딕"/>
        <family val="3"/>
        <charset val="129"/>
      </rPr>
      <t xml:space="preserve">Roeders RXP400 (50,000 RPM, </t>
    </r>
    <r>
      <rPr>
        <b/>
        <sz val="10"/>
        <color rgb="FF1E2761"/>
        <rFont val="DejaVu Sans"/>
        <family val="2"/>
      </rPr>
      <t>초정밀 클래스</t>
    </r>
    <r>
      <rPr>
        <b/>
        <sz val="10"/>
        <color rgb="FF1E2761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</si>
  <si>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독일 정밀도 </t>
    </r>
    <r>
      <rPr>
        <sz val="10"/>
        <color rgb="FF000000"/>
        <rFont val="맑은 고딕"/>
        <family val="3"/>
        <charset val="129"/>
      </rPr>
      <t>+ 5</t>
    </r>
    <r>
      <rPr>
        <sz val="10"/>
        <color rgb="FF000000"/>
        <rFont val="DejaVu Sans"/>
        <family val="2"/>
      </rPr>
      <t>년 리니어모터 보증</t>
    </r>
  </si>
  <si>
    <r>
      <rPr>
        <b/>
        <sz val="10"/>
        <color rgb="FF000000"/>
        <rFont val="DejaVu Sans"/>
        <family val="2"/>
      </rPr>
      <t>정밀</t>
    </r>
    <r>
      <rPr>
        <b/>
        <sz val="10"/>
        <color rgb="FF000000"/>
        <rFont val="맑은 고딕"/>
        <family val="3"/>
        <charset val="129"/>
      </rPr>
      <t>+</t>
    </r>
    <r>
      <rPr>
        <b/>
        <sz val="10"/>
        <color rgb="FF000000"/>
        <rFont val="DejaVu Sans"/>
        <family val="2"/>
      </rPr>
      <t xml:space="preserve">양산 균형 </t>
    </r>
    <r>
      <rPr>
        <b/>
        <sz val="10"/>
        <color rgb="FF000000"/>
        <rFont val="맑은 고딕"/>
        <family val="3"/>
        <charset val="129"/>
      </rPr>
      <t>(1</t>
    </r>
    <r>
      <rPr>
        <b/>
        <sz val="10"/>
        <color rgb="FF000000"/>
        <rFont val="DejaVu Sans"/>
        <family val="2"/>
      </rPr>
      <t>순위</t>
    </r>
    <r>
      <rPr>
        <b/>
        <sz val="10"/>
        <color rgb="FF000000"/>
        <rFont val="맑은 고딕"/>
        <family val="3"/>
        <charset val="129"/>
      </rPr>
      <t>)</t>
    </r>
  </si>
  <si>
    <r>
      <rPr>
        <b/>
        <sz val="10"/>
        <color rgb="FF1E2761"/>
        <rFont val="맑은 고딕"/>
        <family val="3"/>
        <charset val="129"/>
      </rPr>
      <t xml:space="preserve">Makino V33i (30K rpm + 60ATC </t>
    </r>
    <r>
      <rPr>
        <b/>
        <sz val="10"/>
        <color rgb="FF1E2761"/>
        <rFont val="DejaVu Sans"/>
        <family val="2"/>
      </rPr>
      <t>업그레이드</t>
    </r>
    <r>
      <rPr>
        <b/>
        <sz val="10"/>
        <color rgb="FF1E2761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</si>
  <si>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DAP Bac Ninh </t>
    </r>
    <r>
      <rPr>
        <sz val="10"/>
        <color rgb="FF000000"/>
        <rFont val="DejaVu Sans"/>
        <family val="2"/>
      </rPr>
      <t>통관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운송 책임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검증된 안정성</t>
    </r>
  </si>
  <si>
    <r>
      <rPr>
        <b/>
        <sz val="10"/>
        <color rgb="FF000000"/>
        <rFont val="DejaVu Sans"/>
        <family val="2"/>
      </rPr>
      <t xml:space="preserve">중대형 정밀가공 </t>
    </r>
    <r>
      <rPr>
        <b/>
        <sz val="10"/>
        <color rgb="FF000000"/>
        <rFont val="맑은 고딕"/>
        <family val="3"/>
        <charset val="129"/>
      </rPr>
      <t>(≤±5μm)</t>
    </r>
  </si>
  <si>
    <r>
      <rPr>
        <b/>
        <sz val="10"/>
        <color rgb="FF1E2761"/>
        <rFont val="맑은 고딕"/>
        <family val="3"/>
        <charset val="129"/>
      </rPr>
      <t xml:space="preserve">Roeders RXP500 (42,000 RPM, 400kg </t>
    </r>
    <r>
      <rPr>
        <b/>
        <sz val="10"/>
        <color rgb="FF1E2761"/>
        <rFont val="DejaVu Sans"/>
        <family val="2"/>
      </rPr>
      <t>워크피스</t>
    </r>
    <r>
      <rPr>
        <b/>
        <sz val="10"/>
        <color rgb="FF1E2761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</si>
  <si>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큰 작업영역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DejaVu Sans"/>
        <family val="2"/>
      </rPr>
      <t>정밀도 균형</t>
    </r>
  </si>
  <si>
    <r>
      <rPr>
        <b/>
        <sz val="10"/>
        <color rgb="FF000000"/>
        <rFont val="DejaVu Sans"/>
        <family val="2"/>
      </rPr>
      <t>단순 탭핑</t>
    </r>
    <r>
      <rPr>
        <b/>
        <sz val="10"/>
        <color rgb="FF000000"/>
        <rFont val="맑은 고딕"/>
        <family val="3"/>
        <charset val="129"/>
      </rPr>
      <t>/</t>
    </r>
    <r>
      <rPr>
        <b/>
        <sz val="10"/>
        <color rgb="FF000000"/>
        <rFont val="DejaVu Sans"/>
        <family val="2"/>
      </rPr>
      <t xml:space="preserve">홀가공 양산 </t>
    </r>
    <r>
      <rPr>
        <b/>
        <sz val="10"/>
        <color rgb="FF000000"/>
        <rFont val="맑은 고딕"/>
        <family val="3"/>
        <charset val="129"/>
      </rPr>
      <t>(4</t>
    </r>
    <r>
      <rPr>
        <b/>
        <sz val="10"/>
        <color rgb="FF000000"/>
        <rFont val="DejaVu Sans"/>
        <family val="2"/>
      </rPr>
      <t>대 동시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</si>
  <si>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>저가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단납기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단 클래스가 다름</t>
    </r>
  </si>
  <si>
    <r>
      <rPr>
        <i/>
        <sz val="9"/>
        <color rgb="FF666666"/>
        <rFont val="DejaVu Sans"/>
        <family val="2"/>
      </rPr>
      <t>주</t>
    </r>
    <r>
      <rPr>
        <i/>
        <sz val="9"/>
        <color rgb="FF666666"/>
        <rFont val="맑은 고딕"/>
        <family val="3"/>
        <charset val="129"/>
      </rPr>
      <t xml:space="preserve">: </t>
    </r>
    <r>
      <rPr>
        <i/>
        <sz val="9"/>
        <color rgb="FF666666"/>
        <rFont val="DejaVu Sans"/>
        <family val="2"/>
      </rPr>
      <t xml:space="preserve">본 평가는 표준 가중치 </t>
    </r>
    <r>
      <rPr>
        <i/>
        <sz val="9"/>
        <color rgb="FF666666"/>
        <rFont val="맑은 고딕"/>
        <family val="3"/>
        <charset val="129"/>
      </rPr>
      <t>(</t>
    </r>
    <r>
      <rPr>
        <i/>
        <sz val="9"/>
        <color rgb="FF666666"/>
        <rFont val="DejaVu Sans"/>
        <family val="2"/>
      </rPr>
      <t>가격</t>
    </r>
    <r>
      <rPr>
        <i/>
        <sz val="9"/>
        <color rgb="FF666666"/>
        <rFont val="맑은 고딕"/>
        <family val="3"/>
        <charset val="129"/>
      </rPr>
      <t>25/</t>
    </r>
    <r>
      <rPr>
        <i/>
        <sz val="9"/>
        <color rgb="FF666666"/>
        <rFont val="DejaVu Sans"/>
        <family val="2"/>
      </rPr>
      <t>사양</t>
    </r>
    <r>
      <rPr>
        <i/>
        <sz val="9"/>
        <color rgb="FF666666"/>
        <rFont val="맑은 고딕"/>
        <family val="3"/>
        <charset val="129"/>
      </rPr>
      <t>25/</t>
    </r>
    <r>
      <rPr>
        <i/>
        <sz val="9"/>
        <color rgb="FF666666"/>
        <rFont val="DejaVu Sans"/>
        <family val="2"/>
      </rPr>
      <t>성능</t>
    </r>
    <r>
      <rPr>
        <i/>
        <sz val="9"/>
        <color rgb="FF666666"/>
        <rFont val="맑은 고딕"/>
        <family val="3"/>
        <charset val="129"/>
      </rPr>
      <t>15/</t>
    </r>
    <r>
      <rPr>
        <i/>
        <sz val="9"/>
        <color rgb="FF666666"/>
        <rFont val="DejaVu Sans"/>
        <family val="2"/>
      </rPr>
      <t>납기</t>
    </r>
    <r>
      <rPr>
        <i/>
        <sz val="9"/>
        <color rgb="FF666666"/>
        <rFont val="맑은 고딕"/>
        <family val="3"/>
        <charset val="129"/>
      </rPr>
      <t>10/AS10/TCO10/</t>
    </r>
    <r>
      <rPr>
        <i/>
        <sz val="9"/>
        <color rgb="FF666666"/>
        <rFont val="DejaVu Sans"/>
        <family val="2"/>
      </rPr>
      <t>레퍼런스</t>
    </r>
    <r>
      <rPr>
        <i/>
        <sz val="9"/>
        <color rgb="FF666666"/>
        <rFont val="맑은 고딕"/>
        <family val="3"/>
        <charset val="129"/>
      </rPr>
      <t>5)</t>
    </r>
    <r>
      <rPr>
        <i/>
        <sz val="9"/>
        <color rgb="FF666666"/>
        <rFont val="DejaVu Sans"/>
        <family val="2"/>
      </rPr>
      <t>를 적용한 결과입니다</t>
    </r>
    <r>
      <rPr>
        <i/>
        <sz val="9"/>
        <color rgb="FF666666"/>
        <rFont val="맑은 고딕"/>
        <family val="3"/>
        <charset val="129"/>
      </rPr>
      <t xml:space="preserve">. </t>
    </r>
    <r>
      <rPr>
        <i/>
        <sz val="9"/>
        <color rgb="FF666666"/>
        <rFont val="DejaVu Sans"/>
        <family val="2"/>
      </rPr>
      <t>평가매트릭스 시트에서 가중치 변경 시 모든 점수가 자동 재계산됩니다</t>
    </r>
    <r>
      <rPr>
        <i/>
        <sz val="9"/>
        <color rgb="FF666666"/>
        <rFont val="맑은 고딕"/>
        <family val="3"/>
        <charset val="129"/>
      </rPr>
      <t>.</t>
    </r>
  </si>
  <si>
    <t>평가 방법론 및 가중치</t>
  </si>
  <si>
    <r>
      <rPr>
        <i/>
        <sz val="12"/>
        <color rgb="FF555555"/>
        <rFont val="DejaVu Sans"/>
        <family val="2"/>
      </rPr>
      <t xml:space="preserve">본 평가는 </t>
    </r>
    <r>
      <rPr>
        <i/>
        <sz val="12"/>
        <color rgb="FF555555"/>
        <rFont val="맑은 고딕"/>
        <family val="3"/>
        <charset val="129"/>
      </rPr>
      <t xml:space="preserve">TCO </t>
    </r>
    <r>
      <rPr>
        <i/>
        <sz val="12"/>
        <color rgb="FF555555"/>
        <rFont val="DejaVu Sans"/>
        <family val="2"/>
      </rPr>
      <t>관점의 다항목 가중치 평가법</t>
    </r>
    <r>
      <rPr>
        <i/>
        <sz val="12"/>
        <color rgb="FF555555"/>
        <rFont val="맑은 고딕"/>
        <family val="3"/>
        <charset val="129"/>
      </rPr>
      <t>(Weighted Scoring Method)</t>
    </r>
    <r>
      <rPr>
        <i/>
        <sz val="12"/>
        <color rgb="FF555555"/>
        <rFont val="DejaVu Sans"/>
        <family val="2"/>
      </rPr>
      <t>을 적용합니다</t>
    </r>
    <r>
      <rPr>
        <i/>
        <sz val="12"/>
        <color rgb="FF555555"/>
        <rFont val="맑은 고딕"/>
        <family val="3"/>
        <charset val="129"/>
      </rPr>
      <t>.</t>
    </r>
  </si>
  <si>
    <r>
      <rPr>
        <b/>
        <sz val="12"/>
        <color rgb="FFFFFFFF"/>
        <rFont val="DejaVu Sans"/>
        <family val="2"/>
      </rPr>
      <t xml:space="preserve">평가 카테고리 및 가중치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 xml:space="preserve">총합 </t>
    </r>
    <r>
      <rPr>
        <b/>
        <sz val="12"/>
        <color rgb="FFFFFFFF"/>
        <rFont val="맑은 고딕"/>
        <family val="3"/>
        <charset val="129"/>
      </rPr>
      <t>100%)</t>
    </r>
  </si>
  <si>
    <t>평가 카테고리</t>
  </si>
  <si>
    <r>
      <rPr>
        <b/>
        <sz val="11"/>
        <color rgb="FFFFFFFF"/>
        <rFont val="DejaVu Sans"/>
        <family val="2"/>
      </rPr>
      <t>가중치</t>
    </r>
    <r>
      <rPr>
        <b/>
        <sz val="11"/>
        <color rgb="FFFFFFFF"/>
        <rFont val="맑은 고딕"/>
        <family val="3"/>
        <charset val="129"/>
      </rPr>
      <t>(%)</t>
    </r>
  </si>
  <si>
    <t>세부 평가 항목</t>
  </si>
  <si>
    <t>평가 방식</t>
  </si>
  <si>
    <t>점수 산정</t>
  </si>
  <si>
    <t>데이터 출처</t>
  </si>
  <si>
    <r>
      <rPr>
        <sz val="10"/>
        <color rgb="FF000000"/>
        <rFont val="DejaVu Sans"/>
        <family val="2"/>
      </rPr>
      <t>가격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비용</t>
    </r>
  </si>
  <si>
    <r>
      <rPr>
        <sz val="10"/>
        <color rgb="FF000000"/>
        <rFont val="DejaVu Sans"/>
        <family val="2"/>
      </rPr>
      <t>본체가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옵션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운송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설치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환율</t>
    </r>
  </si>
  <si>
    <t>정량</t>
  </si>
  <si>
    <r>
      <rPr>
        <sz val="10"/>
        <color rgb="FF000000"/>
        <rFont val="DejaVu Sans"/>
        <family val="2"/>
      </rPr>
      <t>최저가</t>
    </r>
    <r>
      <rPr>
        <sz val="10"/>
        <color rgb="FF000000"/>
        <rFont val="맑은 고딕"/>
        <family val="3"/>
        <charset val="129"/>
      </rPr>
      <t xml:space="preserve">=100, </t>
    </r>
    <r>
      <rPr>
        <sz val="10"/>
        <color rgb="FF000000"/>
        <rFont val="DejaVu Sans"/>
        <family val="2"/>
      </rPr>
      <t>비례환산</t>
    </r>
  </si>
  <si>
    <t>견적서</t>
  </si>
  <si>
    <t>기술 사양</t>
  </si>
  <si>
    <r>
      <rPr>
        <sz val="10"/>
        <color rgb="FF000000"/>
        <rFont val="DejaVu Sans"/>
        <family val="2"/>
      </rPr>
      <t xml:space="preserve">스핀들 </t>
    </r>
    <r>
      <rPr>
        <sz val="10"/>
        <color rgb="FF000000"/>
        <rFont val="맑은 고딕"/>
        <family val="3"/>
        <charset val="129"/>
      </rPr>
      <t>RPM·</t>
    </r>
    <r>
      <rPr>
        <sz val="10"/>
        <color rgb="FF000000"/>
        <rFont val="DejaVu Sans"/>
        <family val="2"/>
      </rPr>
      <t>토크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정밀도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작업영역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축구성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제어기</t>
    </r>
  </si>
  <si>
    <r>
      <rPr>
        <sz val="10"/>
        <color rgb="FF000000"/>
        <rFont val="DejaVu Sans"/>
        <family val="2"/>
      </rPr>
      <t>최고사양</t>
    </r>
    <r>
      <rPr>
        <sz val="10"/>
        <color rgb="FF000000"/>
        <rFont val="맑은 고딕"/>
        <family val="3"/>
        <charset val="129"/>
      </rPr>
      <t xml:space="preserve">=100, </t>
    </r>
    <r>
      <rPr>
        <sz val="10"/>
        <color rgb="FF000000"/>
        <rFont val="DejaVu Sans"/>
        <family val="2"/>
      </rPr>
      <t>비례환산</t>
    </r>
  </si>
  <si>
    <t>가공 성능</t>
  </si>
  <si>
    <r>
      <rPr>
        <sz val="10"/>
        <color rgb="FF000000"/>
        <rFont val="DejaVu Sans"/>
        <family val="2"/>
      </rPr>
      <t>가공속도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표면조도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소재 적합성</t>
    </r>
  </si>
  <si>
    <r>
      <rPr>
        <sz val="10"/>
        <color rgb="FF000000"/>
        <rFont val="DejaVu Sans"/>
        <family val="2"/>
      </rPr>
      <t>정성</t>
    </r>
    <r>
      <rPr>
        <sz val="10"/>
        <color rgb="FF000000"/>
        <rFont val="맑은 고딕"/>
        <family val="3"/>
        <charset val="129"/>
      </rPr>
      <t>+</t>
    </r>
    <r>
      <rPr>
        <sz val="10"/>
        <color rgb="FF000000"/>
        <rFont val="DejaVu Sans"/>
        <family val="2"/>
      </rPr>
      <t>데모</t>
    </r>
  </si>
  <si>
    <t>평가위원 합의점수</t>
  </si>
  <si>
    <r>
      <rPr>
        <sz val="10"/>
        <color rgb="FF000000"/>
        <rFont val="DejaVu Sans"/>
        <family val="2"/>
      </rPr>
      <t>데모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DejaVu Sans"/>
        <family val="2"/>
      </rPr>
      <t>카탈로그</t>
    </r>
  </si>
  <si>
    <r>
      <rPr>
        <sz val="10"/>
        <color rgb="FF000000"/>
        <rFont val="DejaVu Sans"/>
        <family val="2"/>
      </rPr>
      <t>납기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공급</t>
    </r>
  </si>
  <si>
    <r>
      <rPr>
        <sz val="10"/>
        <color rgb="FF000000"/>
        <rFont val="DejaVu Sans"/>
        <family val="2"/>
      </rPr>
      <t>납기 개월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설치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시운전 기간</t>
    </r>
  </si>
  <si>
    <r>
      <rPr>
        <sz val="10"/>
        <color rgb="FF000000"/>
        <rFont val="DejaVu Sans"/>
        <family val="2"/>
      </rPr>
      <t>최단</t>
    </r>
    <r>
      <rPr>
        <sz val="10"/>
        <color rgb="FF000000"/>
        <rFont val="맑은 고딕"/>
        <family val="3"/>
        <charset val="129"/>
      </rPr>
      <t xml:space="preserve">=100, </t>
    </r>
    <r>
      <rPr>
        <sz val="10"/>
        <color rgb="FF000000"/>
        <rFont val="DejaVu Sans"/>
        <family val="2"/>
      </rPr>
      <t>역비례</t>
    </r>
  </si>
  <si>
    <r>
      <rPr>
        <sz val="10"/>
        <color rgb="FF000000"/>
        <rFont val="맑은 고딕"/>
        <family val="3"/>
        <charset val="129"/>
      </rPr>
      <t>A/S·</t>
    </r>
    <r>
      <rPr>
        <sz val="10"/>
        <color rgb="FF000000"/>
        <rFont val="DejaVu Sans"/>
        <family val="2"/>
      </rPr>
      <t>유지보수</t>
    </r>
  </si>
  <si>
    <r>
      <rPr>
        <sz val="10"/>
        <color rgb="FF000000"/>
        <rFont val="DejaVu Sans"/>
        <family val="2"/>
      </rPr>
      <t>보증기간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국내 엔지니어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부품수급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DejaVu Sans"/>
        <family val="2"/>
      </rPr>
      <t>응답시간</t>
    </r>
  </si>
  <si>
    <t>정성</t>
  </si>
  <si>
    <t>평가위원 점수</t>
  </si>
  <si>
    <r>
      <rPr>
        <sz val="10"/>
        <color rgb="FF000000"/>
        <rFont val="DejaVu Sans"/>
        <family val="2"/>
      </rPr>
      <t>벤더 답변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DejaVu Sans"/>
        <family val="2"/>
      </rPr>
      <t>실적</t>
    </r>
  </si>
  <si>
    <r>
      <rPr>
        <sz val="10"/>
        <color rgb="FF000000"/>
        <rFont val="DejaVu Sans"/>
        <family val="2"/>
      </rPr>
      <t xml:space="preserve">운영비 </t>
    </r>
    <r>
      <rPr>
        <sz val="10"/>
        <color rgb="FF000000"/>
        <rFont val="맑은 고딕"/>
        <family val="3"/>
        <charset val="129"/>
      </rPr>
      <t>(TCO)</t>
    </r>
  </si>
  <si>
    <r>
      <rPr>
        <sz val="10"/>
        <color rgb="FF000000"/>
        <rFont val="맑은 고딕"/>
        <family val="3"/>
        <charset val="129"/>
      </rPr>
      <t>5</t>
    </r>
    <r>
      <rPr>
        <sz val="10"/>
        <color rgb="FF000000"/>
        <rFont val="DejaVu Sans"/>
        <family val="2"/>
      </rPr>
      <t>년 전력비</t>
    </r>
    <r>
      <rPr>
        <sz val="10"/>
        <color rgb="FF000000"/>
        <rFont val="맑은 고딕"/>
        <family val="3"/>
        <charset val="129"/>
      </rPr>
      <t>+</t>
    </r>
    <r>
      <rPr>
        <sz val="10"/>
        <color rgb="FF000000"/>
        <rFont val="DejaVu Sans"/>
        <family val="2"/>
      </rPr>
      <t>유지보수</t>
    </r>
    <r>
      <rPr>
        <sz val="10"/>
        <color rgb="FF000000"/>
        <rFont val="맑은 고딕"/>
        <family val="3"/>
        <charset val="129"/>
      </rPr>
      <t>+</t>
    </r>
    <r>
      <rPr>
        <sz val="10"/>
        <color rgb="FF000000"/>
        <rFont val="DejaVu Sans"/>
        <family val="2"/>
      </rPr>
      <t>소모품</t>
    </r>
  </si>
  <si>
    <r>
      <rPr>
        <sz val="10"/>
        <color rgb="FF000000"/>
        <rFont val="DejaVu Sans"/>
        <family val="2"/>
      </rPr>
      <t>최저</t>
    </r>
    <r>
      <rPr>
        <sz val="10"/>
        <color rgb="FF000000"/>
        <rFont val="맑은 고딕"/>
        <family val="3"/>
        <charset val="129"/>
      </rPr>
      <t xml:space="preserve">TCO=100, </t>
    </r>
    <r>
      <rPr>
        <sz val="10"/>
        <color rgb="FF000000"/>
        <rFont val="DejaVu Sans"/>
        <family val="2"/>
      </rPr>
      <t>비례환산</t>
    </r>
  </si>
  <si>
    <r>
      <rPr>
        <sz val="10"/>
        <color rgb="FF000000"/>
        <rFont val="맑은 고딕"/>
        <family val="3"/>
        <charset val="129"/>
      </rPr>
      <t xml:space="preserve">TCO </t>
    </r>
    <r>
      <rPr>
        <sz val="10"/>
        <color rgb="FF000000"/>
        <rFont val="DejaVu Sans"/>
        <family val="2"/>
      </rPr>
      <t>시뮬레이션</t>
    </r>
  </si>
  <si>
    <r>
      <rPr>
        <sz val="10"/>
        <color rgb="FF000000"/>
        <rFont val="DejaVu Sans"/>
        <family val="2"/>
      </rPr>
      <t>레퍼런스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신뢰성</t>
    </r>
  </si>
  <si>
    <r>
      <rPr>
        <sz val="10"/>
        <color rgb="FF000000"/>
        <rFont val="DejaVu Sans"/>
        <family val="2"/>
      </rPr>
      <t>동종 산업 납품실적</t>
    </r>
    <r>
      <rPr>
        <sz val="10"/>
        <color rgb="FF000000"/>
        <rFont val="맑은 고딕"/>
        <family val="3"/>
        <charset val="129"/>
      </rPr>
      <t>, MTBF</t>
    </r>
  </si>
  <si>
    <t>벤더 레퍼런스</t>
  </si>
  <si>
    <t>합계</t>
  </si>
  <si>
    <r>
      <rPr>
        <b/>
        <sz val="12"/>
        <color rgb="FFFFFFFF"/>
        <rFont val="DejaVu Sans"/>
        <family val="2"/>
      </rPr>
      <t xml:space="preserve">점수 환산 공식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DejaVu Sans"/>
        <family val="2"/>
      </rPr>
      <t>객관성 확보</t>
    </r>
    <r>
      <rPr>
        <b/>
        <sz val="12"/>
        <color rgb="FFFFFFFF"/>
        <rFont val="맑은 고딕"/>
        <family val="3"/>
        <charset val="129"/>
      </rPr>
      <t>)</t>
    </r>
  </si>
  <si>
    <t>구분</t>
  </si>
  <si>
    <t>계산 공식</t>
  </si>
  <si>
    <r>
      <rPr>
        <b/>
        <sz val="10"/>
        <color rgb="FF000000"/>
        <rFont val="DejaVu Sans"/>
        <family val="2"/>
      </rPr>
      <t xml:space="preserve">정량지표 </t>
    </r>
    <r>
      <rPr>
        <b/>
        <sz val="10"/>
        <color rgb="FF000000"/>
        <rFont val="맑은 고딕"/>
        <family val="3"/>
        <charset val="129"/>
      </rPr>
      <t xml:space="preserve">- </t>
    </r>
    <r>
      <rPr>
        <b/>
        <sz val="10"/>
        <color rgb="FF000000"/>
        <rFont val="DejaVu Sans"/>
        <family val="2"/>
      </rPr>
      <t xml:space="preserve">낮을수록 좋음 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DejaVu Sans"/>
        <family val="2"/>
      </rPr>
      <t>가격</t>
    </r>
    <r>
      <rPr>
        <b/>
        <sz val="10"/>
        <color rgb="FF000000"/>
        <rFont val="맑은 고딕"/>
        <family val="3"/>
        <charset val="129"/>
      </rPr>
      <t xml:space="preserve">, </t>
    </r>
    <r>
      <rPr>
        <b/>
        <sz val="10"/>
        <color rgb="FF000000"/>
        <rFont val="DejaVu Sans"/>
        <family val="2"/>
      </rPr>
      <t>납기</t>
    </r>
    <r>
      <rPr>
        <b/>
        <sz val="10"/>
        <color rgb="FF000000"/>
        <rFont val="맑은 고딕"/>
        <family val="3"/>
        <charset val="129"/>
      </rPr>
      <t>, TCO)</t>
    </r>
  </si>
  <si>
    <r>
      <rPr>
        <sz val="10"/>
        <color rgb="FF000000"/>
        <rFont val="DejaVu Sans"/>
        <family val="2"/>
      </rPr>
      <t xml:space="preserve">점수 </t>
    </r>
    <r>
      <rPr>
        <sz val="10"/>
        <color rgb="FF000000"/>
        <rFont val="맑은 고딕"/>
        <family val="3"/>
        <charset val="129"/>
      </rPr>
      <t>= (</t>
    </r>
    <r>
      <rPr>
        <sz val="10"/>
        <color rgb="FF000000"/>
        <rFont val="DejaVu Sans"/>
        <family val="2"/>
      </rPr>
      <t xml:space="preserve">최저값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DejaVu Sans"/>
        <family val="2"/>
      </rPr>
      <t>평가값</t>
    </r>
    <r>
      <rPr>
        <sz val="10"/>
        <color rgb="FF000000"/>
        <rFont val="맑은 고딕"/>
        <family val="3"/>
        <charset val="129"/>
      </rPr>
      <t>) × 100</t>
    </r>
  </si>
  <si>
    <r>
      <rPr>
        <b/>
        <sz val="10"/>
        <color rgb="FF000000"/>
        <rFont val="DejaVu Sans"/>
        <family val="2"/>
      </rPr>
      <t xml:space="preserve">정량지표 </t>
    </r>
    <r>
      <rPr>
        <b/>
        <sz val="10"/>
        <color rgb="FF000000"/>
        <rFont val="맑은 고딕"/>
        <family val="3"/>
        <charset val="129"/>
      </rPr>
      <t xml:space="preserve">- </t>
    </r>
    <r>
      <rPr>
        <b/>
        <sz val="10"/>
        <color rgb="FF000000"/>
        <rFont val="DejaVu Sans"/>
        <family val="2"/>
      </rPr>
      <t xml:space="preserve">높을수록 좋음 </t>
    </r>
    <r>
      <rPr>
        <b/>
        <sz val="10"/>
        <color rgb="FF000000"/>
        <rFont val="맑은 고딕"/>
        <family val="3"/>
        <charset val="129"/>
      </rPr>
      <t xml:space="preserve">(RPM, </t>
    </r>
    <r>
      <rPr>
        <b/>
        <sz val="10"/>
        <color rgb="FF000000"/>
        <rFont val="DejaVu Sans"/>
        <family val="2"/>
      </rPr>
      <t>정밀도</t>
    </r>
    <r>
      <rPr>
        <b/>
        <sz val="10"/>
        <color rgb="FF000000"/>
        <rFont val="맑은 고딕"/>
        <family val="3"/>
        <charset val="129"/>
      </rPr>
      <t xml:space="preserve">, </t>
    </r>
    <r>
      <rPr>
        <b/>
        <sz val="10"/>
        <color rgb="FF000000"/>
        <rFont val="DejaVu Sans"/>
        <family val="2"/>
      </rPr>
      <t>작업영역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</si>
  <si>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점수 </t>
    </r>
    <r>
      <rPr>
        <sz val="10"/>
        <color rgb="FF000000"/>
        <rFont val="맑은 고딕"/>
        <family val="3"/>
        <charset val="129"/>
      </rPr>
      <t>= (</t>
    </r>
    <r>
      <rPr>
        <sz val="10"/>
        <color rgb="FF000000"/>
        <rFont val="DejaVu Sans"/>
        <family val="2"/>
      </rPr>
      <t xml:space="preserve">평가값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DejaVu Sans"/>
        <family val="2"/>
      </rPr>
      <t>최고값</t>
    </r>
    <r>
      <rPr>
        <sz val="10"/>
        <color rgb="FF000000"/>
        <rFont val="맑은 고딕"/>
        <family val="3"/>
        <charset val="129"/>
      </rPr>
      <t>) × 100</t>
    </r>
  </si>
  <si>
    <r>
      <rPr>
        <b/>
        <sz val="10"/>
        <color rgb="FF000000"/>
        <rFont val="DejaVu Sans"/>
        <family val="2"/>
      </rPr>
      <t xml:space="preserve">정성지표 </t>
    </r>
    <r>
      <rPr>
        <b/>
        <sz val="10"/>
        <color rgb="FF000000"/>
        <rFont val="맑은 고딕"/>
        <family val="3"/>
        <charset val="129"/>
      </rPr>
      <t xml:space="preserve">(A/S, </t>
    </r>
    <r>
      <rPr>
        <b/>
        <sz val="10"/>
        <color rgb="FF000000"/>
        <rFont val="DejaVu Sans"/>
        <family val="2"/>
      </rPr>
      <t>레퍼런스</t>
    </r>
    <r>
      <rPr>
        <b/>
        <sz val="10"/>
        <color rgb="FF000000"/>
        <rFont val="맑은 고딕"/>
        <family val="3"/>
        <charset val="129"/>
      </rPr>
      <t xml:space="preserve">, </t>
    </r>
    <r>
      <rPr>
        <b/>
        <sz val="10"/>
        <color rgb="FF000000"/>
        <rFont val="DejaVu Sans"/>
        <family val="2"/>
      </rPr>
      <t>가공성능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</si>
  <si>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평가위원 다수 평가 → 평균 </t>
    </r>
    <r>
      <rPr>
        <sz val="10"/>
        <color rgb="FF000000"/>
        <rFont val="맑은 고딕"/>
        <family val="3"/>
        <charset val="129"/>
      </rPr>
      <t>(1~100</t>
    </r>
    <r>
      <rPr>
        <sz val="10"/>
        <color rgb="FF000000"/>
        <rFont val="DejaVu Sans"/>
        <family val="2"/>
      </rPr>
      <t>점</t>
    </r>
    <r>
      <rPr>
        <sz val="10"/>
        <color rgb="FF000000"/>
        <rFont val="맑은 고딕"/>
        <family val="3"/>
        <charset val="129"/>
      </rPr>
      <t>)</t>
    </r>
  </si>
  <si>
    <t>가중 종합점수</t>
  </si>
  <si>
    <r>
      <rPr>
        <sz val="10"/>
        <color rgb="FF000000"/>
        <rFont val="맑은 고딕"/>
        <family val="3"/>
        <charset val="129"/>
      </rPr>
      <t>Σ (</t>
    </r>
    <r>
      <rPr>
        <sz val="10"/>
        <color rgb="FF000000"/>
        <rFont val="DejaVu Sans"/>
        <family val="2"/>
      </rPr>
      <t xml:space="preserve">카테고리 점수 </t>
    </r>
    <r>
      <rPr>
        <sz val="10"/>
        <color rgb="FF000000"/>
        <rFont val="맑은 고딕"/>
        <family val="3"/>
        <charset val="129"/>
      </rPr>
      <t xml:space="preserve">× </t>
    </r>
    <r>
      <rPr>
        <sz val="10"/>
        <color rgb="FF000000"/>
        <rFont val="DejaVu Sans"/>
        <family val="2"/>
      </rPr>
      <t>가중치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</si>
  <si>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2"/>
        <color rgb="FF000000"/>
        <rFont val="맑은 고딕"/>
        <family val="3"/>
        <charset val="129"/>
      </rPr>
      <t xml:space="preserve">Apple-to-Apple </t>
    </r>
    <r>
      <rPr>
        <b/>
        <sz val="12"/>
        <color rgb="FF000000"/>
        <rFont val="DejaVu Sans"/>
        <family val="2"/>
      </rPr>
      <t>비교를 위한 정규화 원칙</t>
    </r>
  </si>
  <si>
    <r>
      <rPr>
        <sz val="10"/>
        <color rgb="FF000000"/>
        <rFont val="DejaVu Sans"/>
        <family val="2"/>
      </rPr>
      <t>① 통화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DejaVu Sans"/>
        <family val="2"/>
      </rPr>
      <t xml:space="preserve">모두 </t>
    </r>
    <r>
      <rPr>
        <sz val="10"/>
        <color rgb="FF000000"/>
        <rFont val="맑은 고딕"/>
        <family val="3"/>
        <charset val="129"/>
      </rPr>
      <t>USD</t>
    </r>
    <r>
      <rPr>
        <sz val="10"/>
        <color rgb="FF000000"/>
        <rFont val="DejaVu Sans"/>
        <family val="2"/>
      </rPr>
      <t xml:space="preserve">로 환산 </t>
    </r>
    <r>
      <rPr>
        <sz val="10"/>
        <color rgb="FF000000"/>
        <rFont val="맑은 고딕"/>
        <family val="3"/>
        <charset val="129"/>
      </rPr>
      <t>(EUR/JPY/KRW → USD)</t>
    </r>
  </si>
  <si>
    <r>
      <rPr>
        <sz val="10"/>
        <color rgb="FF000000"/>
        <rFont val="DejaVu Sans"/>
        <family val="2"/>
      </rPr>
      <t>② 가격 범위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DejaVu Sans"/>
        <family val="2"/>
      </rPr>
      <t xml:space="preserve">모두 동일 </t>
    </r>
    <r>
      <rPr>
        <sz val="10"/>
        <color rgb="FF000000"/>
        <rFont val="맑은 고딕"/>
        <family val="3"/>
        <charset val="129"/>
      </rPr>
      <t xml:space="preserve">Incoterms (CIF Vietnam port) </t>
    </r>
    <r>
      <rPr>
        <sz val="10"/>
        <color rgb="FF000000"/>
        <rFont val="DejaVu Sans"/>
        <family val="2"/>
      </rPr>
      <t>기준으로 통일</t>
    </r>
  </si>
  <si>
    <r>
      <rPr>
        <sz val="10"/>
        <color rgb="FF000000"/>
        <rFont val="DejaVu Sans"/>
        <family val="2"/>
      </rPr>
      <t>③ 옵션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DejaVu Sans"/>
        <family val="2"/>
      </rPr>
      <t>동일 기능 옵션을 동일 카테고리로 분류</t>
    </r>
  </si>
  <si>
    <r>
      <rPr>
        <sz val="10"/>
        <color rgb="FF000000"/>
        <rFont val="DejaVu Sans"/>
        <family val="2"/>
      </rPr>
      <t>④ 사양</t>
    </r>
    <r>
      <rPr>
        <sz val="10"/>
        <color rgb="FF000000"/>
        <rFont val="맑은 고딕"/>
        <family val="3"/>
        <charset val="129"/>
      </rPr>
      <t xml:space="preserve">: ISO/VDI </t>
    </r>
    <r>
      <rPr>
        <sz val="10"/>
        <color rgb="FF000000"/>
        <rFont val="DejaVu Sans"/>
        <family val="2"/>
      </rPr>
      <t>동일 기준으로 정밀도 환산</t>
    </r>
  </si>
  <si>
    <r>
      <rPr>
        <sz val="10"/>
        <color rgb="FF000000"/>
        <rFont val="DejaVu Sans"/>
        <family val="2"/>
      </rPr>
      <t>⑤ 클래스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DejaVu Sans"/>
        <family val="2"/>
      </rPr>
      <t>동급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 xml:space="preserve">고속가공기 </t>
    </r>
    <r>
      <rPr>
        <sz val="10"/>
        <color rgb="FF000000"/>
        <rFont val="맑은 고딕"/>
        <family val="3"/>
        <charset val="129"/>
      </rPr>
      <t xml:space="preserve">vs </t>
    </r>
    <r>
      <rPr>
        <sz val="10"/>
        <color rgb="FF000000"/>
        <rFont val="DejaVu Sans"/>
        <family val="2"/>
      </rPr>
      <t>탭핑센터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을 별도 그룹으로 비교</t>
    </r>
  </si>
  <si>
    <t>가중치 평가 매트릭스</t>
  </si>
  <si>
    <r>
      <rPr>
        <i/>
        <sz val="12"/>
        <color rgb="FF555555"/>
        <rFont val="DejaVu Sans"/>
        <family val="2"/>
      </rPr>
      <t>※ 노란색 셀</t>
    </r>
    <r>
      <rPr>
        <i/>
        <sz val="12"/>
        <color rgb="FF555555"/>
        <rFont val="맑은 고딕"/>
        <family val="3"/>
        <charset val="129"/>
      </rPr>
      <t>(</t>
    </r>
    <r>
      <rPr>
        <i/>
        <sz val="12"/>
        <color rgb="FF555555"/>
        <rFont val="DejaVu Sans"/>
        <family val="2"/>
      </rPr>
      <t>가중치</t>
    </r>
    <r>
      <rPr>
        <i/>
        <sz val="12"/>
        <color rgb="FF555555"/>
        <rFont val="맑은 고딕"/>
        <family val="3"/>
        <charset val="129"/>
      </rPr>
      <t>/</t>
    </r>
    <r>
      <rPr>
        <i/>
        <sz val="12"/>
        <color rgb="FF555555"/>
        <rFont val="DejaVu Sans"/>
        <family val="2"/>
      </rPr>
      <t>점수</t>
    </r>
    <r>
      <rPr>
        <i/>
        <sz val="12"/>
        <color rgb="FF555555"/>
        <rFont val="맑은 고딕"/>
        <family val="3"/>
        <charset val="129"/>
      </rPr>
      <t>)</t>
    </r>
    <r>
      <rPr>
        <i/>
        <sz val="12"/>
        <color rgb="FF555555"/>
        <rFont val="DejaVu Sans"/>
        <family val="2"/>
      </rPr>
      <t>을 변경하면 종합점수가 자동 재계산됩니다</t>
    </r>
    <r>
      <rPr>
        <i/>
        <sz val="12"/>
        <color rgb="FF555555"/>
        <rFont val="맑은 고딕"/>
        <family val="3"/>
        <charset val="129"/>
      </rPr>
      <t>.</t>
    </r>
  </si>
  <si>
    <t>가중치</t>
  </si>
  <si>
    <t>평가 근거</t>
  </si>
  <si>
    <r>
      <rPr>
        <b/>
        <sz val="10"/>
        <color rgb="FF000000"/>
        <rFont val="DejaVu Sans"/>
        <family val="2"/>
      </rPr>
      <t>가격</t>
    </r>
    <r>
      <rPr>
        <b/>
        <sz val="10"/>
        <color rgb="FF000000"/>
        <rFont val="맑은 고딕"/>
        <family val="3"/>
        <charset val="129"/>
      </rPr>
      <t>·</t>
    </r>
    <r>
      <rPr>
        <b/>
        <sz val="10"/>
        <color rgb="FF000000"/>
        <rFont val="DejaVu Sans"/>
        <family val="2"/>
      </rPr>
      <t xml:space="preserve">비용 </t>
    </r>
    <r>
      <rPr>
        <b/>
        <sz val="10"/>
        <color rgb="FF000000"/>
        <rFont val="맑은 고딕"/>
        <family val="3"/>
        <charset val="129"/>
      </rPr>
      <t>(USD</t>
    </r>
    <r>
      <rPr>
        <b/>
        <sz val="10"/>
        <color rgb="FF000000"/>
        <rFont val="DejaVu Sans"/>
        <family val="2"/>
      </rPr>
      <t>환산 비례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</si>
  <si>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KT420A </t>
    </r>
    <r>
      <rPr>
        <sz val="10"/>
        <color rgb="FF000000"/>
        <rFont val="DejaVu Sans"/>
        <family val="2"/>
      </rPr>
      <t>최저</t>
    </r>
    <r>
      <rPr>
        <sz val="10"/>
        <color rgb="FF000000"/>
        <rFont val="맑은 고딕"/>
        <family val="3"/>
        <charset val="129"/>
      </rPr>
      <t xml:space="preserve">, V33i </t>
    </r>
    <r>
      <rPr>
        <sz val="10"/>
        <color rgb="FF000000"/>
        <rFont val="DejaVu Sans"/>
        <family val="2"/>
      </rPr>
      <t>사양</t>
    </r>
    <r>
      <rPr>
        <sz val="10"/>
        <color rgb="FF000000"/>
        <rFont val="맑은 고딕"/>
        <family val="3"/>
        <charset val="129"/>
      </rPr>
      <t>UP</t>
    </r>
    <r>
      <rPr>
        <sz val="10"/>
        <color rgb="FF000000"/>
        <rFont val="DejaVu Sans"/>
        <family val="2"/>
      </rPr>
      <t xml:space="preserve">로 </t>
    </r>
    <r>
      <rPr>
        <sz val="10"/>
        <color rgb="FF000000"/>
        <rFont val="맑은 고딕"/>
        <family val="3"/>
        <charset val="129"/>
      </rPr>
      <t>+</t>
    </r>
  </si>
  <si>
    <r>
      <rPr>
        <b/>
        <sz val="10"/>
        <color rgb="FF000000"/>
        <rFont val="DejaVu Sans"/>
        <family val="2"/>
      </rPr>
      <t xml:space="preserve">기술 사양 </t>
    </r>
    <r>
      <rPr>
        <b/>
        <sz val="10"/>
        <color rgb="FF000000"/>
        <rFont val="맑은 고딕"/>
        <family val="3"/>
        <charset val="129"/>
      </rPr>
      <t>(RPM/</t>
    </r>
    <r>
      <rPr>
        <b/>
        <sz val="10"/>
        <color rgb="FF000000"/>
        <rFont val="DejaVu Sans"/>
        <family val="2"/>
      </rPr>
      <t>정밀도</t>
    </r>
    <r>
      <rPr>
        <b/>
        <sz val="10"/>
        <color rgb="FF000000"/>
        <rFont val="맑은 고딕"/>
        <family val="3"/>
        <charset val="129"/>
      </rPr>
      <t>/</t>
    </r>
    <r>
      <rPr>
        <b/>
        <sz val="10"/>
        <color rgb="FF000000"/>
        <rFont val="DejaVu Sans"/>
        <family val="2"/>
      </rPr>
      <t>영역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</si>
  <si>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V33i 30K rpm + 60ATC </t>
    </r>
    <r>
      <rPr>
        <sz val="10"/>
        <color rgb="FF000000"/>
        <rFont val="DejaVu Sans"/>
        <family val="2"/>
      </rPr>
      <t>업그레이드</t>
    </r>
  </si>
  <si>
    <r>
      <rPr>
        <b/>
        <sz val="10"/>
        <color rgb="FF000000"/>
        <rFont val="DejaVu Sans"/>
        <family val="2"/>
      </rPr>
      <t xml:space="preserve">가공 성능 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DejaVu Sans"/>
        <family val="2"/>
      </rPr>
      <t>표면조도</t>
    </r>
    <r>
      <rPr>
        <b/>
        <sz val="10"/>
        <color rgb="FF000000"/>
        <rFont val="맑은 고딕"/>
        <family val="3"/>
        <charset val="129"/>
      </rPr>
      <t>/</t>
    </r>
    <r>
      <rPr>
        <b/>
        <sz val="10"/>
        <color rgb="FF000000"/>
        <rFont val="DejaVu Sans"/>
        <family val="2"/>
      </rPr>
      <t>속도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</si>
  <si>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V33i 60ATC </t>
    </r>
    <r>
      <rPr>
        <sz val="10"/>
        <color rgb="FF000000"/>
        <rFont val="DejaVu Sans"/>
        <family val="2"/>
      </rPr>
      <t>양산 효율 향상</t>
    </r>
  </si>
  <si>
    <r>
      <rPr>
        <sz val="10"/>
        <color rgb="FF000000"/>
        <rFont val="맑은 고딕"/>
        <family val="3"/>
        <charset val="129"/>
      </rPr>
      <t>KT420A 3</t>
    </r>
    <r>
      <rPr>
        <sz val="10"/>
        <color rgb="FF000000"/>
        <rFont val="DejaVu Sans"/>
        <family val="2"/>
      </rPr>
      <t>개월 최단</t>
    </r>
  </si>
  <si>
    <r>
      <rPr>
        <b/>
        <sz val="10"/>
        <color rgb="FF000000"/>
        <rFont val="맑은 고딕"/>
        <family val="3"/>
        <charset val="129"/>
      </rPr>
      <t>A/S·</t>
    </r>
    <r>
      <rPr>
        <b/>
        <sz val="10"/>
        <color rgb="FF000000"/>
        <rFont val="DejaVu Sans"/>
        <family val="2"/>
      </rPr>
      <t>유지보수</t>
    </r>
  </si>
  <si>
    <r>
      <rPr>
        <sz val="10"/>
        <color rgb="FF000000"/>
        <rFont val="맑은 고딕"/>
        <family val="3"/>
        <charset val="129"/>
      </rPr>
      <t xml:space="preserve">V33i DAP Bac Ninh </t>
    </r>
    <r>
      <rPr>
        <sz val="10"/>
        <color rgb="FF000000"/>
        <rFont val="DejaVu Sans"/>
        <family val="2"/>
      </rPr>
      <t>통관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운송 책임</t>
    </r>
  </si>
  <si>
    <r>
      <rPr>
        <b/>
        <sz val="10"/>
        <color rgb="FF000000"/>
        <rFont val="DejaVu Sans"/>
        <family val="2"/>
      </rPr>
      <t xml:space="preserve">운영비 </t>
    </r>
    <r>
      <rPr>
        <b/>
        <sz val="10"/>
        <color rgb="FF000000"/>
        <rFont val="맑은 고딕"/>
        <family val="3"/>
        <charset val="129"/>
      </rPr>
      <t>(5</t>
    </r>
    <r>
      <rPr>
        <b/>
        <sz val="10"/>
        <color rgb="FF000000"/>
        <rFont val="DejaVu Sans"/>
        <family val="2"/>
      </rPr>
      <t xml:space="preserve">년 </t>
    </r>
    <r>
      <rPr>
        <b/>
        <sz val="10"/>
        <color rgb="FF000000"/>
        <rFont val="맑은 고딕"/>
        <family val="3"/>
        <charset val="129"/>
      </rPr>
      <t>TCO)</t>
    </r>
  </si>
  <si>
    <r>
      <rPr>
        <sz val="10"/>
        <color rgb="FF000000"/>
        <rFont val="맑은 고딕"/>
        <family val="3"/>
        <charset val="129"/>
      </rPr>
      <t xml:space="preserve">TCO </t>
    </r>
    <r>
      <rPr>
        <sz val="10"/>
        <color rgb="FF000000"/>
        <rFont val="DejaVu Sans"/>
        <family val="2"/>
      </rPr>
      <t>시트 참조</t>
    </r>
  </si>
  <si>
    <r>
      <rPr>
        <b/>
        <sz val="10"/>
        <color rgb="FF000000"/>
        <rFont val="DejaVu Sans"/>
        <family val="2"/>
      </rPr>
      <t>레퍼런스</t>
    </r>
    <r>
      <rPr>
        <b/>
        <sz val="10"/>
        <color rgb="FF000000"/>
        <rFont val="맑은 고딕"/>
        <family val="3"/>
        <charset val="129"/>
      </rPr>
      <t>·</t>
    </r>
    <r>
      <rPr>
        <b/>
        <sz val="10"/>
        <color rgb="FF000000"/>
        <rFont val="DejaVu Sans"/>
        <family val="2"/>
      </rPr>
      <t>신뢰성</t>
    </r>
  </si>
  <si>
    <t>글로벌 브랜드 평판</t>
  </si>
  <si>
    <r>
      <rPr>
        <b/>
        <sz val="10"/>
        <color rgb="FF000000"/>
        <rFont val="DejaVu Sans"/>
        <family val="2"/>
      </rPr>
      <t xml:space="preserve">가중치 합계 </t>
    </r>
    <r>
      <rPr>
        <b/>
        <sz val="10"/>
        <color rgb="FF000000"/>
        <rFont val="맑은 고딕"/>
        <family val="3"/>
        <charset val="129"/>
      </rPr>
      <t xml:space="preserve">(100% </t>
    </r>
    <r>
      <rPr>
        <b/>
        <sz val="10"/>
        <color rgb="FF000000"/>
        <rFont val="DejaVu Sans"/>
        <family val="2"/>
      </rPr>
      <t>검증</t>
    </r>
    <r>
      <rPr>
        <b/>
        <sz val="10"/>
        <color rgb="FF000000"/>
        <rFont val="맑은 고딕"/>
        <family val="3"/>
        <charset val="129"/>
      </rPr>
      <t>)</t>
    </r>
  </si>
  <si>
    <r>
      <rPr>
        <b/>
        <sz val="11"/>
        <color rgb="FFFFFFFF"/>
        <rFont val="DejaVu Sans"/>
        <family val="2"/>
      </rPr>
      <t xml:space="preserve">가중 점수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 xml:space="preserve">점수 </t>
    </r>
    <r>
      <rPr>
        <b/>
        <sz val="11"/>
        <color rgb="FFFFFFFF"/>
        <rFont val="맑은 고딕"/>
        <family val="3"/>
        <charset val="129"/>
      </rPr>
      <t xml:space="preserve">× </t>
    </r>
    <r>
      <rPr>
        <b/>
        <sz val="11"/>
        <color rgb="FFFFFFFF"/>
        <rFont val="DejaVu Sans"/>
        <family val="2"/>
      </rPr>
      <t>가중치</t>
    </r>
    <r>
      <rPr>
        <b/>
        <sz val="11"/>
        <color rgb="FFFFFFFF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</si>
  <si>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>가격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 xml:space="preserve">비용 </t>
    </r>
    <r>
      <rPr>
        <sz val="10"/>
        <color rgb="FF000000"/>
        <rFont val="맑은 고딕"/>
        <family val="3"/>
        <charset val="129"/>
      </rPr>
      <t>(USD</t>
    </r>
    <r>
      <rPr>
        <sz val="10"/>
        <color rgb="FF000000"/>
        <rFont val="DejaVu Sans"/>
        <family val="2"/>
      </rPr>
      <t>환산 비례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</si>
  <si>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기술 사양 </t>
    </r>
    <r>
      <rPr>
        <sz val="10"/>
        <color rgb="FF000000"/>
        <rFont val="맑은 고딕"/>
        <family val="3"/>
        <charset val="129"/>
      </rPr>
      <t>(RPM/</t>
    </r>
    <r>
      <rPr>
        <sz val="10"/>
        <color rgb="FF000000"/>
        <rFont val="DejaVu Sans"/>
        <family val="2"/>
      </rPr>
      <t>정밀도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DejaVu Sans"/>
        <family val="2"/>
      </rPr>
      <t>영역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</si>
  <si>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가공 성능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표면조도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DejaVu Sans"/>
        <family val="2"/>
      </rPr>
      <t>속도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</si>
  <si>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납기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개월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</si>
  <si>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운영비 </t>
    </r>
    <r>
      <rPr>
        <sz val="10"/>
        <color rgb="FF000000"/>
        <rFont val="맑은 고딕"/>
        <family val="3"/>
        <charset val="129"/>
      </rPr>
      <t>(5</t>
    </r>
    <r>
      <rPr>
        <sz val="10"/>
        <color rgb="FF000000"/>
        <rFont val="DejaVu Sans"/>
        <family val="2"/>
      </rPr>
      <t xml:space="preserve">년 </t>
    </r>
    <r>
      <rPr>
        <sz val="10"/>
        <color rgb="FF000000"/>
        <rFont val="맑은 고딕"/>
        <family val="3"/>
        <charset val="129"/>
      </rPr>
      <t>TCO)</t>
    </r>
  </si>
  <si>
    <r>
      <rPr>
        <b/>
        <sz val="12"/>
        <color rgb="FFFFFFFF"/>
        <rFont val="DejaVu Sans"/>
        <family val="2"/>
      </rPr>
      <t xml:space="preserve">종합 점수 </t>
    </r>
    <r>
      <rPr>
        <b/>
        <sz val="12"/>
        <color rgb="FFFFFFFF"/>
        <rFont val="맑은 고딕"/>
        <family val="3"/>
        <charset val="129"/>
      </rPr>
      <t>(100</t>
    </r>
    <r>
      <rPr>
        <b/>
        <sz val="12"/>
        <color rgb="FFFFFFFF"/>
        <rFont val="DejaVu Sans"/>
        <family val="2"/>
      </rPr>
      <t>점 만점</t>
    </r>
    <r>
      <rPr>
        <b/>
        <sz val="12"/>
        <color rgb="FFFFFFFF"/>
        <rFont val="맑은 고딕"/>
        <family val="3"/>
        <charset val="129"/>
      </rPr>
      <t>)</t>
    </r>
  </si>
  <si>
    <r>
      <rPr>
        <b/>
        <sz val="20"/>
        <color rgb="FF1E2761"/>
        <rFont val="DejaVu Sans"/>
        <family val="2"/>
      </rPr>
      <t xml:space="preserve">기술 사양 비교표 </t>
    </r>
    <r>
      <rPr>
        <b/>
        <sz val="20"/>
        <color rgb="FF1E2761"/>
        <rFont val="맑은 고딕"/>
        <family val="3"/>
        <charset val="129"/>
      </rPr>
      <t>(Apple-to-Apple)</t>
    </r>
  </si>
  <si>
    <r>
      <rPr>
        <i/>
        <sz val="12"/>
        <color rgb="FF555555"/>
        <rFont val="맑은 고딕"/>
        <family val="3"/>
        <charset val="129"/>
      </rPr>
      <t>4</t>
    </r>
    <r>
      <rPr>
        <i/>
        <sz val="12"/>
        <color rgb="FF555555"/>
        <rFont val="DejaVu Sans"/>
        <family val="2"/>
      </rPr>
      <t xml:space="preserve">개 설비를 동일 기준으로 정규화한 비교표 </t>
    </r>
    <r>
      <rPr>
        <i/>
        <sz val="12"/>
        <color rgb="FF555555"/>
        <rFont val="맑은 고딕"/>
        <family val="3"/>
        <charset val="129"/>
      </rPr>
      <t>(</t>
    </r>
    <r>
      <rPr>
        <i/>
        <sz val="12"/>
        <color rgb="FF555555"/>
        <rFont val="DejaVu Sans"/>
        <family val="2"/>
      </rPr>
      <t>출처</t>
    </r>
    <r>
      <rPr>
        <i/>
        <sz val="12"/>
        <color rgb="FF555555"/>
        <rFont val="맑은 고딕"/>
        <family val="3"/>
        <charset val="129"/>
      </rPr>
      <t xml:space="preserve">: </t>
    </r>
    <r>
      <rPr>
        <i/>
        <sz val="12"/>
        <color rgb="FF555555"/>
        <rFont val="DejaVu Sans"/>
        <family val="2"/>
      </rPr>
      <t>견적서 본문</t>
    </r>
    <r>
      <rPr>
        <i/>
        <sz val="12"/>
        <color rgb="FF555555"/>
        <rFont val="맑은 고딕"/>
        <family val="3"/>
        <charset val="129"/>
      </rPr>
      <t>)</t>
    </r>
  </si>
  <si>
    <t>▣ 기본정보</t>
  </si>
  <si>
    <t>제조국</t>
  </si>
  <si>
    <r>
      <rPr>
        <sz val="10"/>
        <color rgb="FF000000"/>
        <rFont val="DejaVu Sans"/>
        <family val="2"/>
      </rPr>
      <t xml:space="preserve">독일 </t>
    </r>
    <r>
      <rPr>
        <sz val="10"/>
        <color rgb="FF000000"/>
        <rFont val="맑은 고딕"/>
        <family val="3"/>
        <charset val="129"/>
      </rPr>
      <t>(Roeders)</t>
    </r>
  </si>
  <si>
    <r>
      <rPr>
        <sz val="10"/>
        <color rgb="FF000000"/>
        <rFont val="DejaVu Sans"/>
        <family val="2"/>
      </rPr>
      <t>일본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DejaVu Sans"/>
        <family val="2"/>
      </rPr>
      <t xml:space="preserve">싱가포르 </t>
    </r>
    <r>
      <rPr>
        <sz val="10"/>
        <color rgb="FF000000"/>
        <rFont val="맑은 고딕"/>
        <family val="3"/>
        <charset val="129"/>
      </rPr>
      <t>(Makino)</t>
    </r>
  </si>
  <si>
    <r>
      <rPr>
        <sz val="10"/>
        <color rgb="FF000000"/>
        <rFont val="DejaVu Sans"/>
        <family val="2"/>
      </rPr>
      <t xml:space="preserve">한국 </t>
    </r>
    <r>
      <rPr>
        <sz val="10"/>
        <color rgb="FF000000"/>
        <rFont val="맑은 고딕"/>
        <family val="3"/>
        <charset val="129"/>
      </rPr>
      <t>(Komatech)</t>
    </r>
  </si>
  <si>
    <t>설비 분류</t>
  </si>
  <si>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DejaVu Sans"/>
        <family val="2"/>
      </rPr>
      <t>축 정밀 고속가공기</t>
    </r>
  </si>
  <si>
    <t>수직 머시닝센터</t>
  </si>
  <si>
    <t>수직 탭핑센터</t>
  </si>
  <si>
    <t>클래스 다름</t>
  </si>
  <si>
    <t>견적 모델</t>
  </si>
  <si>
    <t>V33i (JV-1308)</t>
  </si>
  <si>
    <t>견적번호</t>
  </si>
  <si>
    <t>MA262498</t>
  </si>
  <si>
    <t>MA262499</t>
  </si>
  <si>
    <t>1011045204</t>
  </si>
  <si>
    <t>KTVTN26D20</t>
  </si>
  <si>
    <t>견적일</t>
  </si>
  <si>
    <t>2026-04-24</t>
  </si>
  <si>
    <t>2026-04-06</t>
  </si>
  <si>
    <t>2026-04-20</t>
  </si>
  <si>
    <t>견적 유효기간</t>
  </si>
  <si>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DejaVu Sans"/>
        <family val="2"/>
      </rPr>
      <t>개월</t>
    </r>
  </si>
  <si>
    <r>
      <rPr>
        <sz val="10"/>
        <color rgb="FF000000"/>
        <rFont val="맑은 고딕"/>
        <family val="3"/>
        <charset val="129"/>
      </rPr>
      <t>2026-05-06</t>
    </r>
    <r>
      <rPr>
        <sz val="10"/>
        <color rgb="FF000000"/>
        <rFont val="DejaVu Sans"/>
        <family val="2"/>
      </rPr>
      <t>까지</t>
    </r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</si>
  <si>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개월</t>
    </r>
  </si>
  <si>
    <t>▣ 작업영역</t>
  </si>
  <si>
    <r>
      <rPr>
        <b/>
        <sz val="10"/>
        <color rgb="FF000000"/>
        <rFont val="맑은 고딕"/>
        <family val="3"/>
        <charset val="129"/>
      </rPr>
      <t>X</t>
    </r>
    <r>
      <rPr>
        <b/>
        <sz val="10"/>
        <color rgb="FF000000"/>
        <rFont val="DejaVu Sans"/>
        <family val="2"/>
      </rPr>
      <t xml:space="preserve">축 </t>
    </r>
    <r>
      <rPr>
        <b/>
        <sz val="10"/>
        <color rgb="FF000000"/>
        <rFont val="맑은 고딕"/>
        <family val="3"/>
        <charset val="129"/>
      </rPr>
      <t>(mm)</t>
    </r>
  </si>
  <si>
    <t>미명시</t>
  </si>
  <si>
    <t>클수록 유리</t>
  </si>
  <si>
    <r>
      <rPr>
        <b/>
        <sz val="10"/>
        <color rgb="FF000000"/>
        <rFont val="맑은 고딕"/>
        <family val="3"/>
        <charset val="129"/>
      </rPr>
      <t>Y</t>
    </r>
    <r>
      <rPr>
        <b/>
        <sz val="10"/>
        <color rgb="FF000000"/>
        <rFont val="DejaVu Sans"/>
        <family val="2"/>
      </rPr>
      <t xml:space="preserve">축 </t>
    </r>
    <r>
      <rPr>
        <b/>
        <sz val="10"/>
        <color rgb="FF000000"/>
        <rFont val="맑은 고딕"/>
        <family val="3"/>
        <charset val="129"/>
      </rPr>
      <t>(mm)</t>
    </r>
  </si>
  <si>
    <r>
      <rPr>
        <b/>
        <sz val="10"/>
        <color rgb="FF000000"/>
        <rFont val="맑은 고딕"/>
        <family val="3"/>
        <charset val="129"/>
      </rPr>
      <t>Z</t>
    </r>
    <r>
      <rPr>
        <b/>
        <sz val="10"/>
        <color rgb="FF000000"/>
        <rFont val="DejaVu Sans"/>
        <family val="2"/>
      </rPr>
      <t xml:space="preserve">축 </t>
    </r>
    <r>
      <rPr>
        <b/>
        <sz val="10"/>
        <color rgb="FF000000"/>
        <rFont val="맑은 고딕"/>
        <family val="3"/>
        <charset val="129"/>
      </rPr>
      <t>(mm)</t>
    </r>
  </si>
  <si>
    <r>
      <rPr>
        <b/>
        <sz val="10"/>
        <color rgb="FF000000"/>
        <rFont val="DejaVu Sans"/>
        <family val="2"/>
      </rPr>
      <t xml:space="preserve">테이블 크기 </t>
    </r>
    <r>
      <rPr>
        <b/>
        <sz val="10"/>
        <color rgb="FF000000"/>
        <rFont val="맑은 고딕"/>
        <family val="3"/>
        <charset val="129"/>
      </rPr>
      <t>(mm)</t>
    </r>
  </si>
  <si>
    <t>550 x 450</t>
  </si>
  <si>
    <t>450 x 300</t>
  </si>
  <si>
    <t>660 x 400</t>
  </si>
  <si>
    <r>
      <rPr>
        <b/>
        <sz val="10"/>
        <color rgb="FF000000"/>
        <rFont val="DejaVu Sans"/>
        <family val="2"/>
      </rPr>
      <t xml:space="preserve">최대 작업물 무게 </t>
    </r>
    <r>
      <rPr>
        <b/>
        <sz val="10"/>
        <color rgb="FF000000"/>
        <rFont val="맑은 고딕"/>
        <family val="3"/>
        <charset val="129"/>
      </rPr>
      <t>(kg)</t>
    </r>
  </si>
  <si>
    <t>▣ 스핀들</t>
  </si>
  <si>
    <r>
      <rPr>
        <b/>
        <sz val="10"/>
        <color rgb="FF000000"/>
        <rFont val="DejaVu Sans"/>
        <family val="2"/>
      </rPr>
      <t xml:space="preserve">최대 </t>
    </r>
    <r>
      <rPr>
        <b/>
        <sz val="10"/>
        <color rgb="FF000000"/>
        <rFont val="맑은 고딕"/>
        <family val="3"/>
        <charset val="129"/>
      </rPr>
      <t>RPM</t>
    </r>
  </si>
  <si>
    <t>높을수록 고속</t>
  </si>
  <si>
    <t>스핀들 모델</t>
  </si>
  <si>
    <t>FISCHER MFW1224/42</t>
  </si>
  <si>
    <t>FISCHER MFW1024/50</t>
  </si>
  <si>
    <r>
      <rPr>
        <sz val="10"/>
        <color rgb="FF000000"/>
        <rFont val="맑은 고딕"/>
        <family val="3"/>
        <charset val="129"/>
      </rPr>
      <t>30,000Min-1 (</t>
    </r>
    <r>
      <rPr>
        <sz val="10"/>
        <color rgb="FF000000"/>
        <rFont val="DejaVu Sans"/>
        <family val="2"/>
      </rPr>
      <t>업그레이드</t>
    </r>
    <r>
      <rPr>
        <sz val="10"/>
        <color rgb="FF000000"/>
        <rFont val="맑은 고딕"/>
        <family val="3"/>
        <charset val="129"/>
      </rPr>
      <t>)</t>
    </r>
  </si>
  <si>
    <t>24K rpm</t>
  </si>
  <si>
    <t>공구 인터페이스</t>
  </si>
  <si>
    <t>HSK-E40</t>
  </si>
  <si>
    <t>HSK-E32</t>
  </si>
  <si>
    <r>
      <rPr>
        <sz val="10"/>
        <color rgb="FF000000"/>
        <rFont val="맑은 고딕"/>
        <family val="3"/>
        <charset val="129"/>
      </rPr>
      <t>HSK-F63 (</t>
    </r>
    <r>
      <rPr>
        <sz val="10"/>
        <color rgb="FF000000"/>
        <rFont val="DejaVu Sans"/>
        <family val="2"/>
      </rPr>
      <t>업그레이드</t>
    </r>
    <r>
      <rPr>
        <sz val="10"/>
        <color rgb="FF000000"/>
        <rFont val="맑은 고딕"/>
        <family val="3"/>
        <charset val="129"/>
      </rPr>
      <t>)</t>
    </r>
  </si>
  <si>
    <t>BT30</t>
  </si>
  <si>
    <t>클래스 차이</t>
  </si>
  <si>
    <r>
      <rPr>
        <b/>
        <sz val="10"/>
        <color rgb="FF000000"/>
        <rFont val="DejaVu Sans"/>
        <family val="2"/>
      </rPr>
      <t xml:space="preserve">출력 </t>
    </r>
    <r>
      <rPr>
        <b/>
        <sz val="10"/>
        <color rgb="FF000000"/>
        <rFont val="맑은 고딕"/>
        <family val="3"/>
        <charset val="129"/>
      </rPr>
      <t>(kW S1)</t>
    </r>
  </si>
  <si>
    <r>
      <rPr>
        <b/>
        <sz val="10"/>
        <color rgb="FF000000"/>
        <rFont val="DejaVu Sans"/>
        <family val="2"/>
      </rPr>
      <t xml:space="preserve">최대 토크 </t>
    </r>
    <r>
      <rPr>
        <b/>
        <sz val="10"/>
        <color rgb="FF000000"/>
        <rFont val="맑은 고딕"/>
        <family val="3"/>
        <charset val="129"/>
      </rPr>
      <t>(Nm)</t>
    </r>
  </si>
  <si>
    <r>
      <rPr>
        <b/>
        <sz val="10"/>
        <color rgb="FF000000"/>
        <rFont val="DejaVu Sans"/>
        <family val="2"/>
      </rPr>
      <t xml:space="preserve">최대 공구경 </t>
    </r>
    <r>
      <rPr>
        <b/>
        <sz val="10"/>
        <color rgb="FF000000"/>
        <rFont val="맑은 고딕"/>
        <family val="3"/>
        <charset val="129"/>
      </rPr>
      <t>(mm)</t>
    </r>
  </si>
  <si>
    <t>▣ 정밀도</t>
  </si>
  <si>
    <t>스케일 피드백 정밀도</t>
  </si>
  <si>
    <r>
      <rPr>
        <sz val="10"/>
        <color rgb="FF000000"/>
        <rFont val="DejaVu Sans"/>
        <family val="2"/>
      </rPr>
      <t>리니어 모터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DejaVu Sans"/>
        <family val="2"/>
      </rPr>
      <t>스케일</t>
    </r>
  </si>
  <si>
    <r>
      <rPr>
        <sz val="10"/>
        <color rgb="FF000000"/>
        <rFont val="맑은 고딕"/>
        <family val="3"/>
        <charset val="129"/>
      </rPr>
      <t xml:space="preserve">0.05 µm </t>
    </r>
    <r>
      <rPr>
        <sz val="10"/>
        <color rgb="FF000000"/>
        <rFont val="DejaVu Sans"/>
        <family val="2"/>
      </rPr>
      <t>스케일</t>
    </r>
  </si>
  <si>
    <t>반복 정밀도</t>
  </si>
  <si>
    <t>리니어 모터 정밀급</t>
  </si>
  <si>
    <t>≤ 3 µm</t>
  </si>
  <si>
    <r>
      <rPr>
        <b/>
        <sz val="10"/>
        <color rgb="FF000000"/>
        <rFont val="DejaVu Sans"/>
        <family val="2"/>
      </rPr>
      <t xml:space="preserve">스핀들 보정 </t>
    </r>
    <r>
      <rPr>
        <b/>
        <sz val="10"/>
        <color rgb="FF000000"/>
        <rFont val="맑은 고딕"/>
        <family val="3"/>
        <charset val="129"/>
      </rPr>
      <t>(Spindle Comp.)</t>
    </r>
  </si>
  <si>
    <t>포함</t>
  </si>
  <si>
    <t>미포함</t>
  </si>
  <si>
    <t>▣ 이송</t>
  </si>
  <si>
    <r>
      <rPr>
        <b/>
        <sz val="10"/>
        <color rgb="FF000000"/>
        <rFont val="DejaVu Sans"/>
        <family val="2"/>
      </rPr>
      <t xml:space="preserve">최대 이송속도 </t>
    </r>
    <r>
      <rPr>
        <b/>
        <sz val="10"/>
        <color rgb="FF000000"/>
        <rFont val="맑은 고딕"/>
        <family val="3"/>
        <charset val="129"/>
      </rPr>
      <t>(mm/min)</t>
    </r>
  </si>
  <si>
    <r>
      <rPr>
        <b/>
        <sz val="10"/>
        <color rgb="FF000000"/>
        <rFont val="DejaVu Sans"/>
        <family val="2"/>
      </rPr>
      <t xml:space="preserve">급송 </t>
    </r>
    <r>
      <rPr>
        <b/>
        <sz val="10"/>
        <color rgb="FF000000"/>
        <rFont val="맑은 고딕"/>
        <family val="3"/>
        <charset val="129"/>
      </rPr>
      <t>X/Y/Z (m/min)</t>
    </r>
  </si>
  <si>
    <t>리니어모터</t>
  </si>
  <si>
    <t>60/60/60</t>
  </si>
  <si>
    <t>구동 방식</t>
  </si>
  <si>
    <r>
      <rPr>
        <sz val="10"/>
        <color rgb="FF000000"/>
        <rFont val="DejaVu Sans"/>
        <family val="2"/>
      </rPr>
      <t xml:space="preserve">리니어 모터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전축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</si>
  <si>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볼스크류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추정</t>
    </r>
    <r>
      <rPr>
        <sz val="10"/>
        <color rgb="FF000000"/>
        <rFont val="맑은 고딕"/>
        <family val="3"/>
        <charset val="129"/>
      </rPr>
      <t>)</t>
    </r>
  </si>
  <si>
    <t>볼스크류</t>
  </si>
  <si>
    <t>▣ 공구매거진</t>
  </si>
  <si>
    <t>표준 매거진 용량</t>
  </si>
  <si>
    <t>21 places (HSK-E40)</t>
  </si>
  <si>
    <t>18 places (HSK-E32)</t>
  </si>
  <si>
    <r>
      <rPr>
        <sz val="10"/>
        <color rgb="FF000000"/>
        <rFont val="맑은 고딕"/>
        <family val="3"/>
        <charset val="129"/>
      </rPr>
      <t>60-Tool (</t>
    </r>
    <r>
      <rPr>
        <sz val="10"/>
        <color rgb="FF000000"/>
        <rFont val="DejaVu Sans"/>
        <family val="2"/>
      </rPr>
      <t>업그레이드</t>
    </r>
    <r>
      <rPr>
        <sz val="10"/>
        <color rgb="FF000000"/>
        <rFont val="맑은 고딕"/>
        <family val="3"/>
        <charset val="129"/>
      </rPr>
      <t>)</t>
    </r>
  </si>
  <si>
    <t>BT30 / TWIN-ARM 26T</t>
  </si>
  <si>
    <r>
      <rPr>
        <b/>
        <sz val="10"/>
        <color rgb="FF000000"/>
        <rFont val="DejaVu Sans"/>
        <family val="2"/>
      </rPr>
      <t xml:space="preserve">공구교환시간 </t>
    </r>
    <r>
      <rPr>
        <b/>
        <sz val="10"/>
        <color rgb="FF000000"/>
        <rFont val="맑은 고딕"/>
        <family val="3"/>
        <charset val="129"/>
      </rPr>
      <t>T-T (</t>
    </r>
    <r>
      <rPr>
        <b/>
        <sz val="10"/>
        <color rgb="FF000000"/>
        <rFont val="DejaVu Sans"/>
        <family val="2"/>
      </rPr>
      <t>초</t>
    </r>
    <r>
      <rPr>
        <b/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</si>
  <si>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DejaVu Sans"/>
        <family val="2"/>
      </rPr>
      <t xml:space="preserve">공구교환시간 </t>
    </r>
    <r>
      <rPr>
        <b/>
        <sz val="10"/>
        <color rgb="FF000000"/>
        <rFont val="맑은 고딕"/>
        <family val="3"/>
        <charset val="129"/>
      </rPr>
      <t>C-C (</t>
    </r>
    <r>
      <rPr>
        <b/>
        <sz val="10"/>
        <color rgb="FF000000"/>
        <rFont val="DejaVu Sans"/>
        <family val="2"/>
      </rPr>
      <t>초</t>
    </r>
    <r>
      <rPr>
        <b/>
        <sz val="10"/>
        <color rgb="FF000000"/>
        <rFont val="맑은 고딕"/>
        <family val="3"/>
        <charset val="129"/>
      </rPr>
      <t>)</t>
    </r>
  </si>
  <si>
    <t>▣ 제어기</t>
  </si>
  <si>
    <r>
      <rPr>
        <b/>
        <sz val="10"/>
        <color rgb="FF000000"/>
        <rFont val="맑은 고딕"/>
        <family val="3"/>
        <charset val="129"/>
      </rPr>
      <t xml:space="preserve">CNC </t>
    </r>
    <r>
      <rPr>
        <b/>
        <sz val="10"/>
        <color rgb="FF000000"/>
        <rFont val="DejaVu Sans"/>
        <family val="2"/>
      </rPr>
      <t>제어기</t>
    </r>
  </si>
  <si>
    <r>
      <rPr>
        <sz val="10"/>
        <color rgb="FF000000"/>
        <rFont val="맑은 고딕"/>
        <family val="3"/>
        <charset val="129"/>
      </rPr>
      <t>Roeders RMS6 (</t>
    </r>
    <r>
      <rPr>
        <sz val="10"/>
        <color rgb="FF000000"/>
        <rFont val="DejaVu Sans"/>
        <family val="2"/>
      </rPr>
      <t>자체</t>
    </r>
    <r>
      <rPr>
        <sz val="10"/>
        <color rgb="FF000000"/>
        <rFont val="맑은 고딕"/>
        <family val="3"/>
        <charset val="129"/>
      </rPr>
      <t>)</t>
    </r>
  </si>
  <si>
    <t>FANUC + Super GI .5</t>
  </si>
  <si>
    <t>Mitsubishi M80A (10.4")</t>
  </si>
  <si>
    <t>주요 기능</t>
  </si>
  <si>
    <t>RACECUT, 32kHz drive</t>
  </si>
  <si>
    <t>AC Function, GI Control</t>
  </si>
  <si>
    <r>
      <rPr>
        <sz val="10"/>
        <color rgb="FF000000"/>
        <rFont val="DejaVu Sans"/>
        <family val="2"/>
      </rPr>
      <t>표준 머시닝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DejaVu Sans"/>
        <family val="2"/>
      </rPr>
      <t>탭핑</t>
    </r>
  </si>
  <si>
    <r>
      <rPr>
        <b/>
        <sz val="10"/>
        <color rgb="FF000000"/>
        <rFont val="맑은 고딕"/>
        <family val="3"/>
        <charset val="129"/>
      </rPr>
      <t>UPS / Z</t>
    </r>
    <r>
      <rPr>
        <b/>
        <sz val="10"/>
        <color rgb="FF000000"/>
        <rFont val="DejaVu Sans"/>
        <family val="2"/>
      </rPr>
      <t>축 리프트업</t>
    </r>
  </si>
  <si>
    <r>
      <rPr>
        <b/>
        <sz val="10"/>
        <color rgb="FF000000"/>
        <rFont val="DejaVu Sans"/>
        <family val="2"/>
      </rPr>
      <t xml:space="preserve">원격 제어 </t>
    </r>
    <r>
      <rPr>
        <b/>
        <sz val="10"/>
        <color rgb="FF000000"/>
        <rFont val="맑은 고딕"/>
        <family val="3"/>
        <charset val="129"/>
      </rPr>
      <t>(Teamviewer)</t>
    </r>
  </si>
  <si>
    <r>
      <rPr>
        <b/>
        <sz val="10"/>
        <color rgb="FFFFFFFF"/>
        <rFont val="DejaVu Sans"/>
        <family val="2"/>
      </rPr>
      <t xml:space="preserve">▣ 부속 </t>
    </r>
    <r>
      <rPr>
        <b/>
        <sz val="10"/>
        <color rgb="FFFFFFFF"/>
        <rFont val="맑은 고딕"/>
        <family val="3"/>
        <charset val="129"/>
      </rPr>
      <t xml:space="preserve">/ </t>
    </r>
    <r>
      <rPr>
        <b/>
        <sz val="10"/>
        <color rgb="FFFFFFFF"/>
        <rFont val="DejaVu Sans"/>
        <family val="2"/>
      </rPr>
      <t xml:space="preserve">옵션 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견적 포함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</si>
  <si>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000000"/>
        <rFont val="DejaVu Sans"/>
        <family val="2"/>
      </rPr>
      <t xml:space="preserve">워크피스 측정 </t>
    </r>
    <r>
      <rPr>
        <b/>
        <sz val="10"/>
        <color rgb="FF000000"/>
        <rFont val="맑은 고딕"/>
        <family val="3"/>
        <charset val="129"/>
      </rPr>
      <t xml:space="preserve">(3D </t>
    </r>
    <r>
      <rPr>
        <b/>
        <sz val="10"/>
        <color rgb="FF000000"/>
        <rFont val="DejaVu Sans"/>
        <family val="2"/>
      </rPr>
      <t>프로브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</si>
  <si>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표준 </t>
    </r>
    <r>
      <rPr>
        <sz val="10"/>
        <color rgb="FF000000"/>
        <rFont val="맑은 고딕"/>
        <family val="3"/>
        <charset val="129"/>
      </rPr>
      <t xml:space="preserve">(HSK </t>
    </r>
    <r>
      <rPr>
        <sz val="10"/>
        <color rgb="FF000000"/>
        <rFont val="DejaVu Sans"/>
        <family val="2"/>
      </rPr>
      <t>열안정 콘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</si>
  <si>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MARPOSS </t>
    </r>
    <r>
      <rPr>
        <sz val="10"/>
        <color rgb="FF000000"/>
        <rFont val="DejaVu Sans"/>
        <family val="2"/>
      </rPr>
      <t>옵션 포함</t>
    </r>
  </si>
  <si>
    <r>
      <rPr>
        <sz val="10"/>
        <color rgb="FF000000"/>
        <rFont val="맑은 고딕"/>
        <family val="3"/>
        <charset val="129"/>
      </rPr>
      <t xml:space="preserve">RENISHAW OMP40 </t>
    </r>
    <r>
      <rPr>
        <sz val="10"/>
        <color rgb="FF000000"/>
        <rFont val="DejaVu Sans"/>
        <family val="2"/>
      </rPr>
      <t>포함</t>
    </r>
  </si>
  <si>
    <r>
      <rPr>
        <b/>
        <sz val="10"/>
        <color rgb="FF000000"/>
        <rFont val="DejaVu Sans"/>
        <family val="2"/>
      </rPr>
      <t xml:space="preserve">공구장 측정 </t>
    </r>
    <r>
      <rPr>
        <b/>
        <sz val="10"/>
        <color rgb="FF000000"/>
        <rFont val="맑은 고딕"/>
        <family val="3"/>
        <charset val="129"/>
      </rPr>
      <t>(Laser/LTS)</t>
    </r>
  </si>
  <si>
    <r>
      <rPr>
        <sz val="10"/>
        <color rgb="FF000000"/>
        <rFont val="DejaVu Sans"/>
        <family val="2"/>
      </rPr>
      <t xml:space="preserve">표준 </t>
    </r>
    <r>
      <rPr>
        <sz val="10"/>
        <color rgb="FF000000"/>
        <rFont val="맑은 고딕"/>
        <family val="3"/>
        <charset val="129"/>
      </rPr>
      <t xml:space="preserve">Laser </t>
    </r>
    <r>
      <rPr>
        <sz val="10"/>
        <color rgb="FF000000"/>
        <rFont val="DejaVu Sans"/>
        <family val="2"/>
      </rPr>
      <t>포함</t>
    </r>
  </si>
  <si>
    <t>비접촉식 옵션 포함</t>
  </si>
  <si>
    <r>
      <rPr>
        <sz val="10"/>
        <color rgb="FF000000"/>
        <rFont val="맑은 고딕"/>
        <family val="3"/>
        <charset val="129"/>
      </rPr>
      <t xml:space="preserve">RENISHAW LTS </t>
    </r>
    <r>
      <rPr>
        <sz val="10"/>
        <color rgb="FF000000"/>
        <rFont val="DejaVu Sans"/>
        <family val="2"/>
      </rPr>
      <t>포함</t>
    </r>
  </si>
  <si>
    <t>Mist Collector</t>
  </si>
  <si>
    <r>
      <rPr>
        <sz val="10"/>
        <color rgb="FF000000"/>
        <rFont val="DejaVu Sans"/>
        <family val="2"/>
      </rPr>
      <t xml:space="preserve">옵션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별도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</si>
  <si>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Local </t>
    </r>
    <r>
      <rPr>
        <sz val="10"/>
        <color rgb="FF000000"/>
        <rFont val="DejaVu Sans"/>
        <family val="2"/>
      </rPr>
      <t xml:space="preserve">구매 </t>
    </r>
    <r>
      <rPr>
        <sz val="10"/>
        <color rgb="FF000000"/>
        <rFont val="맑은 고딕"/>
        <family val="3"/>
        <charset val="129"/>
      </rPr>
      <t>(530,000 JPY)</t>
    </r>
  </si>
  <si>
    <r>
      <rPr>
        <sz val="10"/>
        <color rgb="FF000000"/>
        <rFont val="DejaVu Sans"/>
        <family val="2"/>
      </rPr>
      <t xml:space="preserve">포함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오일미스트 클리너</t>
    </r>
    <r>
      <rPr>
        <sz val="10"/>
        <color rgb="FF000000"/>
        <rFont val="맑은 고딕"/>
        <family val="3"/>
        <charset val="129"/>
      </rPr>
      <t>)</t>
    </r>
  </si>
  <si>
    <t>칩 컨베이어</t>
  </si>
  <si>
    <r>
      <rPr>
        <sz val="10"/>
        <color rgb="FF000000"/>
        <rFont val="DejaVu Sans"/>
        <family val="2"/>
      </rPr>
      <t xml:space="preserve">포함 </t>
    </r>
    <r>
      <rPr>
        <sz val="10"/>
        <color rgb="FF000000"/>
        <rFont val="맑은 고딕"/>
        <family val="3"/>
        <charset val="129"/>
      </rPr>
      <t>(Lift-Up)</t>
    </r>
  </si>
  <si>
    <r>
      <rPr>
        <sz val="10"/>
        <color rgb="FF000000"/>
        <rFont val="DejaVu Sans"/>
        <family val="2"/>
      </rPr>
      <t xml:space="preserve">포함 </t>
    </r>
    <r>
      <rPr>
        <sz val="10"/>
        <color rgb="FF000000"/>
        <rFont val="맑은 고딕"/>
        <family val="3"/>
        <charset val="129"/>
      </rPr>
      <t>(Scrapper)</t>
    </r>
  </si>
  <si>
    <t>자동문</t>
  </si>
  <si>
    <t>옵션</t>
  </si>
  <si>
    <r>
      <rPr>
        <sz val="10"/>
        <color rgb="FF000000"/>
        <rFont val="맑은 고딕"/>
        <family val="3"/>
        <charset val="129"/>
      </rPr>
      <t xml:space="preserve">WPS Shutter </t>
    </r>
    <r>
      <rPr>
        <sz val="10"/>
        <color rgb="FF000000"/>
        <rFont val="DejaVu Sans"/>
        <family val="2"/>
      </rPr>
      <t>포함</t>
    </r>
  </si>
  <si>
    <r>
      <rPr>
        <sz val="10"/>
        <color rgb="FF000000"/>
        <rFont val="맑은 고딕"/>
        <family val="3"/>
        <charset val="129"/>
      </rPr>
      <t xml:space="preserve">Right Side </t>
    </r>
    <r>
      <rPr>
        <sz val="10"/>
        <color rgb="FF000000"/>
        <rFont val="DejaVu Sans"/>
        <family val="2"/>
      </rPr>
      <t>자동문 포함</t>
    </r>
  </si>
  <si>
    <t>로봇 인터페이스</t>
  </si>
  <si>
    <r>
      <rPr>
        <sz val="10"/>
        <color rgb="FF000000"/>
        <rFont val="DejaVu Sans"/>
        <family val="2"/>
      </rPr>
      <t xml:space="preserve">포함 </t>
    </r>
    <r>
      <rPr>
        <sz val="10"/>
        <color rgb="FF000000"/>
        <rFont val="맑은 고딕"/>
        <family val="3"/>
        <charset val="129"/>
      </rPr>
      <t>(EROWA A Type)</t>
    </r>
  </si>
  <si>
    <r>
      <rPr>
        <b/>
        <sz val="10"/>
        <color rgb="FFFFFFFF"/>
        <rFont val="DejaVu Sans"/>
        <family val="2"/>
      </rPr>
      <t xml:space="preserve">▣ 치수 </t>
    </r>
    <r>
      <rPr>
        <b/>
        <sz val="10"/>
        <color rgb="FFFFFFFF"/>
        <rFont val="맑은 고딕"/>
        <family val="3"/>
        <charset val="129"/>
      </rPr>
      <t xml:space="preserve">/ </t>
    </r>
    <r>
      <rPr>
        <b/>
        <sz val="10"/>
        <color rgb="FFFFFFFF"/>
        <rFont val="DejaVu Sans"/>
        <family val="2"/>
      </rPr>
      <t>전력</t>
    </r>
  </si>
  <si>
    <r>
      <rPr>
        <b/>
        <sz val="10"/>
        <color rgb="FF000000"/>
        <rFont val="DejaVu Sans"/>
        <family val="2"/>
      </rPr>
      <t xml:space="preserve">전력 </t>
    </r>
    <r>
      <rPr>
        <b/>
        <sz val="10"/>
        <color rgb="FF000000"/>
        <rFont val="맑은 고딕"/>
        <family val="3"/>
        <charset val="129"/>
      </rPr>
      <t>(kVA)</t>
    </r>
  </si>
  <si>
    <t>운영비 영향</t>
  </si>
  <si>
    <r>
      <rPr>
        <b/>
        <sz val="10"/>
        <color rgb="FF000000"/>
        <rFont val="DejaVu Sans"/>
        <family val="2"/>
      </rPr>
      <t xml:space="preserve">압축공기 </t>
    </r>
    <r>
      <rPr>
        <b/>
        <sz val="10"/>
        <color rgb="FF000000"/>
        <rFont val="맑은 고딕"/>
        <family val="3"/>
        <charset val="129"/>
      </rPr>
      <t>(l/min)</t>
    </r>
  </si>
  <si>
    <r>
      <rPr>
        <b/>
        <sz val="10"/>
        <color rgb="FF000000"/>
        <rFont val="DejaVu Sans"/>
        <family val="2"/>
      </rPr>
      <t xml:space="preserve">총중량 </t>
    </r>
    <r>
      <rPr>
        <b/>
        <sz val="10"/>
        <color rgb="FF000000"/>
        <rFont val="맑은 고딕"/>
        <family val="3"/>
        <charset val="129"/>
      </rPr>
      <t>(kg)</t>
    </r>
  </si>
  <si>
    <r>
      <rPr>
        <b/>
        <sz val="10"/>
        <color rgb="FF000000"/>
        <rFont val="DejaVu Sans"/>
        <family val="2"/>
      </rPr>
      <t xml:space="preserve">치수 </t>
    </r>
    <r>
      <rPr>
        <b/>
        <sz val="10"/>
        <color rgb="FF000000"/>
        <rFont val="맑은 고딕"/>
        <family val="3"/>
        <charset val="129"/>
      </rPr>
      <t>W×L×H (mm)</t>
    </r>
  </si>
  <si>
    <t>2710×2300×2350</t>
  </si>
  <si>
    <t>2480×1995×2080</t>
  </si>
  <si>
    <t>▣ 보증</t>
  </si>
  <si>
    <r>
      <rPr>
        <b/>
        <sz val="10"/>
        <color rgb="FF000000"/>
        <rFont val="DejaVu Sans"/>
        <family val="2"/>
      </rPr>
      <t xml:space="preserve">기계 보증 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DejaVu Sans"/>
        <family val="2"/>
      </rPr>
      <t>개월</t>
    </r>
    <r>
      <rPr>
        <b/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</si>
  <si>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DejaVu Sans"/>
        <family val="2"/>
      </rPr>
      <t>리니어</t>
    </r>
    <r>
      <rPr>
        <b/>
        <sz val="10"/>
        <color rgb="FF000000"/>
        <rFont val="맑은 고딕"/>
        <family val="3"/>
        <charset val="129"/>
      </rPr>
      <t>/</t>
    </r>
    <r>
      <rPr>
        <b/>
        <sz val="10"/>
        <color rgb="FF000000"/>
        <rFont val="DejaVu Sans"/>
        <family val="2"/>
      </rPr>
      <t>토크 모터 보증</t>
    </r>
  </si>
  <si>
    <r>
      <rPr>
        <sz val="10"/>
        <color rgb="FF000000"/>
        <rFont val="맑은 고딕"/>
        <family val="3"/>
        <charset val="129"/>
      </rPr>
      <t>60</t>
    </r>
    <r>
      <rPr>
        <sz val="10"/>
        <color rgb="FF000000"/>
        <rFont val="DejaVu Sans"/>
        <family val="2"/>
      </rPr>
      <t xml:space="preserve">개월 </t>
    </r>
    <r>
      <rPr>
        <sz val="10"/>
        <color rgb="FF000000"/>
        <rFont val="맑은 고딕"/>
        <family val="3"/>
        <charset val="129"/>
      </rPr>
      <t>(5</t>
    </r>
    <r>
      <rPr>
        <sz val="10"/>
        <color rgb="FF000000"/>
        <rFont val="DejaVu Sans"/>
        <family val="2"/>
      </rPr>
      <t>년</t>
    </r>
    <r>
      <rPr>
        <sz val="10"/>
        <color rgb="FF000000"/>
        <rFont val="맑은 고딕"/>
        <family val="3"/>
        <charset val="129"/>
      </rPr>
      <t>)</t>
    </r>
  </si>
  <si>
    <t>해당없음</t>
  </si>
  <si>
    <t>롸이더스 강점</t>
  </si>
  <si>
    <r>
      <rPr>
        <b/>
        <sz val="10"/>
        <color rgb="FF000000"/>
        <rFont val="맑은 고딕"/>
        <family val="3"/>
        <charset val="129"/>
      </rPr>
      <t xml:space="preserve">CNC </t>
    </r>
    <r>
      <rPr>
        <b/>
        <sz val="10"/>
        <color rgb="FF000000"/>
        <rFont val="DejaVu Sans"/>
        <family val="2"/>
      </rPr>
      <t>컨트롤러 보증</t>
    </r>
  </si>
  <si>
    <r>
      <rPr>
        <sz val="10"/>
        <color rgb="FF000000"/>
        <rFont val="맑은 고딕"/>
        <family val="3"/>
        <charset val="129"/>
      </rPr>
      <t>12</t>
    </r>
    <r>
      <rPr>
        <sz val="10"/>
        <color rgb="FF000000"/>
        <rFont val="DejaVu Sans"/>
        <family val="2"/>
      </rPr>
      <t>개월</t>
    </r>
  </si>
  <si>
    <r>
      <rPr>
        <sz val="10"/>
        <color rgb="FF000000"/>
        <rFont val="맑은 고딕"/>
        <family val="3"/>
        <charset val="129"/>
      </rPr>
      <t>FANUC 24</t>
    </r>
    <r>
      <rPr>
        <sz val="10"/>
        <color rgb="FF000000"/>
        <rFont val="DejaVu Sans"/>
        <family val="2"/>
      </rPr>
      <t>개월</t>
    </r>
  </si>
  <si>
    <r>
      <rPr>
        <b/>
        <sz val="10"/>
        <color rgb="FF000000"/>
        <rFont val="DejaVu Sans"/>
        <family val="2"/>
      </rPr>
      <t xml:space="preserve">기술 가용성 </t>
    </r>
    <r>
      <rPr>
        <b/>
        <sz val="10"/>
        <color rgb="FF000000"/>
        <rFont val="맑은 고딕"/>
        <family val="3"/>
        <charset val="129"/>
      </rPr>
      <t>(VDI 3423)</t>
    </r>
  </si>
  <si>
    <t>96%</t>
  </si>
  <si>
    <r>
      <rPr>
        <b/>
        <sz val="20"/>
        <color rgb="FF1E2761"/>
        <rFont val="DejaVu Sans"/>
        <family val="2"/>
      </rPr>
      <t xml:space="preserve">가격 분석 </t>
    </r>
    <r>
      <rPr>
        <b/>
        <sz val="20"/>
        <color rgb="FF1E2761"/>
        <rFont val="맑은 고딕"/>
        <family val="3"/>
        <charset val="129"/>
      </rPr>
      <t>(</t>
    </r>
    <r>
      <rPr>
        <b/>
        <sz val="20"/>
        <color rgb="FF1E2761"/>
        <rFont val="DejaVu Sans"/>
        <family val="2"/>
      </rPr>
      <t>환율 시뮬레이션 가능</t>
    </r>
    <r>
      <rPr>
        <b/>
        <sz val="20"/>
        <color rgb="FF1E2761"/>
        <rFont val="맑은 고딕"/>
        <family val="3"/>
        <charset val="129"/>
      </rPr>
      <t>)</t>
    </r>
  </si>
  <si>
    <r>
      <rPr>
        <i/>
        <sz val="12"/>
        <color rgb="FF555555"/>
        <rFont val="DejaVu Sans"/>
        <family val="2"/>
      </rPr>
      <t>※ 환율</t>
    </r>
    <r>
      <rPr>
        <i/>
        <sz val="12"/>
        <color rgb="FF555555"/>
        <rFont val="맑은 고딕"/>
        <family val="3"/>
        <charset val="129"/>
      </rPr>
      <t>(</t>
    </r>
    <r>
      <rPr>
        <i/>
        <sz val="12"/>
        <color rgb="FF555555"/>
        <rFont val="DejaVu Sans"/>
        <family val="2"/>
      </rPr>
      <t>노란색 셀</t>
    </r>
    <r>
      <rPr>
        <i/>
        <sz val="12"/>
        <color rgb="FF555555"/>
        <rFont val="맑은 고딕"/>
        <family val="3"/>
        <charset val="129"/>
      </rPr>
      <t>)</t>
    </r>
    <r>
      <rPr>
        <i/>
        <sz val="12"/>
        <color rgb="FF555555"/>
        <rFont val="DejaVu Sans"/>
        <family val="2"/>
      </rPr>
      <t xml:space="preserve">을 변경하면 모든 </t>
    </r>
    <r>
      <rPr>
        <i/>
        <sz val="12"/>
        <color rgb="FF555555"/>
        <rFont val="맑은 고딕"/>
        <family val="3"/>
        <charset val="129"/>
      </rPr>
      <t xml:space="preserve">USD </t>
    </r>
    <r>
      <rPr>
        <i/>
        <sz val="12"/>
        <color rgb="FF555555"/>
        <rFont val="DejaVu Sans"/>
        <family val="2"/>
      </rPr>
      <t>환산 금액이 자동 재계산됩니다</t>
    </r>
    <r>
      <rPr>
        <i/>
        <sz val="12"/>
        <color rgb="FF555555"/>
        <rFont val="맑은 고딕"/>
        <family val="3"/>
        <charset val="129"/>
      </rPr>
      <t>.</t>
    </r>
  </si>
  <si>
    <r>
      <rPr>
        <b/>
        <sz val="11"/>
        <color rgb="FF000000"/>
        <rFont val="DejaVu Sans"/>
        <family val="2"/>
      </rPr>
      <t xml:space="preserve">환율 가정 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DejaVu Sans"/>
        <family val="2"/>
      </rPr>
      <t>수정 가능</t>
    </r>
    <r>
      <rPr>
        <b/>
        <sz val="11"/>
        <color rgb="FF000000"/>
        <rFont val="맑은 고딕"/>
        <family val="3"/>
        <charset val="129"/>
      </rPr>
      <t>)</t>
    </r>
  </si>
  <si>
    <t>EUR → USD</t>
  </si>
  <si>
    <t>JPY → USD (1USD =)</t>
  </si>
  <si>
    <t>KRW → USD (1USD =)</t>
  </si>
  <si>
    <t>단위</t>
  </si>
  <si>
    <t>EUR</t>
  </si>
  <si>
    <t>JPY</t>
  </si>
  <si>
    <t>USD</t>
  </si>
  <si>
    <t>-</t>
  </si>
  <si>
    <t>각사 견적 통화</t>
  </si>
  <si>
    <r>
      <rPr>
        <b/>
        <sz val="10"/>
        <color rgb="FF000000"/>
        <rFont val="맑은 고딕"/>
        <family val="3"/>
        <charset val="129"/>
      </rPr>
      <t>Total Price (</t>
    </r>
    <r>
      <rPr>
        <b/>
        <sz val="10"/>
        <color rgb="FF000000"/>
        <rFont val="DejaVu Sans"/>
        <family val="2"/>
      </rPr>
      <t>원통화</t>
    </r>
    <r>
      <rPr>
        <b/>
        <sz val="10"/>
        <color rgb="FF000000"/>
        <rFont val="맑은 고딕"/>
        <family val="3"/>
        <charset val="129"/>
      </rPr>
      <t>)</t>
    </r>
  </si>
  <si>
    <t>원통화</t>
  </si>
  <si>
    <r>
      <rPr>
        <sz val="9"/>
        <color rgb="FF000000"/>
        <rFont val="맑은 고딕"/>
        <family val="3"/>
        <charset val="129"/>
      </rPr>
      <t xml:space="preserve">CIF/FOB </t>
    </r>
    <r>
      <rPr>
        <sz val="9"/>
        <color rgb="FF000000"/>
        <rFont val="DejaVu Sans"/>
        <family val="2"/>
      </rPr>
      <t>별도 표기</t>
    </r>
  </si>
  <si>
    <t>Incoterms</t>
  </si>
  <si>
    <t>CIF Vietnam port</t>
  </si>
  <si>
    <t>DAP Bac Ninh ★</t>
  </si>
  <si>
    <t>FOB Busan</t>
  </si>
  <si>
    <r>
      <rPr>
        <sz val="9"/>
        <color rgb="FF000000"/>
        <rFont val="맑은 고딕"/>
        <family val="3"/>
        <charset val="129"/>
      </rPr>
      <t xml:space="preserve">Komatech </t>
    </r>
    <r>
      <rPr>
        <sz val="9"/>
        <color rgb="FF000000"/>
        <rFont val="DejaVu Sans"/>
        <family val="2"/>
      </rPr>
      <t>운송비 별도</t>
    </r>
  </si>
  <si>
    <r>
      <rPr>
        <b/>
        <sz val="10"/>
        <color rgb="FF000000"/>
        <rFont val="맑은 고딕"/>
        <family val="3"/>
        <charset val="129"/>
      </rPr>
      <t xml:space="preserve">USD </t>
    </r>
    <r>
      <rPr>
        <b/>
        <sz val="10"/>
        <color rgb="FF000000"/>
        <rFont val="DejaVu Sans"/>
        <family val="2"/>
      </rPr>
      <t xml:space="preserve">환산 </t>
    </r>
    <r>
      <rPr>
        <b/>
        <sz val="10"/>
        <color rgb="FF000000"/>
        <rFont val="맑은 고딕"/>
        <family val="3"/>
        <charset val="129"/>
      </rPr>
      <t>(Net)</t>
    </r>
  </si>
  <si>
    <t>환율 적용 자동계산</t>
  </si>
  <si>
    <r>
      <rPr>
        <b/>
        <sz val="10"/>
        <color rgb="FF000000"/>
        <rFont val="맑은 고딕"/>
        <family val="3"/>
        <charset val="129"/>
      </rPr>
      <t>1</t>
    </r>
    <r>
      <rPr>
        <b/>
        <sz val="10"/>
        <color rgb="FF000000"/>
        <rFont val="DejaVu Sans"/>
        <family val="2"/>
      </rPr>
      <t xml:space="preserve">대당 </t>
    </r>
    <r>
      <rPr>
        <b/>
        <sz val="10"/>
        <color rgb="FF000000"/>
        <rFont val="맑은 고딕"/>
        <family val="3"/>
        <charset val="129"/>
      </rPr>
      <t>USD</t>
    </r>
  </si>
  <si>
    <r>
      <rPr>
        <b/>
        <sz val="10"/>
        <color rgb="FF000000"/>
        <rFont val="DejaVu Sans"/>
        <family val="2"/>
      </rPr>
      <t xml:space="preserve">상대 가격 지수 </t>
    </r>
    <r>
      <rPr>
        <b/>
        <sz val="10"/>
        <color rgb="FF000000"/>
        <rFont val="맑은 고딕"/>
        <family val="3"/>
        <charset val="129"/>
      </rPr>
      <t>(KT420A=100)</t>
    </r>
  </si>
  <si>
    <t>지수</t>
  </si>
  <si>
    <t>저가 대비 배수</t>
  </si>
  <si>
    <r>
      <rPr>
        <b/>
        <sz val="10"/>
        <color rgb="FF000000"/>
        <rFont val="DejaVu Sans"/>
        <family val="2"/>
      </rPr>
      <t xml:space="preserve">₩환산 </t>
    </r>
    <r>
      <rPr>
        <b/>
        <sz val="10"/>
        <color rgb="FF000000"/>
        <rFont val="맑은 고딕"/>
        <family val="3"/>
        <charset val="129"/>
      </rPr>
      <t>(1USD=1,440</t>
    </r>
    <r>
      <rPr>
        <b/>
        <sz val="10"/>
        <color rgb="FF000000"/>
        <rFont val="DejaVu Sans"/>
        <family val="2"/>
      </rPr>
      <t>원</t>
    </r>
    <r>
      <rPr>
        <b/>
        <sz val="10"/>
        <color rgb="FF000000"/>
        <rFont val="맑은 고딕"/>
        <family val="3"/>
        <charset val="129"/>
      </rPr>
      <t>)</t>
    </r>
  </si>
  <si>
    <t>KRW</t>
  </si>
  <si>
    <t>한국법인 비교용</t>
  </si>
  <si>
    <r>
      <rPr>
        <b/>
        <sz val="11"/>
        <color rgb="FFFFFFFF"/>
        <rFont val="맑은 고딕"/>
        <family val="3"/>
        <charset val="129"/>
      </rPr>
      <t xml:space="preserve">Makino V33i </t>
    </r>
    <r>
      <rPr>
        <b/>
        <sz val="11"/>
        <color rgb="FFFFFFFF"/>
        <rFont val="DejaVu Sans"/>
        <family val="2"/>
      </rPr>
      <t xml:space="preserve">가격 분해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참고</t>
    </r>
    <r>
      <rPr>
        <b/>
        <sz val="11"/>
        <color rgb="FFFFFFFF"/>
        <rFont val="맑은 고딕"/>
        <family val="3"/>
        <charset val="129"/>
      </rPr>
      <t>)</t>
    </r>
  </si>
  <si>
    <t>Total List Price (60ATC + 30K rpm)</t>
  </si>
  <si>
    <t>USD 280,354</t>
  </si>
  <si>
    <t>Discount (22.0%)</t>
  </si>
  <si>
    <t>USD -61,678</t>
  </si>
  <si>
    <t>Freight (DAP Bac Ninh)</t>
  </si>
  <si>
    <t>USD 11,313</t>
  </si>
  <si>
    <t>Net Total</t>
  </si>
  <si>
    <t>USD 229,989</t>
  </si>
  <si>
    <r>
      <rPr>
        <b/>
        <sz val="20"/>
        <color rgb="FF1E2761"/>
        <rFont val="맑은 고딕"/>
        <family val="3"/>
        <charset val="129"/>
      </rPr>
      <t>Total Cost of Ownership — 5</t>
    </r>
    <r>
      <rPr>
        <b/>
        <sz val="20"/>
        <color rgb="FF1E2761"/>
        <rFont val="DejaVu Sans"/>
        <family val="2"/>
      </rPr>
      <t>년 시뮬레이션</t>
    </r>
  </si>
  <si>
    <r>
      <rPr>
        <i/>
        <sz val="12"/>
        <color rgb="FF555555"/>
        <rFont val="DejaVu Sans"/>
        <family val="2"/>
      </rPr>
      <t xml:space="preserve">구입가 </t>
    </r>
    <r>
      <rPr>
        <i/>
        <sz val="12"/>
        <color rgb="FF555555"/>
        <rFont val="맑은 고딕"/>
        <family val="3"/>
        <charset val="129"/>
      </rPr>
      <t xml:space="preserve">+ </t>
    </r>
    <r>
      <rPr>
        <i/>
        <sz val="12"/>
        <color rgb="FF555555"/>
        <rFont val="DejaVu Sans"/>
        <family val="2"/>
      </rPr>
      <t>운송</t>
    </r>
    <r>
      <rPr>
        <i/>
        <sz val="12"/>
        <color rgb="FF555555"/>
        <rFont val="맑은 고딕"/>
        <family val="3"/>
        <charset val="129"/>
      </rPr>
      <t>·</t>
    </r>
    <r>
      <rPr>
        <i/>
        <sz val="12"/>
        <color rgb="FF555555"/>
        <rFont val="DejaVu Sans"/>
        <family val="2"/>
      </rPr>
      <t xml:space="preserve">설치 </t>
    </r>
    <r>
      <rPr>
        <i/>
        <sz val="12"/>
        <color rgb="FF555555"/>
        <rFont val="맑은 고딕"/>
        <family val="3"/>
        <charset val="129"/>
      </rPr>
      <t>+ 5</t>
    </r>
    <r>
      <rPr>
        <i/>
        <sz val="12"/>
        <color rgb="FF555555"/>
        <rFont val="DejaVu Sans"/>
        <family val="2"/>
      </rPr>
      <t xml:space="preserve">년 </t>
    </r>
    <r>
      <rPr>
        <i/>
        <sz val="12"/>
        <color rgb="FF555555"/>
        <rFont val="맑은 고딕"/>
        <family val="3"/>
        <charset val="129"/>
      </rPr>
      <t>(</t>
    </r>
    <r>
      <rPr>
        <i/>
        <sz val="12"/>
        <color rgb="FF555555"/>
        <rFont val="DejaVu Sans"/>
        <family val="2"/>
      </rPr>
      <t>전력</t>
    </r>
    <r>
      <rPr>
        <i/>
        <sz val="12"/>
        <color rgb="FF555555"/>
        <rFont val="맑은 고딕"/>
        <family val="3"/>
        <charset val="129"/>
      </rPr>
      <t>+</t>
    </r>
    <r>
      <rPr>
        <i/>
        <sz val="12"/>
        <color rgb="FF555555"/>
        <rFont val="DejaVu Sans"/>
        <family val="2"/>
      </rPr>
      <t>유지보수</t>
    </r>
    <r>
      <rPr>
        <i/>
        <sz val="12"/>
        <color rgb="FF555555"/>
        <rFont val="맑은 고딕"/>
        <family val="3"/>
        <charset val="129"/>
      </rPr>
      <t>+</t>
    </r>
    <r>
      <rPr>
        <i/>
        <sz val="12"/>
        <color rgb="FF555555"/>
        <rFont val="DejaVu Sans"/>
        <family val="2"/>
      </rPr>
      <t>소모품</t>
    </r>
    <r>
      <rPr>
        <i/>
        <sz val="12"/>
        <color rgb="FF555555"/>
        <rFont val="맑은 고딕"/>
        <family val="3"/>
        <charset val="129"/>
      </rPr>
      <t xml:space="preserve">) - </t>
    </r>
    <r>
      <rPr>
        <i/>
        <sz val="12"/>
        <color rgb="FF555555"/>
        <rFont val="DejaVu Sans"/>
        <family val="2"/>
      </rPr>
      <t>잔존가치</t>
    </r>
  </si>
  <si>
    <r>
      <rPr>
        <b/>
        <sz val="11"/>
        <color rgb="FF000000"/>
        <rFont val="맑은 고딕"/>
        <family val="3"/>
        <charset val="129"/>
      </rPr>
      <t xml:space="preserve">TCO </t>
    </r>
    <r>
      <rPr>
        <b/>
        <sz val="11"/>
        <color rgb="FF000000"/>
        <rFont val="DejaVu Sans"/>
        <family val="2"/>
      </rPr>
      <t>계산 가정</t>
    </r>
  </si>
  <si>
    <r>
      <rPr>
        <b/>
        <sz val="10"/>
        <color rgb="FF000000"/>
        <rFont val="DejaVu Sans"/>
        <family val="2"/>
      </rPr>
      <t xml:space="preserve">운영기간 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DejaVu Sans"/>
        <family val="2"/>
      </rPr>
      <t>년</t>
    </r>
    <r>
      <rPr>
        <b/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</si>
  <si>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DejaVu Sans"/>
        <family val="2"/>
      </rPr>
      <t xml:space="preserve">연간 가동시간 </t>
    </r>
    <r>
      <rPr>
        <b/>
        <sz val="10"/>
        <color rgb="FF000000"/>
        <rFont val="맑은 고딕"/>
        <family val="3"/>
        <charset val="129"/>
      </rPr>
      <t>(h)</t>
    </r>
  </si>
  <si>
    <r>
      <rPr>
        <b/>
        <sz val="10"/>
        <color rgb="FF000000"/>
        <rFont val="DejaVu Sans"/>
        <family val="2"/>
      </rPr>
      <t xml:space="preserve">전력단가 </t>
    </r>
    <r>
      <rPr>
        <b/>
        <sz val="10"/>
        <color rgb="FF000000"/>
        <rFont val="맑은 고딕"/>
        <family val="3"/>
        <charset val="129"/>
      </rPr>
      <t>(USD/kWh)</t>
    </r>
  </si>
  <si>
    <r>
      <rPr>
        <b/>
        <sz val="11"/>
        <color rgb="FFFFFFFF"/>
        <rFont val="맑은 고딕"/>
        <family val="3"/>
        <charset val="129"/>
      </rPr>
      <t xml:space="preserve">TCO </t>
    </r>
    <r>
      <rPr>
        <b/>
        <sz val="11"/>
        <color rgb="FFFFFFFF"/>
        <rFont val="DejaVu Sans"/>
        <family val="2"/>
      </rPr>
      <t>항목</t>
    </r>
  </si>
  <si>
    <t>산출 근거</t>
  </si>
  <si>
    <r>
      <rPr>
        <sz val="10"/>
        <color rgb="FF000000"/>
        <rFont val="DejaVu Sans"/>
        <family val="2"/>
      </rPr>
      <t xml:space="preserve">① 구입가 </t>
    </r>
    <r>
      <rPr>
        <sz val="10"/>
        <color rgb="FF000000"/>
        <rFont val="맑은 고딕"/>
        <family val="3"/>
        <charset val="129"/>
      </rPr>
      <t xml:space="preserve">(USD, </t>
    </r>
    <r>
      <rPr>
        <sz val="10"/>
        <color rgb="FF000000"/>
        <rFont val="DejaVu Sans"/>
        <family val="2"/>
      </rPr>
      <t>환산</t>
    </r>
    <r>
      <rPr>
        <sz val="10"/>
        <color rgb="FF000000"/>
        <rFont val="맑은 고딕"/>
        <family val="3"/>
        <charset val="129"/>
      </rPr>
      <t>)</t>
    </r>
  </si>
  <si>
    <r>
      <rPr>
        <sz val="9"/>
        <color rgb="FF666666"/>
        <rFont val="맑은 고딕"/>
        <family val="3"/>
        <charset val="129"/>
      </rPr>
      <t xml:space="preserve">CIF/FOB </t>
    </r>
    <r>
      <rPr>
        <sz val="9"/>
        <color rgb="FF666666"/>
        <rFont val="DejaVu Sans"/>
        <family val="2"/>
      </rPr>
      <t>환산</t>
    </r>
  </si>
  <si>
    <r>
      <rPr>
        <sz val="10"/>
        <color rgb="FF000000"/>
        <rFont val="DejaVu Sans"/>
        <family val="2"/>
      </rPr>
      <t>② 운송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 xml:space="preserve">설치비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추정</t>
    </r>
    <r>
      <rPr>
        <sz val="10"/>
        <color rgb="FF000000"/>
        <rFont val="맑은 고딕"/>
        <family val="3"/>
        <charset val="129"/>
      </rPr>
      <t>)</t>
    </r>
  </si>
  <si>
    <r>
      <rPr>
        <sz val="9"/>
        <color rgb="FF666666"/>
        <rFont val="맑은 고딕"/>
        <family val="3"/>
        <charset val="129"/>
      </rPr>
      <t>CIF</t>
    </r>
    <r>
      <rPr>
        <sz val="9"/>
        <color rgb="FF666666"/>
        <rFont val="DejaVu Sans"/>
        <family val="2"/>
      </rPr>
      <t xml:space="preserve">면 </t>
    </r>
    <r>
      <rPr>
        <sz val="9"/>
        <color rgb="FF666666"/>
        <rFont val="맑은 고딕"/>
        <family val="3"/>
        <charset val="129"/>
      </rPr>
      <t>0, FOB</t>
    </r>
    <r>
      <rPr>
        <sz val="9"/>
        <color rgb="FF666666"/>
        <rFont val="DejaVu Sans"/>
        <family val="2"/>
      </rPr>
      <t xml:space="preserve">면 </t>
    </r>
    <r>
      <rPr>
        <sz val="9"/>
        <color rgb="FF666666"/>
        <rFont val="맑은 고딕"/>
        <family val="3"/>
        <charset val="129"/>
      </rPr>
      <t>5</t>
    </r>
    <r>
      <rPr>
        <sz val="9"/>
        <color rgb="FF666666"/>
        <rFont val="DejaVu Sans"/>
        <family val="2"/>
      </rPr>
      <t>천 가정</t>
    </r>
  </si>
  <si>
    <r>
      <rPr>
        <sz val="10"/>
        <color rgb="FF000000"/>
        <rFont val="DejaVu Sans"/>
        <family val="2"/>
      </rPr>
      <t>③ 시운전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교육비</t>
    </r>
  </si>
  <si>
    <t>견적가 포함</t>
  </si>
  <si>
    <r>
      <rPr>
        <b/>
        <sz val="10"/>
        <color rgb="FF000000"/>
        <rFont val="맑은 고딕"/>
        <family val="3"/>
        <charset val="129"/>
      </rPr>
      <t xml:space="preserve">--- </t>
    </r>
    <r>
      <rPr>
        <b/>
        <sz val="10"/>
        <color rgb="FF000000"/>
        <rFont val="DejaVu Sans"/>
        <family val="2"/>
      </rPr>
      <t xml:space="preserve">초기투자 합계 </t>
    </r>
    <r>
      <rPr>
        <b/>
        <sz val="10"/>
        <color rgb="FF000000"/>
        <rFont val="맑은 고딕"/>
        <family val="3"/>
        <charset val="129"/>
      </rPr>
      <t>---</t>
    </r>
  </si>
  <si>
    <r>
      <rPr>
        <sz val="10"/>
        <color rgb="FF000000"/>
        <rFont val="DejaVu Sans"/>
        <family val="2"/>
      </rPr>
      <t xml:space="preserve">연간 전력 </t>
    </r>
    <r>
      <rPr>
        <sz val="10"/>
        <color rgb="FF000000"/>
        <rFont val="맑은 고딕"/>
        <family val="3"/>
        <charset val="129"/>
      </rPr>
      <t>(kVA)</t>
    </r>
  </si>
  <si>
    <t>kVA</t>
  </si>
  <si>
    <r>
      <rPr>
        <sz val="9"/>
        <color rgb="FF666666"/>
        <rFont val="DejaVu Sans"/>
        <family val="2"/>
      </rPr>
      <t xml:space="preserve">추정 </t>
    </r>
    <r>
      <rPr>
        <sz val="9"/>
        <color rgb="FF666666"/>
        <rFont val="맑은 고딕"/>
        <family val="3"/>
        <charset val="129"/>
      </rPr>
      <t xml:space="preserve">(V33i/KT420A </t>
    </r>
    <r>
      <rPr>
        <sz val="9"/>
        <color rgb="FF666666"/>
        <rFont val="DejaVu Sans"/>
        <family val="2"/>
      </rPr>
      <t>미명시</t>
    </r>
    <r>
      <rPr>
        <sz val="9"/>
        <color rgb="FF666666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</si>
  <si>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연간 전력비 </t>
    </r>
    <r>
      <rPr>
        <sz val="10"/>
        <color rgb="FF000000"/>
        <rFont val="맑은 고딕"/>
        <family val="3"/>
        <charset val="129"/>
      </rPr>
      <t>(USD/</t>
    </r>
    <r>
      <rPr>
        <sz val="10"/>
        <color rgb="FF000000"/>
        <rFont val="DejaVu Sans"/>
        <family val="2"/>
      </rPr>
      <t>년</t>
    </r>
    <r>
      <rPr>
        <sz val="10"/>
        <color rgb="FF000000"/>
        <rFont val="맑은 고딕"/>
        <family val="3"/>
        <charset val="129"/>
      </rPr>
      <t>)</t>
    </r>
  </si>
  <si>
    <r>
      <rPr>
        <sz val="9"/>
        <color rgb="FF666666"/>
        <rFont val="DejaVu Sans"/>
        <family val="2"/>
      </rPr>
      <t>효율</t>
    </r>
    <r>
      <rPr>
        <sz val="9"/>
        <color rgb="FF666666"/>
        <rFont val="맑은 고딕"/>
        <family val="3"/>
        <charset val="129"/>
      </rPr>
      <t xml:space="preserve">0.7 × </t>
    </r>
    <r>
      <rPr>
        <sz val="9"/>
        <color rgb="FF666666"/>
        <rFont val="DejaVu Sans"/>
        <family val="2"/>
      </rPr>
      <t xml:space="preserve">시간 </t>
    </r>
    <r>
      <rPr>
        <sz val="9"/>
        <color rgb="FF666666"/>
        <rFont val="맑은 고딕"/>
        <family val="3"/>
        <charset val="129"/>
      </rPr>
      <t xml:space="preserve">× </t>
    </r>
    <r>
      <rPr>
        <sz val="9"/>
        <color rgb="FF666666"/>
        <rFont val="DejaVu Sans"/>
        <family val="2"/>
      </rPr>
      <t>단가</t>
    </r>
  </si>
  <si>
    <r>
      <rPr>
        <sz val="10"/>
        <color rgb="FF000000"/>
        <rFont val="DejaVu Sans"/>
        <family val="2"/>
      </rPr>
      <t xml:space="preserve">연간 유지보수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 xml:space="preserve">구입가 </t>
    </r>
    <r>
      <rPr>
        <sz val="10"/>
        <color rgb="FF000000"/>
        <rFont val="맑은 고딕"/>
        <family val="3"/>
        <charset val="129"/>
      </rPr>
      <t>3%)</t>
    </r>
  </si>
  <si>
    <t>업계 평균 가정</t>
  </si>
  <si>
    <r>
      <rPr>
        <sz val="10"/>
        <color rgb="FF000000"/>
        <rFont val="DejaVu Sans"/>
        <family val="2"/>
      </rPr>
      <t>연간 소모품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공구</t>
    </r>
  </si>
  <si>
    <r>
      <rPr>
        <sz val="9"/>
        <color rgb="FF666666"/>
        <rFont val="DejaVu Sans"/>
        <family val="2"/>
      </rPr>
      <t xml:space="preserve">추정 </t>
    </r>
    <r>
      <rPr>
        <sz val="9"/>
        <color rgb="FF666666"/>
        <rFont val="맑은 고딕"/>
        <family val="3"/>
        <charset val="129"/>
      </rPr>
      <t xml:space="preserve">(RPM </t>
    </r>
    <r>
      <rPr>
        <sz val="9"/>
        <color rgb="FF666666"/>
        <rFont val="DejaVu Sans"/>
        <family val="2"/>
      </rPr>
      <t>클래스별</t>
    </r>
    <r>
      <rPr>
        <sz val="9"/>
        <color rgb="FF666666"/>
        <rFont val="맑은 고딕"/>
        <family val="3"/>
        <charset val="129"/>
      </rPr>
      <t>)</t>
    </r>
  </si>
  <si>
    <t>연간 운영비 합계</t>
  </si>
  <si>
    <r>
      <rPr>
        <sz val="10"/>
        <color rgb="FF000000"/>
        <rFont val="맑은 고딕"/>
        <family val="3"/>
        <charset val="129"/>
      </rPr>
      <t>5</t>
    </r>
    <r>
      <rPr>
        <sz val="10"/>
        <color rgb="FF000000"/>
        <rFont val="DejaVu Sans"/>
        <family val="2"/>
      </rPr>
      <t xml:space="preserve">년 운영비 </t>
    </r>
    <r>
      <rPr>
        <sz val="10"/>
        <color rgb="FF000000"/>
        <rFont val="맑은 고딕"/>
        <family val="3"/>
        <charset val="129"/>
      </rPr>
      <t>(×5)</t>
    </r>
  </si>
  <si>
    <r>
      <rPr>
        <sz val="10"/>
        <color rgb="FF000000"/>
        <rFont val="DejaVu Sans"/>
        <family val="2"/>
      </rPr>
      <t xml:space="preserve">잔존가치 </t>
    </r>
    <r>
      <rPr>
        <sz val="10"/>
        <color rgb="FF000000"/>
        <rFont val="맑은 고딕"/>
        <family val="3"/>
        <charset val="129"/>
      </rPr>
      <t>(5</t>
    </r>
    <r>
      <rPr>
        <sz val="10"/>
        <color rgb="FF000000"/>
        <rFont val="DejaVu Sans"/>
        <family val="2"/>
      </rPr>
      <t xml:space="preserve">년 후 </t>
    </r>
    <r>
      <rPr>
        <sz val="10"/>
        <color rgb="FF000000"/>
        <rFont val="맑은 고딕"/>
        <family val="3"/>
        <charset val="129"/>
      </rPr>
      <t>30%)</t>
    </r>
  </si>
  <si>
    <r>
      <rPr>
        <sz val="9"/>
        <color rgb="FF666666"/>
        <rFont val="DejaVu Sans"/>
        <family val="2"/>
      </rPr>
      <t xml:space="preserve">음수 </t>
    </r>
    <r>
      <rPr>
        <sz val="9"/>
        <color rgb="FF666666"/>
        <rFont val="맑은 고딕"/>
        <family val="3"/>
        <charset val="129"/>
      </rPr>
      <t>(</t>
    </r>
    <r>
      <rPr>
        <sz val="9"/>
        <color rgb="FF666666"/>
        <rFont val="DejaVu Sans"/>
        <family val="2"/>
      </rPr>
      <t>회수</t>
    </r>
    <r>
      <rPr>
        <sz val="9"/>
        <color rgb="FF666666"/>
        <rFont val="맑은 고딕"/>
        <family val="3"/>
        <charset val="129"/>
      </rPr>
      <t>)</t>
    </r>
  </si>
  <si>
    <r>
      <rPr>
        <b/>
        <sz val="11"/>
        <color rgb="FFFFFFFF"/>
        <rFont val="맑은 고딕"/>
        <family val="3"/>
        <charset val="129"/>
      </rPr>
      <t>◆ 5</t>
    </r>
    <r>
      <rPr>
        <b/>
        <sz val="11"/>
        <color rgb="FFFFFFFF"/>
        <rFont val="DejaVu Sans"/>
        <family val="2"/>
      </rPr>
      <t xml:space="preserve">년 </t>
    </r>
    <r>
      <rPr>
        <b/>
        <sz val="11"/>
        <color rgb="FFFFFFFF"/>
        <rFont val="맑은 고딕"/>
        <family val="3"/>
        <charset val="129"/>
      </rPr>
      <t xml:space="preserve">TCO </t>
    </r>
    <r>
      <rPr>
        <b/>
        <sz val="11"/>
        <color rgb="FFFFFFFF"/>
        <rFont val="DejaVu Sans"/>
        <family val="2"/>
      </rPr>
      <t>합계</t>
    </r>
  </si>
  <si>
    <r>
      <rPr>
        <b/>
        <sz val="10"/>
        <color rgb="FF000000"/>
        <rFont val="DejaVu Sans"/>
        <family val="2"/>
      </rPr>
      <t xml:space="preserve">연평균 </t>
    </r>
    <r>
      <rPr>
        <b/>
        <sz val="10"/>
        <color rgb="FF000000"/>
        <rFont val="맑은 고딕"/>
        <family val="3"/>
        <charset val="129"/>
      </rPr>
      <t>TCO (USD/</t>
    </r>
    <r>
      <rPr>
        <b/>
        <sz val="10"/>
        <color rgb="FF000000"/>
        <rFont val="DejaVu Sans"/>
        <family val="2"/>
      </rPr>
      <t>년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</si>
  <si>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초기투자 대비 </t>
    </r>
    <r>
      <rPr>
        <sz val="10"/>
        <color rgb="FF000000"/>
        <rFont val="맑은 고딕"/>
        <family val="3"/>
        <charset val="129"/>
      </rPr>
      <t xml:space="preserve">TCO </t>
    </r>
    <r>
      <rPr>
        <sz val="10"/>
        <color rgb="FF000000"/>
        <rFont val="DejaVu Sans"/>
        <family val="2"/>
      </rPr>
      <t>비율</t>
    </r>
  </si>
  <si>
    <t>배수</t>
  </si>
  <si>
    <r>
      <rPr>
        <b/>
        <sz val="20"/>
        <color rgb="FF1E2761"/>
        <rFont val="DejaVu Sans"/>
        <family val="2"/>
      </rPr>
      <t xml:space="preserve">상업조건 </t>
    </r>
    <r>
      <rPr>
        <b/>
        <sz val="20"/>
        <color rgb="FF1E2761"/>
        <rFont val="맑은 고딕"/>
        <family val="3"/>
        <charset val="129"/>
      </rPr>
      <t xml:space="preserve">/ </t>
    </r>
    <r>
      <rPr>
        <b/>
        <sz val="20"/>
        <color rgb="FF1E2761"/>
        <rFont val="DejaVu Sans"/>
        <family val="2"/>
      </rPr>
      <t>계약조건 비교</t>
    </r>
  </si>
  <si>
    <t>리스크</t>
  </si>
  <si>
    <t>견적 통화</t>
  </si>
  <si>
    <t>환율</t>
  </si>
  <si>
    <t>운임</t>
  </si>
  <si>
    <t>운임 포함 여부</t>
  </si>
  <si>
    <r>
      <rPr>
        <sz val="10"/>
        <color rgb="FF000000"/>
        <rFont val="DejaVu Sans"/>
        <family val="2"/>
      </rPr>
      <t xml:space="preserve">포함 </t>
    </r>
    <r>
      <rPr>
        <sz val="10"/>
        <color rgb="FF000000"/>
        <rFont val="맑은 고딕"/>
        <family val="3"/>
        <charset val="129"/>
      </rPr>
      <t>(CIF 6,830 EUR)</t>
    </r>
  </si>
  <si>
    <r>
      <rPr>
        <sz val="10"/>
        <color rgb="FF000000"/>
        <rFont val="DejaVu Sans"/>
        <family val="2"/>
      </rPr>
      <t>포함</t>
    </r>
    <r>
      <rPr>
        <sz val="10"/>
        <color rgb="FF000000"/>
        <rFont val="맑은 고딕"/>
        <family val="3"/>
        <charset val="129"/>
      </rPr>
      <t>+</t>
    </r>
    <r>
      <rPr>
        <sz val="10"/>
        <color rgb="FF000000"/>
        <rFont val="DejaVu Sans"/>
        <family val="2"/>
      </rPr>
      <t>통관</t>
    </r>
    <r>
      <rPr>
        <sz val="10"/>
        <color rgb="FF000000"/>
        <rFont val="맑은 고딕"/>
        <family val="3"/>
        <charset val="129"/>
      </rPr>
      <t>+</t>
    </r>
    <r>
      <rPr>
        <sz val="10"/>
        <color rgb="FF000000"/>
        <rFont val="DejaVu Sans"/>
        <family val="2"/>
      </rPr>
      <t xml:space="preserve">공장운송 </t>
    </r>
    <r>
      <rPr>
        <sz val="10"/>
        <color rgb="FF000000"/>
        <rFont val="맑은 고딕"/>
        <family val="3"/>
        <charset val="129"/>
      </rPr>
      <t>(1,697,000 JPY)</t>
    </r>
  </si>
  <si>
    <r>
      <rPr>
        <sz val="10"/>
        <color rgb="FF000000"/>
        <rFont val="DejaVu Sans"/>
        <family val="2"/>
      </rPr>
      <t xml:space="preserve">미포함 </t>
    </r>
    <r>
      <rPr>
        <sz val="10"/>
        <color rgb="FF000000"/>
        <rFont val="맑은 고딕"/>
        <family val="3"/>
        <charset val="129"/>
      </rPr>
      <t>(FOB)</t>
    </r>
  </si>
  <si>
    <t>추가비용</t>
  </si>
  <si>
    <t>결제 조건</t>
  </si>
  <si>
    <r>
      <rPr>
        <sz val="10"/>
        <color rgb="FF000000"/>
        <rFont val="맑은 고딕"/>
        <family val="3"/>
        <charset val="129"/>
      </rPr>
      <t xml:space="preserve">1/3 down + 2/3 </t>
    </r>
    <r>
      <rPr>
        <sz val="10"/>
        <color rgb="FF000000"/>
        <rFont val="DejaVu Sans"/>
        <family val="2"/>
      </rPr>
      <t xml:space="preserve">선적전 또는 </t>
    </r>
    <r>
      <rPr>
        <sz val="10"/>
        <color rgb="FF000000"/>
        <rFont val="맑은 고딕"/>
        <family val="3"/>
        <charset val="129"/>
      </rPr>
      <t>100% L/C</t>
    </r>
  </si>
  <si>
    <r>
      <rPr>
        <sz val="10"/>
        <color rgb="FF000000"/>
        <rFont val="맑은 고딕"/>
        <family val="3"/>
        <charset val="129"/>
      </rPr>
      <t xml:space="preserve">20% </t>
    </r>
    <r>
      <rPr>
        <sz val="10"/>
        <color rgb="FF000000"/>
        <rFont val="DejaVu Sans"/>
        <family val="2"/>
      </rPr>
      <t xml:space="preserve">계약 후 </t>
    </r>
    <r>
      <rPr>
        <sz val="10"/>
        <color rgb="FF000000"/>
        <rFont val="맑은 고딕"/>
        <family val="3"/>
        <charset val="129"/>
      </rPr>
      <t xml:space="preserve">+ 80% </t>
    </r>
    <r>
      <rPr>
        <sz val="10"/>
        <color rgb="FF000000"/>
        <rFont val="DejaVu Sans"/>
        <family val="2"/>
      </rPr>
      <t xml:space="preserve">선적전 </t>
    </r>
    <r>
      <rPr>
        <sz val="10"/>
        <color rgb="FF000000"/>
        <rFont val="맑은 고딕"/>
        <family val="3"/>
        <charset val="129"/>
      </rPr>
      <t>L/C</t>
    </r>
  </si>
  <si>
    <r>
      <rPr>
        <sz val="10"/>
        <color rgb="FF000000"/>
        <rFont val="맑은 고딕"/>
        <family val="3"/>
        <charset val="129"/>
      </rPr>
      <t xml:space="preserve">T/T 30% </t>
    </r>
    <r>
      <rPr>
        <sz val="10"/>
        <color rgb="FF000000"/>
        <rFont val="DejaVu Sans"/>
        <family val="2"/>
      </rPr>
      <t xml:space="preserve">계약 </t>
    </r>
    <r>
      <rPr>
        <sz val="10"/>
        <color rgb="FF000000"/>
        <rFont val="맑은 고딕"/>
        <family val="3"/>
        <charset val="129"/>
      </rPr>
      <t xml:space="preserve">+ 70% </t>
    </r>
    <r>
      <rPr>
        <sz val="10"/>
        <color rgb="FF000000"/>
        <rFont val="DejaVu Sans"/>
        <family val="2"/>
      </rPr>
      <t>선적전</t>
    </r>
  </si>
  <si>
    <t>자금부담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</si>
  <si>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 xml:space="preserve">개월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 xml:space="preserve">환율 </t>
    </r>
    <r>
      <rPr>
        <sz val="10"/>
        <color rgb="FF000000"/>
        <rFont val="맑은 고딕"/>
        <family val="3"/>
        <charset val="129"/>
      </rPr>
      <t xml:space="preserve">±5% </t>
    </r>
    <r>
      <rPr>
        <sz val="10"/>
        <color rgb="FF000000"/>
        <rFont val="DejaVu Sans"/>
        <family val="2"/>
      </rPr>
      <t>재견적</t>
    </r>
    <r>
      <rPr>
        <sz val="10"/>
        <color rgb="FF000000"/>
        <rFont val="맑은 고딕"/>
        <family val="3"/>
        <charset val="129"/>
      </rPr>
      <t>)</t>
    </r>
  </si>
  <si>
    <t>재견적</t>
  </si>
  <si>
    <r>
      <rPr>
        <sz val="10"/>
        <color rgb="FF000000"/>
        <rFont val="맑은 고딕"/>
        <family val="3"/>
        <charset val="129"/>
      </rPr>
      <t>5~7</t>
    </r>
    <r>
      <rPr>
        <sz val="10"/>
        <color rgb="FF000000"/>
        <rFont val="DejaVu Sans"/>
        <family val="2"/>
      </rPr>
      <t>개월</t>
    </r>
  </si>
  <si>
    <r>
      <rPr>
        <sz val="10"/>
        <color rgb="FF000000"/>
        <rFont val="맑은 고딕"/>
        <family val="3"/>
        <charset val="129"/>
      </rPr>
      <t>12~16</t>
    </r>
    <r>
      <rPr>
        <sz val="10"/>
        <color rgb="FF000000"/>
        <rFont val="DejaVu Sans"/>
        <family val="2"/>
      </rPr>
      <t xml:space="preserve">주 </t>
    </r>
    <r>
      <rPr>
        <sz val="10"/>
        <color rgb="FF000000"/>
        <rFont val="맑은 고딕"/>
        <family val="3"/>
        <charset val="129"/>
      </rPr>
      <t>(3~4</t>
    </r>
    <r>
      <rPr>
        <sz val="10"/>
        <color rgb="FF000000"/>
        <rFont val="DejaVu Sans"/>
        <family val="2"/>
      </rPr>
      <t>개월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</si>
  <si>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DejaVu Sans"/>
        <family val="2"/>
      </rPr>
      <t>개월</t>
    </r>
  </si>
  <si>
    <t>리드타임</t>
  </si>
  <si>
    <r>
      <rPr>
        <b/>
        <sz val="10"/>
        <color rgb="FF000000"/>
        <rFont val="DejaVu Sans"/>
        <family val="2"/>
      </rPr>
      <t xml:space="preserve">보증 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DejaVu Sans"/>
        <family val="2"/>
      </rPr>
      <t>기계</t>
    </r>
    <r>
      <rPr>
        <b/>
        <sz val="10"/>
        <color rgb="FF000000"/>
        <rFont val="맑은 고딕"/>
        <family val="3"/>
        <charset val="129"/>
      </rPr>
      <t xml:space="preserve">, </t>
    </r>
    <r>
      <rPr>
        <b/>
        <sz val="10"/>
        <color rgb="FF000000"/>
        <rFont val="DejaVu Sans"/>
        <family val="2"/>
      </rPr>
      <t>개월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</si>
  <si>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12 (</t>
    </r>
    <r>
      <rPr>
        <sz val="10"/>
        <color rgb="FF000000"/>
        <rFont val="DejaVu Sans"/>
        <family val="2"/>
      </rPr>
      <t xml:space="preserve">리니어모터 </t>
    </r>
    <r>
      <rPr>
        <sz val="10"/>
        <color rgb="FF000000"/>
        <rFont val="맑은 고딕"/>
        <family val="3"/>
        <charset val="129"/>
      </rPr>
      <t>60)</t>
    </r>
  </si>
  <si>
    <t>12</t>
  </si>
  <si>
    <t>하자담보</t>
  </si>
  <si>
    <r>
      <rPr>
        <b/>
        <sz val="10"/>
        <color rgb="FF000000"/>
        <rFont val="맑은 고딕"/>
        <family val="3"/>
        <charset val="129"/>
      </rPr>
      <t xml:space="preserve">CNC </t>
    </r>
    <r>
      <rPr>
        <b/>
        <sz val="10"/>
        <color rgb="FF000000"/>
        <rFont val="DejaVu Sans"/>
        <family val="2"/>
      </rPr>
      <t>보증</t>
    </r>
  </si>
  <si>
    <t>소유권 이전 시점</t>
  </si>
  <si>
    <r>
      <rPr>
        <sz val="10"/>
        <color rgb="FF000000"/>
        <rFont val="DejaVu Sans"/>
        <family val="2"/>
      </rPr>
      <t xml:space="preserve">대금 </t>
    </r>
    <r>
      <rPr>
        <sz val="10"/>
        <color rgb="FF000000"/>
        <rFont val="맑은 고딕"/>
        <family val="3"/>
        <charset val="129"/>
      </rPr>
      <t xml:space="preserve">100% </t>
    </r>
    <r>
      <rPr>
        <sz val="10"/>
        <color rgb="FF000000"/>
        <rFont val="DejaVu Sans"/>
        <family val="2"/>
      </rPr>
      <t>완납 후</t>
    </r>
  </si>
  <si>
    <r>
      <rPr>
        <sz val="10"/>
        <color rgb="FF000000"/>
        <rFont val="맑은 고딕"/>
        <family val="3"/>
        <charset val="129"/>
      </rPr>
      <t xml:space="preserve">Inco terms </t>
    </r>
    <r>
      <rPr>
        <sz val="10"/>
        <color rgb="FF000000"/>
        <rFont val="DejaVu Sans"/>
        <family val="2"/>
      </rPr>
      <t>기준</t>
    </r>
  </si>
  <si>
    <r>
      <rPr>
        <b/>
        <sz val="10"/>
        <color rgb="FF000000"/>
        <rFont val="DejaVu Sans"/>
        <family val="2"/>
      </rPr>
      <t xml:space="preserve">교육 </t>
    </r>
    <r>
      <rPr>
        <b/>
        <sz val="10"/>
        <color rgb="FF000000"/>
        <rFont val="맑은 고딕"/>
        <family val="3"/>
        <charset val="129"/>
      </rPr>
      <t>(Training)</t>
    </r>
  </si>
  <si>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DejaVu Sans"/>
        <family val="2"/>
      </rPr>
      <t xml:space="preserve">일 현장교육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DejaVu Sans"/>
        <family val="2"/>
      </rPr>
      <t>출장비 포함</t>
    </r>
  </si>
  <si>
    <r>
      <rPr>
        <sz val="10"/>
        <color rgb="FF000000"/>
        <rFont val="DejaVu Sans"/>
        <family val="2"/>
      </rPr>
      <t>현장</t>
    </r>
    <r>
      <rPr>
        <sz val="10"/>
        <color rgb="FF000000"/>
        <rFont val="맑은 고딕"/>
        <family val="3"/>
        <charset val="129"/>
      </rPr>
      <t>+</t>
    </r>
    <r>
      <rPr>
        <sz val="10"/>
        <color rgb="FF000000"/>
        <rFont val="DejaVu Sans"/>
        <family val="2"/>
      </rPr>
      <t xml:space="preserve">센터 무상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출장비 별도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</si>
  <si>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DejaVu Sans"/>
        <family val="2"/>
      </rPr>
      <t xml:space="preserve">원격지원 </t>
    </r>
    <r>
      <rPr>
        <b/>
        <sz val="10"/>
        <color rgb="FF000000"/>
        <rFont val="맑은 고딕"/>
        <family val="3"/>
        <charset val="129"/>
      </rPr>
      <t xml:space="preserve">(Teamviewer </t>
    </r>
    <r>
      <rPr>
        <b/>
        <sz val="10"/>
        <color rgb="FF000000"/>
        <rFont val="DejaVu Sans"/>
        <family val="2"/>
      </rPr>
      <t>등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</si>
  <si>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포함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보증기간 내 무상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</si>
  <si>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맑은 고딕"/>
        <family val="3"/>
        <charset val="129"/>
      </rPr>
      <t xml:space="preserve">A/S </t>
    </r>
    <r>
      <rPr>
        <b/>
        <sz val="10"/>
        <color rgb="FF000000"/>
        <rFont val="DejaVu Sans"/>
        <family val="2"/>
      </rPr>
      <t>거점</t>
    </r>
  </si>
  <si>
    <r>
      <rPr>
        <sz val="10"/>
        <color rgb="FF000000"/>
        <rFont val="DejaVu Sans"/>
        <family val="2"/>
      </rPr>
      <t xml:space="preserve">독일 본사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DejaVu Sans"/>
        <family val="2"/>
      </rPr>
      <t>현지 대리점</t>
    </r>
  </si>
  <si>
    <r>
      <rPr>
        <sz val="10"/>
        <color rgb="FF000000"/>
        <rFont val="맑은 고딕"/>
        <family val="3"/>
        <charset val="129"/>
      </rPr>
      <t>Makino Vietnam (</t>
    </r>
    <r>
      <rPr>
        <sz val="10"/>
        <color rgb="FF000000"/>
        <rFont val="DejaVu Sans"/>
        <family val="2"/>
      </rPr>
      <t>직판</t>
    </r>
    <r>
      <rPr>
        <sz val="10"/>
        <color rgb="FF000000"/>
        <rFont val="맑은 고딕"/>
        <family val="3"/>
        <charset val="129"/>
      </rPr>
      <t>+</t>
    </r>
    <r>
      <rPr>
        <sz val="10"/>
        <color rgb="FF000000"/>
        <rFont val="DejaVu Sans"/>
        <family val="2"/>
      </rPr>
      <t>공장 직배송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</si>
  <si>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한국 </t>
    </r>
    <r>
      <rPr>
        <sz val="10"/>
        <color rgb="FF000000"/>
        <rFont val="맑은 고딕"/>
        <family val="3"/>
        <charset val="129"/>
      </rPr>
      <t xml:space="preserve">(Komatech </t>
    </r>
    <r>
      <rPr>
        <sz val="10"/>
        <color rgb="FF000000"/>
        <rFont val="DejaVu Sans"/>
        <family val="2"/>
      </rPr>
      <t>본사</t>
    </r>
    <r>
      <rPr>
        <sz val="10"/>
        <color rgb="FF000000"/>
        <rFont val="맑은 고딕"/>
        <family val="3"/>
        <charset val="129"/>
      </rPr>
      <t>)</t>
    </r>
  </si>
  <si>
    <t>응답시간</t>
  </si>
  <si>
    <t>수출 라이선스</t>
  </si>
  <si>
    <r>
      <rPr>
        <sz val="10"/>
        <color rgb="FF000000"/>
        <rFont val="맑은 고딕"/>
        <family val="3"/>
        <charset val="129"/>
      </rPr>
      <t xml:space="preserve">BAFA </t>
    </r>
    <r>
      <rPr>
        <sz val="10"/>
        <color rgb="FF000000"/>
        <rFont val="DejaVu Sans"/>
        <family val="2"/>
      </rPr>
      <t xml:space="preserve">필요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납기 영향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</si>
  <si>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METI/TSC </t>
    </r>
    <r>
      <rPr>
        <sz val="10"/>
        <color rgb="FF000000"/>
        <rFont val="DejaVu Sans"/>
        <family val="2"/>
      </rPr>
      <t>필요</t>
    </r>
  </si>
  <si>
    <t>불필요</t>
  </si>
  <si>
    <t>납기 변동성</t>
  </si>
  <si>
    <t>취소 조건</t>
  </si>
  <si>
    <r>
      <rPr>
        <sz val="10"/>
        <color rgb="FF000000"/>
        <rFont val="맑은 고딕"/>
        <family val="3"/>
        <charset val="129"/>
      </rPr>
      <t xml:space="preserve">ORGALIME </t>
    </r>
    <r>
      <rPr>
        <sz val="10"/>
        <color rgb="FF000000"/>
        <rFont val="DejaVu Sans"/>
        <family val="2"/>
      </rPr>
      <t>약관 적용</t>
    </r>
  </si>
  <si>
    <r>
      <rPr>
        <sz val="10"/>
        <color rgb="FF000000"/>
        <rFont val="DejaVu Sans"/>
        <family val="2"/>
      </rPr>
      <t xml:space="preserve">계약금 몰수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DejaVu Sans"/>
        <family val="2"/>
      </rPr>
      <t>손해배상</t>
    </r>
  </si>
  <si>
    <t>계약위험</t>
  </si>
  <si>
    <t>관할 법원</t>
  </si>
  <si>
    <r>
      <rPr>
        <sz val="10"/>
        <color rgb="FF000000"/>
        <rFont val="DejaVu Sans"/>
        <family val="2"/>
      </rPr>
      <t xml:space="preserve">독일 </t>
    </r>
    <r>
      <rPr>
        <sz val="10"/>
        <color rgb="FF000000"/>
        <rFont val="맑은 고딕"/>
        <family val="3"/>
        <charset val="129"/>
      </rPr>
      <t xml:space="preserve">(Vendor </t>
    </r>
    <r>
      <rPr>
        <sz val="10"/>
        <color rgb="FF000000"/>
        <rFont val="DejaVu Sans"/>
        <family val="2"/>
      </rPr>
      <t>측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</si>
  <si>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 xml:space="preserve">호치민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DejaVu Sans"/>
        <family val="2"/>
      </rPr>
      <t>싱가포르 법원</t>
    </r>
  </si>
  <si>
    <r>
      <rPr>
        <sz val="10"/>
        <color rgb="FF000000"/>
        <rFont val="DejaVu Sans"/>
        <family val="2"/>
      </rPr>
      <t xml:space="preserve">한국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추정</t>
    </r>
    <r>
      <rPr>
        <sz val="10"/>
        <color rgb="FF000000"/>
        <rFont val="맑은 고딕"/>
        <family val="3"/>
        <charset val="129"/>
      </rPr>
      <t>)</t>
    </r>
  </si>
  <si>
    <t>분쟁해결</t>
  </si>
  <si>
    <r>
      <rPr>
        <b/>
        <sz val="20"/>
        <color rgb="FF1E2761"/>
        <rFont val="DejaVu Sans"/>
        <family val="2"/>
      </rPr>
      <t xml:space="preserve">리스크 평가 매트릭스 </t>
    </r>
    <r>
      <rPr>
        <b/>
        <sz val="20"/>
        <color rgb="FF1E2761"/>
        <rFont val="맑은 고딕"/>
        <family val="3"/>
        <charset val="129"/>
      </rPr>
      <t>(</t>
    </r>
    <r>
      <rPr>
        <b/>
        <sz val="20"/>
        <color rgb="FF1E2761"/>
        <rFont val="DejaVu Sans"/>
        <family val="2"/>
      </rPr>
      <t xml:space="preserve">심각도 </t>
    </r>
    <r>
      <rPr>
        <b/>
        <sz val="20"/>
        <color rgb="FF1E2761"/>
        <rFont val="맑은 고딕"/>
        <family val="3"/>
        <charset val="129"/>
      </rPr>
      <t xml:space="preserve">× </t>
    </r>
    <r>
      <rPr>
        <b/>
        <sz val="20"/>
        <color rgb="FF1E2761"/>
        <rFont val="DejaVu Sans"/>
        <family val="2"/>
      </rPr>
      <t>발생가능성</t>
    </r>
    <r>
      <rPr>
        <b/>
        <sz val="20"/>
        <color rgb="FF1E2761"/>
        <rFont val="맑은 고딕"/>
        <family val="3"/>
        <charset val="129"/>
      </rPr>
      <t>)</t>
    </r>
  </si>
  <si>
    <r>
      <rPr>
        <i/>
        <sz val="12"/>
        <color rgb="FF555555"/>
        <rFont val="DejaVu Sans"/>
        <family val="2"/>
      </rPr>
      <t>평가기준</t>
    </r>
    <r>
      <rPr>
        <i/>
        <sz val="12"/>
        <color rgb="FF555555"/>
        <rFont val="맑은 고딕"/>
        <family val="3"/>
        <charset val="129"/>
      </rPr>
      <t xml:space="preserve">: </t>
    </r>
    <r>
      <rPr>
        <i/>
        <sz val="12"/>
        <color rgb="FF555555"/>
        <rFont val="DejaVu Sans"/>
        <family val="2"/>
      </rPr>
      <t xml:space="preserve">심각도 </t>
    </r>
    <r>
      <rPr>
        <i/>
        <sz val="12"/>
        <color rgb="FF555555"/>
        <rFont val="맑은 고딕"/>
        <family val="3"/>
        <charset val="129"/>
      </rPr>
      <t>1(</t>
    </r>
    <r>
      <rPr>
        <i/>
        <sz val="12"/>
        <color rgb="FF555555"/>
        <rFont val="DejaVu Sans"/>
        <family val="2"/>
      </rPr>
      <t>낮음</t>
    </r>
    <r>
      <rPr>
        <i/>
        <sz val="12"/>
        <color rgb="FF555555"/>
        <rFont val="맑은 고딕"/>
        <family val="3"/>
        <charset val="129"/>
      </rPr>
      <t>)~5(</t>
    </r>
    <r>
      <rPr>
        <i/>
        <sz val="12"/>
        <color rgb="FF555555"/>
        <rFont val="DejaVu Sans"/>
        <family val="2"/>
      </rPr>
      <t>매우높음</t>
    </r>
    <r>
      <rPr>
        <i/>
        <sz val="12"/>
        <color rgb="FF555555"/>
        <rFont val="맑은 고딕"/>
        <family val="3"/>
        <charset val="129"/>
      </rPr>
      <t xml:space="preserve">), </t>
    </r>
    <r>
      <rPr>
        <i/>
        <sz val="12"/>
        <color rgb="FF555555"/>
        <rFont val="DejaVu Sans"/>
        <family val="2"/>
      </rPr>
      <t xml:space="preserve">발생가능성 </t>
    </r>
    <r>
      <rPr>
        <i/>
        <sz val="12"/>
        <color rgb="FF555555"/>
        <rFont val="맑은 고딕"/>
        <family val="3"/>
        <charset val="129"/>
      </rPr>
      <t>1(</t>
    </r>
    <r>
      <rPr>
        <i/>
        <sz val="12"/>
        <color rgb="FF555555"/>
        <rFont val="DejaVu Sans"/>
        <family val="2"/>
      </rPr>
      <t>드뭄</t>
    </r>
    <r>
      <rPr>
        <i/>
        <sz val="12"/>
        <color rgb="FF555555"/>
        <rFont val="맑은 고딕"/>
        <family val="3"/>
        <charset val="129"/>
      </rPr>
      <t>)~5(</t>
    </r>
    <r>
      <rPr>
        <i/>
        <sz val="12"/>
        <color rgb="FF555555"/>
        <rFont val="DejaVu Sans"/>
        <family val="2"/>
      </rPr>
      <t>매우잦음</t>
    </r>
    <r>
      <rPr>
        <i/>
        <sz val="12"/>
        <color rgb="FF555555"/>
        <rFont val="맑은 고딕"/>
        <family val="3"/>
        <charset val="129"/>
      </rPr>
      <t xml:space="preserve">), </t>
    </r>
    <r>
      <rPr>
        <i/>
        <sz val="12"/>
        <color rgb="FF555555"/>
        <rFont val="DejaVu Sans"/>
        <family val="2"/>
      </rPr>
      <t xml:space="preserve">리스크지수 </t>
    </r>
    <r>
      <rPr>
        <i/>
        <sz val="12"/>
        <color rgb="FF555555"/>
        <rFont val="맑은 고딕"/>
        <family val="3"/>
        <charset val="129"/>
      </rPr>
      <t xml:space="preserve">= </t>
    </r>
    <r>
      <rPr>
        <i/>
        <sz val="12"/>
        <color rgb="FF555555"/>
        <rFont val="DejaVu Sans"/>
        <family val="2"/>
      </rPr>
      <t>심각도</t>
    </r>
    <r>
      <rPr>
        <i/>
        <sz val="12"/>
        <color rgb="FF555555"/>
        <rFont val="맑은 고딕"/>
        <family val="3"/>
        <charset val="129"/>
      </rPr>
      <t>×</t>
    </r>
    <r>
      <rPr>
        <i/>
        <sz val="12"/>
        <color rgb="FF555555"/>
        <rFont val="DejaVu Sans"/>
        <family val="2"/>
      </rPr>
      <t>발생가능성</t>
    </r>
  </si>
  <si>
    <t>리스크 카테고리</t>
  </si>
  <si>
    <t>리스크 내용</t>
  </si>
  <si>
    <t>심각도</t>
  </si>
  <si>
    <t>가능성</t>
  </si>
  <si>
    <t>리스크지수</t>
  </si>
  <si>
    <t>대상 설비</t>
  </si>
  <si>
    <t>대응 방안</t>
  </si>
  <si>
    <t>환율 변동</t>
  </si>
  <si>
    <r>
      <rPr>
        <sz val="9"/>
        <color rgb="FF000000"/>
        <rFont val="맑은 고딕"/>
        <family val="3"/>
        <charset val="129"/>
      </rPr>
      <t xml:space="preserve">EUR </t>
    </r>
    <r>
      <rPr>
        <sz val="9"/>
        <color rgb="FF000000"/>
        <rFont val="DejaVu Sans"/>
        <family val="2"/>
      </rPr>
      <t xml:space="preserve">환율 </t>
    </r>
    <r>
      <rPr>
        <sz val="9"/>
        <color rgb="FF000000"/>
        <rFont val="맑은 고딕"/>
        <family val="3"/>
        <charset val="129"/>
      </rPr>
      <t xml:space="preserve">+10% </t>
    </r>
    <r>
      <rPr>
        <sz val="9"/>
        <color rgb="FF000000"/>
        <rFont val="DejaVu Sans"/>
        <family val="2"/>
      </rPr>
      <t xml:space="preserve">시 </t>
    </r>
    <r>
      <rPr>
        <sz val="9"/>
        <color rgb="FF000000"/>
        <rFont val="맑은 고딕"/>
        <family val="3"/>
        <charset val="129"/>
      </rPr>
      <t xml:space="preserve">RXP500 </t>
    </r>
    <r>
      <rPr>
        <sz val="9"/>
        <color rgb="FF000000"/>
        <rFont val="DejaVu Sans"/>
        <family val="2"/>
      </rPr>
      <t xml:space="preserve">가격 </t>
    </r>
    <r>
      <rPr>
        <sz val="9"/>
        <color rgb="FF000000"/>
        <rFont val="맑은 고딕"/>
        <family val="3"/>
        <charset val="129"/>
      </rPr>
      <t>USD 27</t>
    </r>
    <r>
      <rPr>
        <sz val="9"/>
        <color rgb="FF000000"/>
        <rFont val="DejaVu Sans"/>
        <family val="2"/>
      </rPr>
      <t xml:space="preserve">만→ </t>
    </r>
    <r>
      <rPr>
        <sz val="9"/>
        <color rgb="FF000000"/>
        <rFont val="맑은 고딕"/>
        <family val="3"/>
        <charset val="129"/>
      </rPr>
      <t>30</t>
    </r>
    <r>
      <rPr>
        <sz val="9"/>
        <color rgb="FF000000"/>
        <rFont val="DejaVu Sans"/>
        <family val="2"/>
      </rPr>
      <t>만 상승</t>
    </r>
  </si>
  <si>
    <t>RXP500/400</t>
  </si>
  <si>
    <t>선물환 헤지 또는 분할 결제</t>
  </si>
  <si>
    <r>
      <rPr>
        <sz val="9"/>
        <color rgb="FF000000"/>
        <rFont val="맑은 고딕"/>
        <family val="3"/>
        <charset val="129"/>
      </rPr>
      <t xml:space="preserve">JPY </t>
    </r>
    <r>
      <rPr>
        <sz val="9"/>
        <color rgb="FF000000"/>
        <rFont val="DejaVu Sans"/>
        <family val="2"/>
      </rPr>
      <t xml:space="preserve">환율 변동 시 </t>
    </r>
    <r>
      <rPr>
        <sz val="9"/>
        <color rgb="FF000000"/>
        <rFont val="맑은 고딕"/>
        <family val="3"/>
        <charset val="129"/>
      </rPr>
      <t xml:space="preserve">V33i </t>
    </r>
    <r>
      <rPr>
        <sz val="9"/>
        <color rgb="FF000000"/>
        <rFont val="DejaVu Sans"/>
        <family val="2"/>
      </rPr>
      <t>가격 변동</t>
    </r>
  </si>
  <si>
    <t>계약 환율 고정 협의</t>
  </si>
  <si>
    <r>
      <rPr>
        <sz val="9"/>
        <color rgb="FF000000"/>
        <rFont val="맑은 고딕"/>
        <family val="3"/>
        <charset val="129"/>
      </rPr>
      <t xml:space="preserve">KRW </t>
    </r>
    <r>
      <rPr>
        <sz val="9"/>
        <color rgb="FF000000"/>
        <rFont val="DejaVu Sans"/>
        <family val="2"/>
      </rPr>
      <t xml:space="preserve">환율 </t>
    </r>
    <r>
      <rPr>
        <sz val="9"/>
        <color rgb="FF000000"/>
        <rFont val="맑은 고딕"/>
        <family val="3"/>
        <charset val="129"/>
      </rPr>
      <t xml:space="preserve">±5% </t>
    </r>
    <r>
      <rPr>
        <sz val="9"/>
        <color rgb="FF000000"/>
        <rFont val="DejaVu Sans"/>
        <family val="2"/>
      </rPr>
      <t xml:space="preserve">변동 시 </t>
    </r>
    <r>
      <rPr>
        <sz val="9"/>
        <color rgb="FF000000"/>
        <rFont val="맑은 고딕"/>
        <family val="3"/>
        <charset val="129"/>
      </rPr>
      <t xml:space="preserve">KT420A </t>
    </r>
    <r>
      <rPr>
        <sz val="9"/>
        <color rgb="FF000000"/>
        <rFont val="DejaVu Sans"/>
        <family val="2"/>
      </rPr>
      <t>재견적</t>
    </r>
  </si>
  <si>
    <t>신속 발주로 환율 고정</t>
  </si>
  <si>
    <t>납기 지연</t>
  </si>
  <si>
    <r>
      <rPr>
        <sz val="9"/>
        <color rgb="FF000000"/>
        <rFont val="DejaVu Sans"/>
        <family val="2"/>
      </rPr>
      <t xml:space="preserve">독일 </t>
    </r>
    <r>
      <rPr>
        <sz val="9"/>
        <color rgb="FF000000"/>
        <rFont val="맑은 고딕"/>
        <family val="3"/>
        <charset val="129"/>
      </rPr>
      <t xml:space="preserve">BAFA </t>
    </r>
    <r>
      <rPr>
        <sz val="9"/>
        <color rgb="FF000000"/>
        <rFont val="DejaVu Sans"/>
        <family val="2"/>
      </rPr>
      <t xml:space="preserve">수출허가 지연 시 </t>
    </r>
    <r>
      <rPr>
        <sz val="9"/>
        <color rgb="FF000000"/>
        <rFont val="맑은 고딕"/>
        <family val="3"/>
        <charset val="129"/>
      </rPr>
      <t>+1~2</t>
    </r>
    <r>
      <rPr>
        <sz val="9"/>
        <color rgb="FF000000"/>
        <rFont val="DejaVu Sans"/>
        <family val="2"/>
      </rPr>
      <t>개월</t>
    </r>
  </si>
  <si>
    <r>
      <rPr>
        <sz val="9"/>
        <color rgb="FF000000"/>
        <rFont val="DejaVu Sans"/>
        <family val="2"/>
      </rPr>
      <t xml:space="preserve">계약 시 </t>
    </r>
    <r>
      <rPr>
        <sz val="9"/>
        <color rgb="FF000000"/>
        <rFont val="맑은 고딕"/>
        <family val="3"/>
        <charset val="129"/>
      </rPr>
      <t xml:space="preserve">BAFA </t>
    </r>
    <r>
      <rPr>
        <sz val="9"/>
        <color rgb="FF000000"/>
        <rFont val="DejaVu Sans"/>
        <family val="2"/>
      </rPr>
      <t>진행 사전 확인</t>
    </r>
  </si>
  <si>
    <r>
      <rPr>
        <sz val="9"/>
        <color rgb="FF000000"/>
        <rFont val="DejaVu Sans"/>
        <family val="2"/>
      </rPr>
      <t xml:space="preserve">일본 </t>
    </r>
    <r>
      <rPr>
        <sz val="9"/>
        <color rgb="FF000000"/>
        <rFont val="맑은 고딕"/>
        <family val="3"/>
        <charset val="129"/>
      </rPr>
      <t xml:space="preserve">METI </t>
    </r>
    <r>
      <rPr>
        <sz val="9"/>
        <color rgb="FF000000"/>
        <rFont val="DejaVu Sans"/>
        <family val="2"/>
      </rPr>
      <t>승인 지연 시</t>
    </r>
  </si>
  <si>
    <r>
      <rPr>
        <sz val="9"/>
        <color rgb="FF000000"/>
        <rFont val="DejaVu Sans"/>
        <family val="2"/>
      </rPr>
      <t xml:space="preserve">계약 시 </t>
    </r>
    <r>
      <rPr>
        <sz val="9"/>
        <color rgb="FF000000"/>
        <rFont val="맑은 고딕"/>
        <family val="3"/>
        <charset val="129"/>
      </rPr>
      <t xml:space="preserve">METI </t>
    </r>
    <r>
      <rPr>
        <sz val="9"/>
        <color rgb="FF000000"/>
        <rFont val="DejaVu Sans"/>
        <family val="2"/>
      </rPr>
      <t>진행 확인</t>
    </r>
  </si>
  <si>
    <t>한국 부산항 → 베트남 운송 지연</t>
  </si>
  <si>
    <t>여유 있는 운송 일정 확보</t>
  </si>
  <si>
    <r>
      <rPr>
        <b/>
        <sz val="10"/>
        <color rgb="FF000000"/>
        <rFont val="맑은 고딕"/>
        <family val="3"/>
        <charset val="129"/>
      </rPr>
      <t xml:space="preserve">A/S </t>
    </r>
    <r>
      <rPr>
        <b/>
        <sz val="10"/>
        <color rgb="FF000000"/>
        <rFont val="DejaVu Sans"/>
        <family val="2"/>
      </rPr>
      <t>응답성</t>
    </r>
  </si>
  <si>
    <r>
      <rPr>
        <sz val="9"/>
        <color rgb="FF000000"/>
        <rFont val="DejaVu Sans"/>
        <family val="2"/>
      </rPr>
      <t>독일 본사 의존 시 출장비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DejaVu Sans"/>
        <family val="2"/>
      </rPr>
      <t>시간 부담</t>
    </r>
  </si>
  <si>
    <t>베트남 현지 엔지니어 사전 양성</t>
  </si>
  <si>
    <t>한국 거점 응답 시간</t>
  </si>
  <si>
    <r>
      <rPr>
        <sz val="9"/>
        <color rgb="FF000000"/>
        <rFont val="맑은 고딕"/>
        <family val="3"/>
        <charset val="129"/>
      </rPr>
      <t xml:space="preserve">A/S SLA </t>
    </r>
    <r>
      <rPr>
        <sz val="9"/>
        <color rgb="FF000000"/>
        <rFont val="DejaVu Sans"/>
        <family val="2"/>
      </rPr>
      <t>계약서 명문화</t>
    </r>
  </si>
  <si>
    <r>
      <rPr>
        <sz val="9"/>
        <color rgb="FF000000"/>
        <rFont val="DejaVu Sans"/>
        <family val="2"/>
      </rPr>
      <t xml:space="preserve">베트남 직지원 </t>
    </r>
    <r>
      <rPr>
        <sz val="9"/>
        <color rgb="FF000000"/>
        <rFont val="맑은 고딕"/>
        <family val="3"/>
        <charset val="129"/>
      </rPr>
      <t>(Makino Vietnam)</t>
    </r>
  </si>
  <si>
    <r>
      <rPr>
        <sz val="9"/>
        <color rgb="FF000000"/>
        <rFont val="DejaVu Sans"/>
        <family val="2"/>
      </rPr>
      <t xml:space="preserve">강점 </t>
    </r>
    <r>
      <rPr>
        <sz val="9"/>
        <color rgb="FF000000"/>
        <rFont val="맑은 고딕"/>
        <family val="3"/>
        <charset val="129"/>
      </rPr>
      <t xml:space="preserve">- </t>
    </r>
    <r>
      <rPr>
        <sz val="9"/>
        <color rgb="FF000000"/>
        <rFont val="DejaVu Sans"/>
        <family val="2"/>
      </rPr>
      <t>활용</t>
    </r>
  </si>
  <si>
    <t>정밀도 미달</t>
  </si>
  <si>
    <t>도착 후 기온차로 정밀도 변동</t>
  </si>
  <si>
    <t>전체</t>
  </si>
  <si>
    <r>
      <rPr>
        <sz val="9"/>
        <color rgb="FF000000"/>
        <rFont val="DejaVu Sans"/>
        <family val="2"/>
      </rPr>
      <t xml:space="preserve">온도 안정화 기간 </t>
    </r>
    <r>
      <rPr>
        <sz val="9"/>
        <color rgb="FF000000"/>
        <rFont val="맑은 고딕"/>
        <family val="3"/>
        <charset val="129"/>
      </rPr>
      <t>5</t>
    </r>
    <r>
      <rPr>
        <sz val="9"/>
        <color rgb="FF000000"/>
        <rFont val="DejaVu Sans"/>
        <family val="2"/>
      </rPr>
      <t>일 이상 확보</t>
    </r>
  </si>
  <si>
    <t>운영비 초과</t>
  </si>
  <si>
    <t>리니어모터 마모 시 교체비 고가</t>
  </si>
  <si>
    <r>
      <rPr>
        <sz val="9"/>
        <color rgb="FF000000"/>
        <rFont val="맑은 고딕"/>
        <family val="3"/>
        <charset val="129"/>
      </rPr>
      <t>5</t>
    </r>
    <r>
      <rPr>
        <sz val="9"/>
        <color rgb="FF000000"/>
        <rFont val="DejaVu Sans"/>
        <family val="2"/>
      </rPr>
      <t xml:space="preserve">년 보증 활용 </t>
    </r>
    <r>
      <rPr>
        <sz val="9"/>
        <color rgb="FF000000"/>
        <rFont val="맑은 고딕"/>
        <family val="3"/>
        <charset val="129"/>
      </rPr>
      <t xml:space="preserve">+ </t>
    </r>
    <r>
      <rPr>
        <sz val="9"/>
        <color rgb="FF000000"/>
        <rFont val="DejaVu Sans"/>
        <family val="2"/>
      </rPr>
      <t>예방정비</t>
    </r>
  </si>
  <si>
    <t>소모품 가격 상승</t>
  </si>
  <si>
    <t>복수 공구 벤더 확보</t>
  </si>
  <si>
    <t>호환성</t>
  </si>
  <si>
    <r>
      <rPr>
        <sz val="9"/>
        <color rgb="FF000000"/>
        <rFont val="맑은 고딕"/>
        <family val="3"/>
        <charset val="129"/>
      </rPr>
      <t xml:space="preserve">CAM </t>
    </r>
    <r>
      <rPr>
        <sz val="9"/>
        <color rgb="FF000000"/>
        <rFont val="DejaVu Sans"/>
        <family val="2"/>
      </rPr>
      <t xml:space="preserve">소프트웨어 </t>
    </r>
    <r>
      <rPr>
        <sz val="9"/>
        <color rgb="FF000000"/>
        <rFont val="맑은 고딕"/>
        <family val="3"/>
        <charset val="129"/>
      </rPr>
      <t xml:space="preserve">(Heidenhain/FANUC) </t>
    </r>
    <r>
      <rPr>
        <sz val="9"/>
        <color rgb="FF000000"/>
        <rFont val="DejaVu Sans"/>
        <family val="2"/>
      </rPr>
      <t>호환</t>
    </r>
  </si>
  <si>
    <r>
      <rPr>
        <sz val="9"/>
        <color rgb="FF000000"/>
        <rFont val="DejaVu Sans"/>
        <family val="2"/>
      </rPr>
      <t xml:space="preserve">현재 보유 </t>
    </r>
    <r>
      <rPr>
        <sz val="9"/>
        <color rgb="FF000000"/>
        <rFont val="맑은 고딕"/>
        <family val="3"/>
        <charset val="129"/>
      </rPr>
      <t>CAM</t>
    </r>
    <r>
      <rPr>
        <sz val="9"/>
        <color rgb="FF000000"/>
        <rFont val="DejaVu Sans"/>
        <family val="2"/>
      </rPr>
      <t>과 호환성 사전 확인</t>
    </r>
  </si>
  <si>
    <r>
      <rPr>
        <b/>
        <sz val="10"/>
        <color rgb="FF000000"/>
        <rFont val="DejaVu Sans"/>
        <family val="2"/>
      </rPr>
      <t>취소</t>
    </r>
    <r>
      <rPr>
        <b/>
        <sz val="10"/>
        <color rgb="FF000000"/>
        <rFont val="맑은 고딕"/>
        <family val="3"/>
        <charset val="129"/>
      </rPr>
      <t>·</t>
    </r>
    <r>
      <rPr>
        <b/>
        <sz val="10"/>
        <color rgb="FF000000"/>
        <rFont val="DejaVu Sans"/>
        <family val="2"/>
      </rPr>
      <t>반품</t>
    </r>
  </si>
  <si>
    <r>
      <rPr>
        <sz val="9"/>
        <color rgb="FF000000"/>
        <rFont val="맑은 고딕"/>
        <family val="3"/>
        <charset val="129"/>
      </rPr>
      <t xml:space="preserve">ORGALIME </t>
    </r>
    <r>
      <rPr>
        <sz val="9"/>
        <color rgb="FF000000"/>
        <rFont val="DejaVu Sans"/>
        <family val="2"/>
      </rPr>
      <t xml:space="preserve">약관 </t>
    </r>
    <r>
      <rPr>
        <sz val="9"/>
        <color rgb="FF000000"/>
        <rFont val="맑은 고딕"/>
        <family val="3"/>
        <charset val="129"/>
      </rPr>
      <t xml:space="preserve">(Roeders </t>
    </r>
    <r>
      <rPr>
        <sz val="9"/>
        <color rgb="FF000000"/>
        <rFont val="DejaVu Sans"/>
        <family val="2"/>
      </rPr>
      <t>유리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</si>
  <si>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DejaVu Sans"/>
        <family val="2"/>
      </rPr>
      <t xml:space="preserve">국문 번역본 확보 </t>
    </r>
    <r>
      <rPr>
        <sz val="9"/>
        <color rgb="FF000000"/>
        <rFont val="맑은 고딕"/>
        <family val="3"/>
        <charset val="129"/>
      </rPr>
      <t xml:space="preserve">+ </t>
    </r>
    <r>
      <rPr>
        <sz val="9"/>
        <color rgb="FF000000"/>
        <rFont val="DejaVu Sans"/>
        <family val="2"/>
      </rPr>
      <t>계약 협의</t>
    </r>
  </si>
  <si>
    <r>
      <rPr>
        <sz val="9"/>
        <color rgb="FF000000"/>
        <rFont val="DejaVu Sans"/>
        <family val="2"/>
      </rPr>
      <t xml:space="preserve">계약금 몰수 </t>
    </r>
    <r>
      <rPr>
        <sz val="9"/>
        <color rgb="FF000000"/>
        <rFont val="맑은 고딕"/>
        <family val="3"/>
        <charset val="129"/>
      </rPr>
      <t xml:space="preserve">+ </t>
    </r>
    <r>
      <rPr>
        <sz val="9"/>
        <color rgb="FF000000"/>
        <rFont val="DejaVu Sans"/>
        <family val="2"/>
      </rPr>
      <t>손해배상</t>
    </r>
  </si>
  <si>
    <t>취소 사유 사전 명문화</t>
  </si>
  <si>
    <t>가공 적합성</t>
  </si>
  <si>
    <r>
      <rPr>
        <sz val="9"/>
        <color rgb="FF000000"/>
        <rFont val="맑은 고딕"/>
        <family val="3"/>
        <charset val="129"/>
      </rPr>
      <t>Komatech</t>
    </r>
    <r>
      <rPr>
        <sz val="9"/>
        <color rgb="FF000000"/>
        <rFont val="DejaVu Sans"/>
        <family val="2"/>
      </rPr>
      <t>은 정밀가공 부적합</t>
    </r>
  </si>
  <si>
    <r>
      <rPr>
        <sz val="9"/>
        <color rgb="FF000000"/>
        <rFont val="DejaVu Sans"/>
        <family val="2"/>
      </rPr>
      <t xml:space="preserve">용도 명확화 </t>
    </r>
    <r>
      <rPr>
        <sz val="9"/>
        <color rgb="FF000000"/>
        <rFont val="맑은 고딕"/>
        <family val="3"/>
        <charset val="129"/>
      </rPr>
      <t xml:space="preserve">- </t>
    </r>
    <r>
      <rPr>
        <sz val="9"/>
        <color rgb="FF000000"/>
        <rFont val="DejaVu Sans"/>
        <family val="2"/>
      </rPr>
      <t>정밀가공 제외</t>
    </r>
  </si>
  <si>
    <t>재고 부품</t>
  </si>
  <si>
    <t>독일 부품 수급 시간</t>
  </si>
  <si>
    <t>주요 부품 사전 보유</t>
  </si>
  <si>
    <r>
      <rPr>
        <b/>
        <sz val="10"/>
        <color rgb="FF000000"/>
        <rFont val="DejaVu Sans"/>
        <family val="2"/>
      </rPr>
      <t>환경</t>
    </r>
    <r>
      <rPr>
        <b/>
        <sz val="10"/>
        <color rgb="FF000000"/>
        <rFont val="맑은 고딕"/>
        <family val="3"/>
        <charset val="129"/>
      </rPr>
      <t>·</t>
    </r>
    <r>
      <rPr>
        <b/>
        <sz val="10"/>
        <color rgb="FF000000"/>
        <rFont val="DejaVu Sans"/>
        <family val="2"/>
      </rPr>
      <t>안전</t>
    </r>
  </si>
  <si>
    <r>
      <rPr>
        <sz val="9"/>
        <color rgb="FF000000"/>
        <rFont val="DejaVu Sans"/>
        <family val="2"/>
      </rPr>
      <t>오일미스트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DejaVu Sans"/>
        <family val="2"/>
      </rPr>
      <t>소음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DejaVu Sans"/>
        <family val="2"/>
      </rPr>
      <t>진동</t>
    </r>
  </si>
  <si>
    <r>
      <rPr>
        <sz val="9"/>
        <color rgb="FF000000"/>
        <rFont val="DejaVu Sans"/>
        <family val="2"/>
      </rPr>
      <t>집진기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DejaVu Sans"/>
        <family val="2"/>
      </rPr>
      <t>차음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DejaVu Sans"/>
        <family val="2"/>
      </rPr>
      <t>방진 별도 시공</t>
    </r>
  </si>
  <si>
    <r>
      <rPr>
        <b/>
        <sz val="10"/>
        <color rgb="FF000000"/>
        <rFont val="DejaVu Sans"/>
        <family val="2"/>
      </rPr>
      <t>리스크 등급 범례</t>
    </r>
    <r>
      <rPr>
        <b/>
        <sz val="10"/>
        <color rgb="FF000000"/>
        <rFont val="맑은 고딕"/>
        <family val="3"/>
        <charset val="129"/>
      </rPr>
      <t>:</t>
    </r>
  </si>
  <si>
    <r>
      <rPr>
        <b/>
        <sz val="10"/>
        <color rgb="FF000000"/>
        <rFont val="DejaVu Sans"/>
        <family val="2"/>
      </rPr>
      <t xml:space="preserve">낮음 </t>
    </r>
    <r>
      <rPr>
        <b/>
        <sz val="10"/>
        <color rgb="FF000000"/>
        <rFont val="맑은 고딕"/>
        <family val="3"/>
        <charset val="129"/>
      </rPr>
      <t>(1~3)</t>
    </r>
  </si>
  <si>
    <r>
      <rPr>
        <b/>
        <sz val="10"/>
        <color rgb="FF000000"/>
        <rFont val="DejaVu Sans"/>
        <family val="2"/>
      </rPr>
      <t xml:space="preserve">중간 </t>
    </r>
    <r>
      <rPr>
        <b/>
        <sz val="10"/>
        <color rgb="FF000000"/>
        <rFont val="맑은 고딕"/>
        <family val="3"/>
        <charset val="129"/>
      </rPr>
      <t>(4~8)</t>
    </r>
  </si>
  <si>
    <r>
      <rPr>
        <b/>
        <sz val="10"/>
        <color rgb="FF000000"/>
        <rFont val="DejaVu Sans"/>
        <family val="2"/>
      </rPr>
      <t xml:space="preserve">높음 </t>
    </r>
    <r>
      <rPr>
        <b/>
        <sz val="10"/>
        <color rgb="FF000000"/>
        <rFont val="맑은 고딕"/>
        <family val="3"/>
        <charset val="129"/>
      </rPr>
      <t>(9~14)</t>
    </r>
  </si>
  <si>
    <r>
      <rPr>
        <b/>
        <sz val="10"/>
        <color rgb="FF000000"/>
        <rFont val="DejaVu Sans"/>
        <family val="2"/>
      </rPr>
      <t xml:space="preserve">매우높음 </t>
    </r>
    <r>
      <rPr>
        <b/>
        <sz val="10"/>
        <color rgb="FF000000"/>
        <rFont val="맑은 고딕"/>
        <family val="3"/>
        <charset val="129"/>
      </rPr>
      <t>(15+)</t>
    </r>
  </si>
  <si>
    <t>최종 권고사항 및 의사결정 가이드</t>
  </si>
  <si>
    <t>용도별 권장 모델 매트릭스</t>
  </si>
  <si>
    <t>#</t>
  </si>
  <si>
    <t>가공 요구 시나리오</t>
  </si>
  <si>
    <t>권장 모델</t>
  </si>
  <si>
    <t>권장 사유</t>
  </si>
  <si>
    <t>대안</t>
  </si>
  <si>
    <t>1</t>
  </si>
  <si>
    <r>
      <rPr>
        <sz val="10"/>
        <color rgb="FF000000"/>
        <rFont val="DejaVu Sans"/>
        <family val="2"/>
      </rPr>
      <t xml:space="preserve">초정밀 다이몰드 가공 </t>
    </r>
    <r>
      <rPr>
        <sz val="10"/>
        <color rgb="FF000000"/>
        <rFont val="맑은 고딕"/>
        <family val="3"/>
        <charset val="129"/>
      </rPr>
      <t xml:space="preserve">(≤±2μm, </t>
    </r>
    <r>
      <rPr>
        <sz val="10"/>
        <color rgb="FF000000"/>
        <rFont val="DejaVu Sans"/>
        <family val="2"/>
      </rPr>
      <t>거울면 마감</t>
    </r>
    <r>
      <rPr>
        <sz val="10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</si>
  <si>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 xml:space="preserve">50,000 RPM, HSK-E32, </t>
    </r>
    <r>
      <rPr>
        <sz val="9"/>
        <color rgb="FF000000"/>
        <rFont val="DejaVu Sans"/>
        <family val="2"/>
      </rPr>
      <t xml:space="preserve">리니어모터 </t>
    </r>
    <r>
      <rPr>
        <sz val="9"/>
        <color rgb="FF000000"/>
        <rFont val="맑은 고딕"/>
        <family val="3"/>
        <charset val="129"/>
      </rPr>
      <t>5</t>
    </r>
    <r>
      <rPr>
        <sz val="9"/>
        <color rgb="FF000000"/>
        <rFont val="DejaVu Sans"/>
        <family val="2"/>
      </rPr>
      <t>년 보증</t>
    </r>
    <r>
      <rPr>
        <sz val="9"/>
        <color rgb="FF000000"/>
        <rFont val="맑은 고딕"/>
        <family val="3"/>
        <charset val="129"/>
      </rPr>
      <t>, RACECUT 32kHz drive</t>
    </r>
    <r>
      <rPr>
        <sz val="9"/>
        <color rgb="FF000000"/>
        <rFont val="DejaVu Sans"/>
        <family val="2"/>
      </rPr>
      <t>로 표면조도 최우수</t>
    </r>
  </si>
  <si>
    <t>V33i (Super GI .5)</t>
  </si>
  <si>
    <t>2</t>
  </si>
  <si>
    <r>
      <rPr>
        <sz val="10"/>
        <color rgb="FF000000"/>
        <rFont val="DejaVu Sans"/>
        <family val="2"/>
      </rPr>
      <t>중대형 정밀 금형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DejaVu Sans"/>
        <family val="2"/>
      </rPr>
      <t xml:space="preserve">지그 가공 </t>
    </r>
    <r>
      <rPr>
        <sz val="10"/>
        <color rgb="FF000000"/>
        <rFont val="맑은 고딕"/>
        <family val="3"/>
        <charset val="129"/>
      </rPr>
      <t>(≤±5μm)</t>
    </r>
  </si>
  <si>
    <r>
      <rPr>
        <sz val="9"/>
        <color rgb="FF000000"/>
        <rFont val="맑은 고딕"/>
        <family val="3"/>
        <charset val="129"/>
      </rPr>
      <t xml:space="preserve">X500/Y455 </t>
    </r>
    <r>
      <rPr>
        <sz val="9"/>
        <color rgb="FF000000"/>
        <rFont val="DejaVu Sans"/>
        <family val="2"/>
      </rPr>
      <t xml:space="preserve">큰 작업영역 </t>
    </r>
    <r>
      <rPr>
        <sz val="9"/>
        <color rgb="FF000000"/>
        <rFont val="맑은 고딕"/>
        <family val="3"/>
        <charset val="129"/>
      </rPr>
      <t xml:space="preserve">+ 400kg </t>
    </r>
    <r>
      <rPr>
        <sz val="9"/>
        <color rgb="FF000000"/>
        <rFont val="DejaVu Sans"/>
        <family val="2"/>
      </rPr>
      <t>워크피스</t>
    </r>
    <r>
      <rPr>
        <sz val="9"/>
        <color rgb="FF000000"/>
        <rFont val="맑은 고딕"/>
        <family val="3"/>
        <charset val="129"/>
      </rPr>
      <t xml:space="preserve">, 42,000 RPM HSK-E40, </t>
    </r>
    <r>
      <rPr>
        <sz val="9"/>
        <color rgb="FF000000"/>
        <rFont val="DejaVu Sans"/>
        <family val="2"/>
      </rPr>
      <t>정밀도와 용량 균형</t>
    </r>
  </si>
  <si>
    <t>3</t>
  </si>
  <si>
    <r>
      <rPr>
        <sz val="10"/>
        <color rgb="FF000000"/>
        <rFont val="DejaVu Sans"/>
        <family val="2"/>
      </rPr>
      <t xml:space="preserve">정밀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DejaVu Sans"/>
        <family val="2"/>
      </rPr>
      <t xml:space="preserve">양산 균형 </t>
    </r>
    <r>
      <rPr>
        <sz val="10"/>
        <color rgb="FF000000"/>
        <rFont val="맑은 고딕"/>
        <family val="3"/>
        <charset val="129"/>
      </rPr>
      <t>(1</t>
    </r>
    <r>
      <rPr>
        <sz val="10"/>
        <color rgb="FF000000"/>
        <rFont val="DejaVu Sans"/>
        <family val="2"/>
      </rPr>
      <t>순위 추천</t>
    </r>
    <r>
      <rPr>
        <sz val="10"/>
        <color rgb="FF000000"/>
        <rFont val="맑은 고딕"/>
        <family val="3"/>
        <charset val="129"/>
      </rPr>
      <t>)</t>
    </r>
  </si>
  <si>
    <t>Makino V33i (60ATC + 30K rpm)</t>
  </si>
  <si>
    <r>
      <rPr>
        <sz val="9"/>
        <color rgb="FF000000"/>
        <rFont val="맑은 고딕"/>
        <family val="3"/>
        <charset val="129"/>
      </rPr>
      <t xml:space="preserve">30K rpm </t>
    </r>
    <r>
      <rPr>
        <sz val="9"/>
        <color rgb="FF000000"/>
        <rFont val="DejaVu Sans"/>
        <family val="2"/>
      </rPr>
      <t>업그레이드</t>
    </r>
    <r>
      <rPr>
        <sz val="9"/>
        <color rgb="FF000000"/>
        <rFont val="맑은 고딕"/>
        <family val="3"/>
        <charset val="129"/>
      </rPr>
      <t xml:space="preserve">, 60-Tool </t>
    </r>
    <r>
      <rPr>
        <sz val="9"/>
        <color rgb="FF000000"/>
        <rFont val="DejaVu Sans"/>
        <family val="2"/>
      </rPr>
      <t>양산 효율</t>
    </r>
    <r>
      <rPr>
        <sz val="9"/>
        <color rgb="FF000000"/>
        <rFont val="맑은 고딕"/>
        <family val="3"/>
        <charset val="129"/>
      </rPr>
      <t xml:space="preserve">, Super GI .5 + MARPOSS, DAP Bac Ninh </t>
    </r>
    <r>
      <rPr>
        <sz val="9"/>
        <color rgb="FF000000"/>
        <rFont val="DejaVu Sans"/>
        <family val="2"/>
      </rPr>
      <t>통관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DejaVu Sans"/>
        <family val="2"/>
      </rPr>
      <t>운송 책임</t>
    </r>
    <r>
      <rPr>
        <sz val="9"/>
        <color rgb="FF000000"/>
        <rFont val="맑은 고딕"/>
        <family val="3"/>
        <charset val="129"/>
      </rPr>
      <t>, FANUC 2</t>
    </r>
    <r>
      <rPr>
        <sz val="9"/>
        <color rgb="FF000000"/>
        <rFont val="DejaVu Sans"/>
        <family val="2"/>
      </rPr>
      <t>년</t>
    </r>
  </si>
  <si>
    <r>
      <rPr>
        <sz val="9"/>
        <color rgb="FF666666"/>
        <rFont val="맑은 고딕"/>
        <family val="3"/>
        <charset val="129"/>
      </rPr>
      <t>RXP400 (</t>
    </r>
    <r>
      <rPr>
        <sz val="9"/>
        <color rgb="FF666666"/>
        <rFont val="DejaVu Sans"/>
        <family val="2"/>
      </rPr>
      <t>초정밀 한정</t>
    </r>
    <r>
      <rPr>
        <sz val="9"/>
        <color rgb="FF666666"/>
        <rFont val="맑은 고딕"/>
        <family val="3"/>
        <charset val="129"/>
      </rPr>
      <t>)</t>
    </r>
  </si>
  <si>
    <t>4</t>
  </si>
  <si>
    <r>
      <rPr>
        <sz val="10"/>
        <color rgb="FF000000"/>
        <rFont val="DejaVu Sans"/>
        <family val="2"/>
      </rPr>
      <t>단순 탭핑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 xml:space="preserve">홀가공 </t>
    </r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DejaVu Sans"/>
        <family val="2"/>
      </rPr>
      <t xml:space="preserve">대 동시투자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저가 양산</t>
    </r>
    <r>
      <rPr>
        <sz val="10"/>
        <color rgb="FF000000"/>
        <rFont val="맑은 고딕"/>
        <family val="3"/>
        <charset val="129"/>
      </rPr>
      <t>)</t>
    </r>
  </si>
  <si>
    <t>Komatech KT420A × 4</t>
  </si>
  <si>
    <r>
      <rPr>
        <sz val="9"/>
        <color rgb="FF000000"/>
        <rFont val="DejaVu Sans"/>
        <family val="2"/>
      </rPr>
      <t xml:space="preserve">단가 </t>
    </r>
    <r>
      <rPr>
        <sz val="9"/>
        <color rgb="FF000000"/>
        <rFont val="맑은 고딕"/>
        <family val="3"/>
        <charset val="129"/>
      </rPr>
      <t>USD 59,500 × 4 = 23.8</t>
    </r>
    <r>
      <rPr>
        <sz val="9"/>
        <color rgb="FF000000"/>
        <rFont val="DejaVu Sans"/>
        <family val="2"/>
      </rPr>
      <t xml:space="preserve">만 </t>
    </r>
    <r>
      <rPr>
        <sz val="9"/>
        <color rgb="FF000000"/>
        <rFont val="맑은 고딕"/>
        <family val="3"/>
        <charset val="129"/>
      </rPr>
      <t>(V33i 1</t>
    </r>
    <r>
      <rPr>
        <sz val="9"/>
        <color rgb="FF000000"/>
        <rFont val="DejaVu Sans"/>
        <family val="2"/>
      </rPr>
      <t>대급</t>
    </r>
    <r>
      <rPr>
        <sz val="9"/>
        <color rgb="FF000000"/>
        <rFont val="맑은 고딕"/>
        <family val="3"/>
        <charset val="129"/>
      </rPr>
      <t>), 3</t>
    </r>
    <r>
      <rPr>
        <sz val="9"/>
        <color rgb="FF000000"/>
        <rFont val="DejaVu Sans"/>
        <family val="2"/>
      </rPr>
      <t>개월 단납기</t>
    </r>
    <r>
      <rPr>
        <sz val="9"/>
        <color rgb="FF000000"/>
        <rFont val="맑은 고딕"/>
        <family val="3"/>
        <charset val="129"/>
      </rPr>
      <t>, BT30 24K rpm</t>
    </r>
    <r>
      <rPr>
        <sz val="9"/>
        <color rgb="FF000000"/>
        <rFont val="DejaVu Sans"/>
        <family val="2"/>
      </rPr>
      <t>으로 충분</t>
    </r>
  </si>
  <si>
    <r>
      <rPr>
        <sz val="9"/>
        <color rgb="FF666666"/>
        <rFont val="DejaVu Sans"/>
        <family val="2"/>
      </rPr>
      <t xml:space="preserve">국내 동급 </t>
    </r>
    <r>
      <rPr>
        <sz val="9"/>
        <color rgb="FF666666"/>
        <rFont val="맑은 고딕"/>
        <family val="3"/>
        <charset val="129"/>
      </rPr>
      <t>(</t>
    </r>
    <r>
      <rPr>
        <sz val="9"/>
        <color rgb="FF666666"/>
        <rFont val="DejaVu Sans"/>
        <family val="2"/>
      </rPr>
      <t>화천</t>
    </r>
    <r>
      <rPr>
        <sz val="9"/>
        <color rgb="FF666666"/>
        <rFont val="맑은 고딕"/>
        <family val="3"/>
        <charset val="129"/>
      </rPr>
      <t>/</t>
    </r>
    <r>
      <rPr>
        <sz val="9"/>
        <color rgb="FF666666"/>
        <rFont val="DejaVu Sans"/>
        <family val="2"/>
      </rPr>
      <t>현대위아</t>
    </r>
    <r>
      <rPr>
        <sz val="9"/>
        <color rgb="FF666666"/>
        <rFont val="맑은 고딕"/>
        <family val="3"/>
        <charset val="129"/>
      </rPr>
      <t>)</t>
    </r>
  </si>
  <si>
    <t>5</t>
  </si>
  <si>
    <t>최소 투자로 시범 구축 후 단계 확장</t>
  </si>
  <si>
    <r>
      <rPr>
        <b/>
        <sz val="10"/>
        <color rgb="FF1E2761"/>
        <rFont val="맑은 고딕"/>
        <family val="3"/>
        <charset val="129"/>
      </rPr>
      <t>Komatech 1</t>
    </r>
    <r>
      <rPr>
        <b/>
        <sz val="10"/>
        <color rgb="FF1E2761"/>
        <rFont val="DejaVu Sans"/>
        <family val="2"/>
      </rPr>
      <t xml:space="preserve">대 </t>
    </r>
    <r>
      <rPr>
        <b/>
        <sz val="10"/>
        <color rgb="FF1E2761"/>
        <rFont val="맑은 고딕"/>
        <family val="3"/>
        <charset val="129"/>
      </rPr>
      <t xml:space="preserve">+ V33i </t>
    </r>
    <r>
      <rPr>
        <b/>
        <sz val="10"/>
        <color rgb="FF1E2761"/>
        <rFont val="DejaVu Sans"/>
        <family val="2"/>
      </rPr>
      <t>검토</t>
    </r>
  </si>
  <si>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DejaVu Sans"/>
        <family val="2"/>
      </rPr>
      <t xml:space="preserve">단계 </t>
    </r>
    <r>
      <rPr>
        <sz val="9"/>
        <color rgb="FF000000"/>
        <rFont val="맑은 고딕"/>
        <family val="3"/>
        <charset val="129"/>
      </rPr>
      <t>KT420A</t>
    </r>
    <r>
      <rPr>
        <sz val="9"/>
        <color rgb="FF000000"/>
        <rFont val="DejaVu Sans"/>
        <family val="2"/>
      </rPr>
      <t>로 양산 시작</t>
    </r>
    <r>
      <rPr>
        <sz val="9"/>
        <color rgb="FF000000"/>
        <rFont val="맑은 고딕"/>
        <family val="3"/>
        <charset val="129"/>
      </rPr>
      <t>, 2</t>
    </r>
    <r>
      <rPr>
        <sz val="9"/>
        <color rgb="FF000000"/>
        <rFont val="DejaVu Sans"/>
        <family val="2"/>
      </rPr>
      <t xml:space="preserve">단계 </t>
    </r>
    <r>
      <rPr>
        <sz val="9"/>
        <color rgb="FF000000"/>
        <rFont val="맑은 고딕"/>
        <family val="3"/>
        <charset val="129"/>
      </rPr>
      <t xml:space="preserve">V33i/RXP400 </t>
    </r>
    <r>
      <rPr>
        <sz val="9"/>
        <color rgb="FF000000"/>
        <rFont val="DejaVu Sans"/>
        <family val="2"/>
      </rPr>
      <t>추가 도입 검토</t>
    </r>
  </si>
  <si>
    <t>6</t>
  </si>
  <si>
    <r>
      <rPr>
        <sz val="10"/>
        <color rgb="FF000000"/>
        <rFont val="DejaVu Sans"/>
        <family val="2"/>
      </rPr>
      <t xml:space="preserve">균형 포트폴리오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정밀</t>
    </r>
    <r>
      <rPr>
        <sz val="10"/>
        <color rgb="FF000000"/>
        <rFont val="맑은 고딕"/>
        <family val="3"/>
        <charset val="129"/>
      </rPr>
      <t>+</t>
    </r>
    <r>
      <rPr>
        <sz val="10"/>
        <color rgb="FF000000"/>
        <rFont val="DejaVu Sans"/>
        <family val="2"/>
      </rPr>
      <t>양산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</si>
  <si>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0"/>
        <color rgb="FF1E2761"/>
        <rFont val="맑은 고딕"/>
        <family val="3"/>
        <charset val="129"/>
      </rPr>
      <t>RXP400 1</t>
    </r>
    <r>
      <rPr>
        <b/>
        <sz val="10"/>
        <color rgb="FF1E2761"/>
        <rFont val="DejaVu Sans"/>
        <family val="2"/>
      </rPr>
      <t xml:space="preserve">대 </t>
    </r>
    <r>
      <rPr>
        <b/>
        <sz val="10"/>
        <color rgb="FF1E2761"/>
        <rFont val="맑은 고딕"/>
        <family val="3"/>
        <charset val="129"/>
      </rPr>
      <t>+ KT420A 2</t>
    </r>
    <r>
      <rPr>
        <b/>
        <sz val="10"/>
        <color rgb="FF1E2761"/>
        <rFont val="DejaVu Sans"/>
        <family val="2"/>
      </rPr>
      <t>대</t>
    </r>
  </si>
  <si>
    <r>
      <rPr>
        <sz val="9"/>
        <color rgb="FF000000"/>
        <rFont val="DejaVu Sans"/>
        <family val="2"/>
      </rPr>
      <t xml:space="preserve">초정밀은 </t>
    </r>
    <r>
      <rPr>
        <sz val="9"/>
        <color rgb="FF000000"/>
        <rFont val="맑은 고딕"/>
        <family val="3"/>
        <charset val="129"/>
      </rPr>
      <t xml:space="preserve">RXP400, </t>
    </r>
    <r>
      <rPr>
        <sz val="9"/>
        <color rgb="FF000000"/>
        <rFont val="DejaVu Sans"/>
        <family val="2"/>
      </rPr>
      <t xml:space="preserve">양산 보조는 </t>
    </r>
    <r>
      <rPr>
        <sz val="9"/>
        <color rgb="FF000000"/>
        <rFont val="맑은 고딕"/>
        <family val="3"/>
        <charset val="129"/>
      </rPr>
      <t>KT420A</t>
    </r>
    <r>
      <rPr>
        <sz val="9"/>
        <color rgb="FF000000"/>
        <rFont val="DejaVu Sans"/>
        <family val="2"/>
      </rPr>
      <t>로 비용 효율 극대화</t>
    </r>
  </si>
  <si>
    <t>RXP500 + V33i</t>
  </si>
  <si>
    <r>
      <rPr>
        <b/>
        <sz val="12"/>
        <color rgb="FFFFFFFF"/>
        <rFont val="DejaVu Sans"/>
        <family val="2"/>
      </rPr>
      <t xml:space="preserve">벤더별 협상 포인트 </t>
    </r>
    <r>
      <rPr>
        <b/>
        <sz val="12"/>
        <color rgb="FFFFFFFF"/>
        <rFont val="맑은 고딕"/>
        <family val="3"/>
        <charset val="129"/>
      </rPr>
      <t>(Negotiation Levers)</t>
    </r>
  </si>
  <si>
    <t>Roeders</t>
  </si>
  <si>
    <r>
      <rPr>
        <sz val="10"/>
        <color rgb="FF000000"/>
        <rFont val="DejaVu Sans"/>
        <family val="2"/>
      </rPr>
      <t xml:space="preserve">① 옵션 패키지 무상화 </t>
    </r>
    <r>
      <rPr>
        <sz val="10"/>
        <color rgb="FF000000"/>
        <rFont val="맑은 고딕"/>
        <family val="3"/>
        <charset val="129"/>
      </rPr>
      <t xml:space="preserve">(RMS6/SO, RMSEdit/Cam, </t>
    </r>
    <r>
      <rPr>
        <sz val="10"/>
        <color rgb="FF000000"/>
        <rFont val="DejaVu Sans"/>
        <family val="2"/>
      </rPr>
      <t>매뉴얼도어</t>
    </r>
    <r>
      <rPr>
        <sz val="10"/>
        <color rgb="FF000000"/>
        <rFont val="맑은 고딕"/>
        <family val="3"/>
        <charset val="129"/>
      </rPr>
      <t xml:space="preserve">) ② </t>
    </r>
    <r>
      <rPr>
        <sz val="10"/>
        <color rgb="FF000000"/>
        <rFont val="DejaVu Sans"/>
        <family val="2"/>
      </rPr>
      <t>운송비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 xml:space="preserve">보험 추가 할인 ③ 베트남 현지 엔지니어 양성 프로그램 ④ </t>
    </r>
    <r>
      <rPr>
        <sz val="10"/>
        <color rgb="FF000000"/>
        <rFont val="맑은 고딕"/>
        <family val="3"/>
        <charset val="129"/>
      </rPr>
      <t>5</t>
    </r>
    <r>
      <rPr>
        <sz val="10"/>
        <color rgb="FF000000"/>
        <rFont val="DejaVu Sans"/>
        <family val="2"/>
      </rPr>
      <t xml:space="preserve">년 풀서비스 계약 단가 ⑤ 환율 락인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계약 환율 고정</t>
    </r>
    <r>
      <rPr>
        <sz val="10"/>
        <color rgb="FF000000"/>
        <rFont val="맑은 고딕"/>
        <family val="3"/>
        <charset val="129"/>
      </rPr>
      <t>)</t>
    </r>
  </si>
  <si>
    <t>Makino</t>
  </si>
  <si>
    <r>
      <rPr>
        <sz val="10"/>
        <color rgb="FF000000"/>
        <rFont val="맑은 고딕"/>
        <family val="3"/>
        <charset val="129"/>
      </rPr>
      <t xml:space="preserve">① Discount </t>
    </r>
    <r>
      <rPr>
        <sz val="10"/>
        <color rgb="FF000000"/>
        <rFont val="DejaVu Sans"/>
        <family val="2"/>
      </rPr>
      <t xml:space="preserve">추가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 xml:space="preserve">현재 </t>
    </r>
    <r>
      <rPr>
        <sz val="10"/>
        <color rgb="FF000000"/>
        <rFont val="맑은 고딕"/>
        <family val="3"/>
        <charset val="129"/>
      </rPr>
      <t xml:space="preserve">22.0%, 25% </t>
    </r>
    <r>
      <rPr>
        <sz val="10"/>
        <color rgb="FF000000"/>
        <rFont val="DejaVu Sans"/>
        <family val="2"/>
      </rPr>
      <t>협상</t>
    </r>
    <r>
      <rPr>
        <sz val="10"/>
        <color rgb="FF000000"/>
        <rFont val="맑은 고딕"/>
        <family val="3"/>
        <charset val="129"/>
      </rPr>
      <t xml:space="preserve">) ② Super GI .5 </t>
    </r>
    <r>
      <rPr>
        <sz val="10"/>
        <color rgb="FF000000"/>
        <rFont val="DejaVu Sans"/>
        <family val="2"/>
      </rPr>
      <t xml:space="preserve">무상 옵션화 </t>
    </r>
    <r>
      <rPr>
        <sz val="10"/>
        <color rgb="FF000000"/>
        <rFont val="맑은 고딕"/>
        <family val="3"/>
        <charset val="129"/>
      </rPr>
      <t xml:space="preserve">(1.7M JPY) ③ FANUC </t>
    </r>
    <r>
      <rPr>
        <sz val="10"/>
        <color rgb="FF000000"/>
        <rFont val="DejaVu Sans"/>
        <family val="2"/>
      </rPr>
      <t xml:space="preserve">보증 </t>
    </r>
    <r>
      <rPr>
        <sz val="10"/>
        <color rgb="FF000000"/>
        <rFont val="맑은 고딕"/>
        <family val="3"/>
        <charset val="129"/>
      </rPr>
      <t>36</t>
    </r>
    <r>
      <rPr>
        <sz val="10"/>
        <color rgb="FF000000"/>
        <rFont val="DejaVu Sans"/>
        <family val="2"/>
      </rPr>
      <t xml:space="preserve">개월 연장 ④ </t>
    </r>
    <r>
      <rPr>
        <sz val="10"/>
        <color rgb="FF000000"/>
        <rFont val="맑은 고딕"/>
        <family val="3"/>
        <charset val="129"/>
      </rPr>
      <t xml:space="preserve">Makino Vietnam 24/7 SLA + DAP </t>
    </r>
    <r>
      <rPr>
        <sz val="10"/>
        <color rgb="FF000000"/>
        <rFont val="DejaVu Sans"/>
        <family val="2"/>
      </rPr>
      <t>유지 ⑤ 운영자 교육 무상 인원 확대</t>
    </r>
  </si>
  <si>
    <t>Komatech</t>
  </si>
  <si>
    <r>
      <rPr>
        <sz val="10"/>
        <color rgb="FF000000"/>
        <rFont val="맑은 고딕"/>
        <family val="3"/>
        <charset val="129"/>
      </rPr>
      <t>① 4</t>
    </r>
    <r>
      <rPr>
        <sz val="10"/>
        <color rgb="FF000000"/>
        <rFont val="DejaVu Sans"/>
        <family val="2"/>
      </rPr>
      <t xml:space="preserve">대 동시 발주 → 단가 재협상 </t>
    </r>
    <r>
      <rPr>
        <sz val="10"/>
        <color rgb="FF000000"/>
        <rFont val="맑은 고딕"/>
        <family val="3"/>
        <charset val="129"/>
      </rPr>
      <t>(5,000~10,000 USD/</t>
    </r>
    <r>
      <rPr>
        <sz val="10"/>
        <color rgb="FF000000"/>
        <rFont val="DejaVu Sans"/>
        <family val="2"/>
      </rPr>
      <t>대</t>
    </r>
    <r>
      <rPr>
        <sz val="10"/>
        <color rgb="FF000000"/>
        <rFont val="맑은 고딕"/>
        <family val="3"/>
        <charset val="129"/>
      </rPr>
      <t xml:space="preserve">) ② FOB → CIF Hai Phong </t>
    </r>
    <r>
      <rPr>
        <sz val="10"/>
        <color rgb="FF000000"/>
        <rFont val="DejaVu Sans"/>
        <family val="2"/>
      </rPr>
      <t xml:space="preserve">무상 전환 ③ 보증 </t>
    </r>
    <r>
      <rPr>
        <sz val="10"/>
        <color rgb="FF000000"/>
        <rFont val="맑은 고딕"/>
        <family val="3"/>
        <charset val="129"/>
      </rPr>
      <t>24</t>
    </r>
    <r>
      <rPr>
        <sz val="10"/>
        <color rgb="FF000000"/>
        <rFont val="DejaVu Sans"/>
        <family val="2"/>
      </rPr>
      <t xml:space="preserve">개월 연장 ④ 옵션 추가 무상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현재 무상 옵션 외</t>
    </r>
    <r>
      <rPr>
        <sz val="10"/>
        <color rgb="FF000000"/>
        <rFont val="맑은 고딕"/>
        <family val="3"/>
        <charset val="129"/>
      </rPr>
      <t xml:space="preserve">) ⑤ </t>
    </r>
    <r>
      <rPr>
        <sz val="10"/>
        <color rgb="FF000000"/>
        <rFont val="DejaVu Sans"/>
        <family val="2"/>
      </rPr>
      <t>환율 변동 흡수 폭 확대</t>
    </r>
  </si>
  <si>
    <t>구매 결정 전 최종 체크리스트</t>
  </si>
  <si>
    <r>
      <rPr>
        <sz val="10"/>
        <color rgb="FF000000"/>
        <rFont val="DejaVu Sans"/>
        <family val="2"/>
      </rPr>
      <t xml:space="preserve">☐ 가공 대상 제품의 정밀도 요구사항 </t>
    </r>
    <r>
      <rPr>
        <sz val="10"/>
        <color rgb="FF000000"/>
        <rFont val="맑은 고딕"/>
        <family val="3"/>
        <charset val="129"/>
      </rPr>
      <t xml:space="preserve">(μm </t>
    </r>
    <r>
      <rPr>
        <sz val="10"/>
        <color rgb="FF000000"/>
        <rFont val="DejaVu Sans"/>
        <family val="2"/>
      </rPr>
      <t>단위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이 문서로 확정되어 있는가</t>
    </r>
    <r>
      <rPr>
        <sz val="10"/>
        <color rgb="FF000000"/>
        <rFont val="맑은 고딕"/>
        <family val="3"/>
        <charset val="129"/>
      </rPr>
      <t>?</t>
    </r>
  </si>
  <si>
    <r>
      <rPr>
        <sz val="10"/>
        <color rgb="FF000000"/>
        <rFont val="DejaVu Sans"/>
        <family val="2"/>
      </rPr>
      <t xml:space="preserve">☐ 향후 </t>
    </r>
    <r>
      <rPr>
        <sz val="10"/>
        <color rgb="FF000000"/>
        <rFont val="맑은 고딕"/>
        <family val="3"/>
        <charset val="129"/>
      </rPr>
      <t>5</t>
    </r>
    <r>
      <rPr>
        <sz val="10"/>
        <color rgb="FF000000"/>
        <rFont val="DejaVu Sans"/>
        <family val="2"/>
      </rPr>
      <t>년 가공 물량 및 가동률 예측이 합리적인가</t>
    </r>
    <r>
      <rPr>
        <sz val="10"/>
        <color rgb="FF000000"/>
        <rFont val="맑은 고딕"/>
        <family val="3"/>
        <charset val="129"/>
      </rPr>
      <t xml:space="preserve">? (TCO </t>
    </r>
    <r>
      <rPr>
        <sz val="10"/>
        <color rgb="FF000000"/>
        <rFont val="DejaVu Sans"/>
        <family val="2"/>
      </rPr>
      <t>시나리오 기반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</si>
  <si>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>☐ 베트남 공장 현장 환경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전력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온습도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바닥평탄도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이 사양 요구를 충족하는가</t>
    </r>
    <r>
      <rPr>
        <sz val="10"/>
        <color rgb="FF000000"/>
        <rFont val="맑은 고딕"/>
        <family val="3"/>
        <charset val="129"/>
      </rPr>
      <t>?</t>
    </r>
  </si>
  <si>
    <r>
      <rPr>
        <sz val="10"/>
        <color rgb="FF000000"/>
        <rFont val="DejaVu Sans"/>
        <family val="2"/>
      </rPr>
      <t xml:space="preserve">☐ 견적서 기재된 옵션 외에 추가 필요 옵션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집진기</t>
    </r>
    <r>
      <rPr>
        <sz val="10"/>
        <color rgb="FF000000"/>
        <rFont val="맑은 고딕"/>
        <family val="3"/>
        <charset val="129"/>
      </rPr>
      <t>·CAM·</t>
    </r>
    <r>
      <rPr>
        <sz val="10"/>
        <color rgb="FF000000"/>
        <rFont val="DejaVu Sans"/>
        <family val="2"/>
      </rPr>
      <t>계측기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DejaVu Sans"/>
        <family val="2"/>
      </rPr>
      <t>비용이 산정되어 있는가</t>
    </r>
    <r>
      <rPr>
        <sz val="10"/>
        <color rgb="FF000000"/>
        <rFont val="맑은 고딕"/>
        <family val="3"/>
        <charset val="129"/>
      </rPr>
      <t>?</t>
    </r>
  </si>
  <si>
    <r>
      <rPr>
        <sz val="10"/>
        <color rgb="FF000000"/>
        <rFont val="맑은 고딕"/>
        <family val="3"/>
        <charset val="129"/>
      </rPr>
      <t>☐ A/S SLA(</t>
    </r>
    <r>
      <rPr>
        <sz val="10"/>
        <color rgb="FF000000"/>
        <rFont val="DejaVu Sans"/>
        <family val="2"/>
      </rPr>
      <t>응답시간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출장비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부품 단가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가 계약서에 명문화되었는가</t>
    </r>
    <r>
      <rPr>
        <sz val="10"/>
        <color rgb="FF000000"/>
        <rFont val="맑은 고딕"/>
        <family val="3"/>
        <charset val="129"/>
      </rPr>
      <t>?</t>
    </r>
  </si>
  <si>
    <r>
      <rPr>
        <sz val="10"/>
        <color rgb="FF000000"/>
        <rFont val="DejaVu Sans"/>
        <family val="2"/>
      </rPr>
      <t>☐ 결제 조건</t>
    </r>
    <r>
      <rPr>
        <sz val="10"/>
        <color rgb="FF000000"/>
        <rFont val="맑은 고딕"/>
        <family val="3"/>
        <charset val="129"/>
      </rPr>
      <t>(L/C·T/T)</t>
    </r>
    <r>
      <rPr>
        <sz val="10"/>
        <color rgb="FF000000"/>
        <rFont val="DejaVu Sans"/>
        <family val="2"/>
      </rPr>
      <t>에 대한 자금 조달 계획이 수립되었는가</t>
    </r>
    <r>
      <rPr>
        <sz val="10"/>
        <color rgb="FF000000"/>
        <rFont val="맑은 고딕"/>
        <family val="3"/>
        <charset val="129"/>
      </rPr>
      <t>?</t>
    </r>
  </si>
  <si>
    <r>
      <rPr>
        <sz val="10"/>
        <color rgb="FF000000"/>
        <rFont val="DejaVu Sans"/>
        <family val="2"/>
      </rPr>
      <t>☐ 환헤지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선물환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옵션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DejaVu Sans"/>
        <family val="2"/>
      </rPr>
      <t>또는 계약 환율 고정 조항이 협의되었는가</t>
    </r>
    <r>
      <rPr>
        <sz val="10"/>
        <color rgb="FF000000"/>
        <rFont val="맑은 고딕"/>
        <family val="3"/>
        <charset val="129"/>
      </rPr>
      <t>?</t>
    </r>
  </si>
  <si>
    <r>
      <rPr>
        <sz val="10"/>
        <color rgb="FF000000"/>
        <rFont val="DejaVu Sans"/>
        <family val="2"/>
      </rPr>
      <t>☐ 시운전</t>
    </r>
    <r>
      <rPr>
        <sz val="10"/>
        <color rgb="FF000000"/>
        <rFont val="맑은 고딕"/>
        <family val="3"/>
        <charset val="129"/>
      </rPr>
      <t xml:space="preserve">(Acceptance Test) </t>
    </r>
    <r>
      <rPr>
        <sz val="10"/>
        <color rgb="FF000000"/>
        <rFont val="DejaVu Sans"/>
        <family val="2"/>
      </rPr>
      <t>합격 기준이 정량화되어 있는가</t>
    </r>
    <r>
      <rPr>
        <sz val="10"/>
        <color rgb="FF000000"/>
        <rFont val="맑은 고딕"/>
        <family val="3"/>
        <charset val="129"/>
      </rPr>
      <t>? (</t>
    </r>
    <r>
      <rPr>
        <sz val="10"/>
        <color rgb="FF000000"/>
        <rFont val="DejaVu Sans"/>
        <family val="2"/>
      </rPr>
      <t>정밀도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가공시간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표면조도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</si>
  <si>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>☐ 운영자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정비자 교육 계획이 수립되었는가</t>
    </r>
    <r>
      <rPr>
        <sz val="10"/>
        <color rgb="FF000000"/>
        <rFont val="맑은 고딕"/>
        <family val="3"/>
        <charset val="129"/>
      </rPr>
      <t>? (</t>
    </r>
    <r>
      <rPr>
        <sz val="10"/>
        <color rgb="FF000000"/>
        <rFont val="DejaVu Sans"/>
        <family val="2"/>
      </rPr>
      <t>인원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기간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DejaVu Sans"/>
        <family val="2"/>
      </rPr>
      <t>내용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</si>
  <si>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>☐ 동종 산업 레퍼런스 방문 또는 데모 가공이 완료되었는가</t>
    </r>
    <r>
      <rPr>
        <sz val="10"/>
        <color rgb="FF000000"/>
        <rFont val="맑은 고딕"/>
        <family val="3"/>
        <charset val="129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</si>
</sst>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\$#,##0"/>
    <numFmt numFmtId="177" formatCode="0.0"/>
    <numFmt numFmtId="178" formatCode="0&quot;위&quot;"/>
    <numFmt numFmtId="179" formatCode="\₩#,##0"/>
    <numFmt numFmtId="180" formatCode="0.00\x"/>
  </numFmts>
  <fonts count="44" x14ac:knownFonts="1">
    <font>
      <sz val="11"/>
      <color theme="1"/>
      <name val="Calibri"/>
      <family val="2"/>
      <charset val="1"/>
    </font>
    <font>
      <sz val="10"/>
      <name val="Arial"/>
    </font>
    <font>
      <b/>
      <sz val="20"/>
      <color rgb="FF1E2761"/>
      <name val="DejaVu Sans"/>
      <family val="2"/>
    </font>
    <font>
      <i/>
      <sz val="12"/>
      <color rgb="FF555555"/>
      <name val="맑은 고딕"/>
      <family val="3"/>
      <charset val="129"/>
    </font>
    <font>
      <i/>
      <sz val="12"/>
      <color rgb="FF555555"/>
      <name val="DejaVu Sans"/>
      <family val="2"/>
    </font>
    <font>
      <sz val="11"/>
      <color rgb="FF555555"/>
      <name val="DejaVu Sans"/>
      <family val="2"/>
    </font>
    <font>
      <sz val="11"/>
      <color rgb="FF555555"/>
      <name val="맑은 고딕"/>
      <family val="3"/>
      <charset val="129"/>
    </font>
    <font>
      <sz val="10"/>
      <color rgb="FF888888"/>
      <name val="DejaVu Sans"/>
      <family val="2"/>
    </font>
    <font>
      <sz val="10"/>
      <color rgb="FF888888"/>
      <name val="맑은 고딕"/>
      <family val="3"/>
      <charset val="129"/>
    </font>
    <font>
      <b/>
      <sz val="12"/>
      <color rgb="FF000000"/>
      <name val="DejaVu Sans"/>
      <family val="2"/>
    </font>
    <font>
      <sz val="11"/>
      <color rgb="FF000000"/>
      <name val="맑은 고딕"/>
      <family val="3"/>
      <charset val="129"/>
    </font>
    <font>
      <sz val="11"/>
      <color rgb="FF000000"/>
      <name val="DejaVu Sans"/>
      <family val="2"/>
    </font>
    <font>
      <b/>
      <sz val="12"/>
      <color rgb="FFFFFFFF"/>
      <name val="맑은 고딕"/>
      <family val="3"/>
      <charset val="129"/>
    </font>
    <font>
      <b/>
      <sz val="12"/>
      <color rgb="FFFFFFFF"/>
      <name val="DejaVu Sans"/>
      <family val="2"/>
    </font>
    <font>
      <b/>
      <sz val="11"/>
      <color rgb="FFFFFFFF"/>
      <name val="DejaVu Sans"/>
      <family val="2"/>
    </font>
    <font>
      <b/>
      <sz val="11"/>
      <color rgb="FFFFFFFF"/>
      <name val="맑은 고딕"/>
      <family val="3"/>
      <charset val="129"/>
    </font>
    <font>
      <b/>
      <sz val="10"/>
      <color rgb="FF000000"/>
      <name val="DejaVu Sans"/>
      <family val="2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b/>
      <sz val="14"/>
      <color rgb="FF000000"/>
      <name val="맑은 고딕"/>
      <family val="3"/>
      <charset val="129"/>
    </font>
    <font>
      <b/>
      <sz val="10"/>
      <color rgb="FFC62828"/>
      <name val="맑은 고딕"/>
      <family val="3"/>
      <charset val="129"/>
    </font>
    <font>
      <b/>
      <sz val="10"/>
      <color rgb="FF1E2761"/>
      <name val="맑은 고딕"/>
      <family val="3"/>
      <charset val="129"/>
    </font>
    <font>
      <b/>
      <sz val="10"/>
      <color rgb="FF1E2761"/>
      <name val="DejaVu Sans"/>
      <family val="2"/>
    </font>
    <font>
      <i/>
      <sz val="9"/>
      <color rgb="FF666666"/>
      <name val="DejaVu Sans"/>
      <family val="2"/>
    </font>
    <font>
      <i/>
      <sz val="9"/>
      <color rgb="FF666666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name val="DejaVu Sans"/>
      <family val="2"/>
    </font>
    <font>
      <b/>
      <sz val="12"/>
      <color rgb="FF1E2761"/>
      <name val="맑은 고딕"/>
      <family val="3"/>
      <charset val="129"/>
    </font>
    <font>
      <b/>
      <sz val="20"/>
      <color rgb="FF1E2761"/>
      <name val="맑은 고딕"/>
      <family val="3"/>
      <charset val="129"/>
    </font>
    <font>
      <b/>
      <sz val="10"/>
      <color rgb="FFFFFFFF"/>
      <name val="DejaVu Sans"/>
      <family val="2"/>
    </font>
    <font>
      <sz val="9"/>
      <color rgb="FF666666"/>
      <name val="맑은 고딕"/>
      <family val="3"/>
      <charset val="129"/>
    </font>
    <font>
      <sz val="9"/>
      <color rgb="FF666666"/>
      <name val="DejaVu Sans"/>
      <family val="2"/>
    </font>
    <font>
      <b/>
      <sz val="10"/>
      <color rgb="FFFFFFFF"/>
      <name val="맑은 고딕"/>
      <family val="3"/>
      <charset val="129"/>
    </font>
    <font>
      <b/>
      <sz val="11"/>
      <color rgb="FF000000"/>
      <name val="DejaVu Sans"/>
      <family val="2"/>
    </font>
    <font>
      <b/>
      <sz val="11"/>
      <color rgb="FF000000"/>
      <name val="맑은 고딕"/>
      <family val="3"/>
      <charset val="129"/>
    </font>
    <font>
      <sz val="9"/>
      <color rgb="FF000000"/>
      <name val="DejaVu Sans"/>
      <family val="2"/>
    </font>
    <font>
      <sz val="9"/>
      <color rgb="FF000000"/>
      <name val="맑은 고딕"/>
      <family val="3"/>
      <charset val="129"/>
    </font>
    <font>
      <b/>
      <sz val="10"/>
      <color rgb="FFEF6C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9"/>
      <color rgb="FFEF6C00"/>
      <name val="DejaVu Sans"/>
      <family val="2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D4A017"/>
        <bgColor rgb="FFFFCC00"/>
      </patternFill>
    </fill>
    <fill>
      <patternFill patternType="solid">
        <fgColor rgb="FFCADCFC"/>
        <bgColor rgb="FFD9D9D9"/>
      </patternFill>
    </fill>
    <fill>
      <patternFill patternType="solid">
        <fgColor rgb="FF1E2761"/>
        <bgColor rgb="FF333399"/>
      </patternFill>
    </fill>
    <fill>
      <patternFill patternType="solid">
        <fgColor rgb="FFF5F5F5"/>
        <bgColor rgb="FFF9F9F9"/>
      </patternFill>
    </fill>
    <fill>
      <patternFill patternType="solid">
        <fgColor rgb="FFFFFFCC"/>
        <bgColor rgb="FFFFF9C4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FFF9C4"/>
        <bgColor rgb="FFFFFFCC"/>
      </patternFill>
    </fill>
    <fill>
      <patternFill patternType="solid">
        <fgColor rgb="FFC8E6C9"/>
        <bgColor rgb="FFD9D9D9"/>
      </patternFill>
    </fill>
  </fills>
  <borders count="3">
    <border>
      <left/>
      <right/>
      <top/>
      <bottom/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">
    <xf numFmtId="0" fontId="0" fillId="0" borderId="0"/>
    <xf numFmtId="41" fontId="1" fillId="0" borderId="0" applyBorder="0" applyAlignment="0" applyProtection="0"/>
  </cellStyleXfs>
  <cellXfs count="91">
    <xf numFmtId="0" fontId="0" fillId="0" borderId="0" xfId="0"/>
    <xf numFmtId="0" fontId="18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5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4" fillId="4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176" fontId="17" fillId="0" borderId="2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3" fontId="18" fillId="0" borderId="2" xfId="0" applyNumberFormat="1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left" vertical="center" wrapText="1"/>
    </xf>
    <xf numFmtId="177" fontId="20" fillId="3" borderId="2" xfId="0" applyNumberFormat="1" applyFont="1" applyFill="1" applyBorder="1" applyAlignment="1">
      <alignment horizontal="center" vertical="center" wrapText="1"/>
    </xf>
    <xf numFmtId="178" fontId="21" fillId="0" borderId="2" xfId="0" applyNumberFormat="1" applyFont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left" vertical="center" wrapText="1"/>
    </xf>
    <xf numFmtId="9" fontId="17" fillId="0" borderId="2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 wrapText="1"/>
    </xf>
    <xf numFmtId="9" fontId="17" fillId="3" borderId="2" xfId="0" applyNumberFormat="1" applyFont="1" applyFill="1" applyBorder="1" applyAlignment="1">
      <alignment horizontal="center" vertical="center" wrapText="1"/>
    </xf>
    <xf numFmtId="1" fontId="27" fillId="6" borderId="2" xfId="0" applyNumberFormat="1" applyFont="1" applyFill="1" applyBorder="1" applyAlignment="1">
      <alignment horizontal="center" vertical="center"/>
    </xf>
    <xf numFmtId="9" fontId="27" fillId="6" borderId="2" xfId="0" applyNumberFormat="1" applyFont="1" applyFill="1" applyBorder="1" applyAlignment="1">
      <alignment horizontal="center" vertical="center"/>
    </xf>
    <xf numFmtId="9" fontId="17" fillId="5" borderId="2" xfId="0" applyNumberFormat="1" applyFont="1" applyFill="1" applyBorder="1" applyAlignment="1">
      <alignment horizontal="center" vertical="center" wrapText="1"/>
    </xf>
    <xf numFmtId="177" fontId="18" fillId="0" borderId="2" xfId="0" applyNumberFormat="1" applyFont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/>
    </xf>
    <xf numFmtId="177" fontId="28" fillId="4" borderId="2" xfId="0" applyNumberFormat="1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left" vertical="center"/>
    </xf>
    <xf numFmtId="178" fontId="30" fillId="2" borderId="2" xfId="0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4" fontId="27" fillId="6" borderId="2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left" vertical="center" wrapText="1"/>
    </xf>
    <xf numFmtId="3" fontId="17" fillId="0" borderId="2" xfId="0" applyNumberFormat="1" applyFont="1" applyBorder="1" applyAlignment="1">
      <alignment horizontal="center" vertical="center" wrapText="1"/>
    </xf>
    <xf numFmtId="0" fontId="39" fillId="0" borderId="2" xfId="0" applyFont="1" applyBorder="1" applyAlignment="1">
      <alignment horizontal="left" vertical="center" wrapText="1"/>
    </xf>
    <xf numFmtId="176" fontId="17" fillId="3" borderId="2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38" fillId="3" borderId="2" xfId="0" applyFont="1" applyFill="1" applyBorder="1" applyAlignment="1">
      <alignment horizontal="left" vertical="center" wrapText="1"/>
    </xf>
    <xf numFmtId="176" fontId="18" fillId="0" borderId="2" xfId="0" applyNumberFormat="1" applyFont="1" applyBorder="1" applyAlignment="1">
      <alignment horizontal="center" vertical="center" wrapText="1"/>
    </xf>
    <xf numFmtId="177" fontId="40" fillId="0" borderId="2" xfId="0" applyNumberFormat="1" applyFont="1" applyBorder="1" applyAlignment="1">
      <alignment horizontal="center" vertical="center" wrapText="1"/>
    </xf>
    <xf numFmtId="179" fontId="18" fillId="0" borderId="2" xfId="0" applyNumberFormat="1" applyFont="1" applyBorder="1" applyAlignment="1">
      <alignment horizontal="center" vertical="center" wrapText="1"/>
    </xf>
    <xf numFmtId="176" fontId="17" fillId="5" borderId="2" xfId="0" applyNumberFormat="1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left" vertical="center"/>
    </xf>
    <xf numFmtId="176" fontId="12" fillId="4" borderId="2" xfId="0" applyNumberFormat="1" applyFont="1" applyFill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180" fontId="18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1" fontId="17" fillId="7" borderId="2" xfId="0" applyNumberFormat="1" applyFont="1" applyFill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 wrapText="1"/>
    </xf>
    <xf numFmtId="1" fontId="17" fillId="8" borderId="2" xfId="0" applyNumberFormat="1" applyFont="1" applyFill="1" applyBorder="1" applyAlignment="1">
      <alignment horizontal="center" vertical="center" wrapText="1"/>
    </xf>
    <xf numFmtId="1" fontId="17" fillId="9" borderId="2" xfId="0" applyNumberFormat="1" applyFont="1" applyFill="1" applyBorder="1" applyAlignment="1">
      <alignment horizontal="center" vertical="center" wrapText="1"/>
    </xf>
    <xf numFmtId="1" fontId="17" fillId="10" borderId="2" xfId="0" applyNumberFormat="1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24" fillId="0" borderId="0" xfId="0" applyFont="1" applyAlignment="1">
      <alignment vertical="top" wrapText="1"/>
    </xf>
    <xf numFmtId="0" fontId="4" fillId="0" borderId="0" xfId="0" applyFont="1" applyAlignment="1">
      <alignment horizontal="left" vertical="center"/>
    </xf>
    <xf numFmtId="0" fontId="13" fillId="4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32" fillId="4" borderId="2" xfId="0" applyFont="1" applyFill="1" applyBorder="1" applyAlignment="1">
      <alignment horizontal="left" vertical="center"/>
    </xf>
    <xf numFmtId="0" fontId="36" fillId="2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3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1" fontId="1" fillId="0" borderId="0" xfId="1" applyAlignment="1">
      <alignment vertical="center"/>
    </xf>
    <xf numFmtId="43" fontId="0" fillId="0" borderId="0" xfId="0" applyNumberFormat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D9D9D9"/>
      <rgbColor rgb="FF878787"/>
      <rgbColor rgb="FF9999FF"/>
      <rgbColor rgb="FFC0504D"/>
      <rgbColor rgb="FFFFFFCC"/>
      <rgbColor rgb="FFF5F5F5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8E6C9"/>
      <rgbColor rgb="FFFFF9C4"/>
      <rgbColor rgb="FF99CCFF"/>
      <rgbColor rgb="FFFFCDD2"/>
      <rgbColor rgb="FFCC99FF"/>
      <rgbColor rgb="FFFFE0B2"/>
      <rgbColor rgb="FF4F81BD"/>
      <rgbColor rgb="FF33CCCC"/>
      <rgbColor rgb="FF9BBB59"/>
      <rgbColor rgb="FFFFCC00"/>
      <rgbColor rgb="FFD4A017"/>
      <rgbColor rgb="FFEF6C00"/>
      <rgbColor rgb="FF8064A2"/>
      <rgbColor rgb="FF888888"/>
      <rgbColor rgb="FF1E2761"/>
      <rgbColor rgb="FF339966"/>
      <rgbColor rgb="FF003300"/>
      <rgbColor rgb="FF333300"/>
      <rgbColor rgb="FFC62828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종합 평가 점수 비교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'02_평가매트릭스'!$C$5:$F$5</c:f>
              <c:strCache>
                <c:ptCount val="4"/>
                <c:pt idx="0">
                  <c:v>RXP500</c:v>
                </c:pt>
                <c:pt idx="1">
                  <c:v>RXP400</c:v>
                </c:pt>
                <c:pt idx="2">
                  <c:v>V33i</c:v>
                </c:pt>
                <c:pt idx="3">
                  <c:v>KT420A</c:v>
                </c:pt>
              </c:strCache>
            </c:strRef>
          </c:cat>
          <c:val>
            <c:numRef>
              <c:f>'02_평가매트릭스'!$C$25</c:f>
              <c:numCache>
                <c:formatCode>0.0</c:formatCode>
                <c:ptCount val="1"/>
                <c:pt idx="0">
                  <c:v>78.5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3-4BED-9DC7-691C45C81815}"/>
            </c:ext>
          </c:extLst>
        </c:ser>
        <c:ser>
          <c:idx val="1"/>
          <c:order val="1"/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'02_평가매트릭스'!$C$5:$F$5</c:f>
              <c:strCache>
                <c:ptCount val="4"/>
                <c:pt idx="0">
                  <c:v>RXP500</c:v>
                </c:pt>
                <c:pt idx="1">
                  <c:v>RXP400</c:v>
                </c:pt>
                <c:pt idx="2">
                  <c:v>V33i</c:v>
                </c:pt>
                <c:pt idx="3">
                  <c:v>KT420A</c:v>
                </c:pt>
              </c:strCache>
            </c:strRef>
          </c:cat>
          <c:val>
            <c:numRef>
              <c:f>'02_평가매트릭스'!$D$25</c:f>
              <c:numCache>
                <c:formatCode>0.0</c:formatCode>
                <c:ptCount val="1"/>
                <c:pt idx="0">
                  <c:v>82.05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3-4BED-9DC7-691C45C81815}"/>
            </c:ext>
          </c:extLst>
        </c:ser>
        <c:ser>
          <c:idx val="2"/>
          <c:order val="2"/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'02_평가매트릭스'!$C$5:$F$5</c:f>
              <c:strCache>
                <c:ptCount val="4"/>
                <c:pt idx="0">
                  <c:v>RXP500</c:v>
                </c:pt>
                <c:pt idx="1">
                  <c:v>RXP400</c:v>
                </c:pt>
                <c:pt idx="2">
                  <c:v>V33i</c:v>
                </c:pt>
                <c:pt idx="3">
                  <c:v>KT420A</c:v>
                </c:pt>
              </c:strCache>
            </c:strRef>
          </c:cat>
          <c:val>
            <c:numRef>
              <c:f>'02_평가매트릭스'!$E$25</c:f>
              <c:numCache>
                <c:formatCode>0.0</c:formatCode>
                <c:ptCount val="1"/>
                <c:pt idx="0">
                  <c:v>86.8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33-4BED-9DC7-691C45C81815}"/>
            </c:ext>
          </c:extLst>
        </c:ser>
        <c:ser>
          <c:idx val="3"/>
          <c:order val="3"/>
          <c:spPr>
            <a:solidFill>
              <a:srgbClr val="8064A2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'02_평가매트릭스'!$C$5:$F$5</c:f>
              <c:strCache>
                <c:ptCount val="4"/>
                <c:pt idx="0">
                  <c:v>RXP500</c:v>
                </c:pt>
                <c:pt idx="1">
                  <c:v>RXP400</c:v>
                </c:pt>
                <c:pt idx="2">
                  <c:v>V33i</c:v>
                </c:pt>
                <c:pt idx="3">
                  <c:v>KT420A</c:v>
                </c:pt>
              </c:strCache>
            </c:strRef>
          </c:cat>
          <c:val>
            <c:numRef>
              <c:f>'02_평가매트릭스'!$F$25</c:f>
              <c:numCache>
                <c:formatCode>0.0</c:formatCode>
                <c:ptCount val="1"/>
                <c:pt idx="0">
                  <c:v>80.75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33-4BED-9DC7-691C45C81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06693"/>
        <c:axId val="82118541"/>
      </c:barChart>
      <c:catAx>
        <c:axId val="208066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설비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82118541"/>
        <c:crosses val="autoZero"/>
        <c:auto val="1"/>
        <c:lblAlgn val="ctr"/>
        <c:lblOffset val="100"/>
        <c:noMultiLvlLbl val="0"/>
      </c:catAx>
      <c:valAx>
        <c:axId val="821185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점수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208066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5</xdr:col>
      <xdr:colOff>825480</xdr:colOff>
      <xdr:row>42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0"/>
  <sheetViews>
    <sheetView showGridLines="0" zoomScaleNormal="100" workbookViewId="0">
      <selection activeCell="P11" sqref="P11"/>
    </sheetView>
  </sheetViews>
  <sheetFormatPr defaultColWidth="8.7109375" defaultRowHeight="15" x14ac:dyDescent="0.25"/>
  <cols>
    <col min="1" max="1" width="3" customWidth="1"/>
    <col min="2" max="2" width="22" customWidth="1"/>
    <col min="3" max="7" width="18" customWidth="1"/>
    <col min="8" max="8" width="22" customWidth="1"/>
    <col min="13" max="13" width="12.28515625" style="88" bestFit="1" customWidth="1"/>
    <col min="14" max="14" width="8.7109375" style="88"/>
    <col min="15" max="17" width="18.28515625" style="88" bestFit="1" customWidth="1"/>
  </cols>
  <sheetData>
    <row r="2" spans="2:17" ht="36" customHeight="1" x14ac:dyDescent="0.25">
      <c r="B2" s="14" t="s">
        <v>0</v>
      </c>
      <c r="C2" s="14"/>
      <c r="D2" s="14"/>
      <c r="E2" s="14"/>
      <c r="F2" s="14"/>
      <c r="G2" s="14"/>
      <c r="H2" s="14"/>
    </row>
    <row r="3" spans="2:17" ht="17.25" x14ac:dyDescent="0.25">
      <c r="B3" s="13" t="s">
        <v>1</v>
      </c>
      <c r="C3" s="13"/>
      <c r="D3" s="13"/>
      <c r="E3" s="13"/>
      <c r="F3" s="13"/>
      <c r="G3" s="13"/>
      <c r="H3" s="13"/>
    </row>
    <row r="4" spans="2:17" ht="16.5" x14ac:dyDescent="0.3">
      <c r="B4" s="12" t="s">
        <v>2</v>
      </c>
      <c r="C4" s="12"/>
      <c r="D4" s="12"/>
      <c r="E4" s="12"/>
      <c r="F4" s="12"/>
      <c r="G4" s="12"/>
      <c r="H4" s="12"/>
    </row>
    <row r="5" spans="2:17" x14ac:dyDescent="0.25">
      <c r="B5" s="11" t="s">
        <v>3</v>
      </c>
      <c r="C5" s="11"/>
      <c r="D5" s="11"/>
      <c r="E5" s="11"/>
      <c r="F5" s="11"/>
      <c r="G5" s="11"/>
      <c r="H5" s="11"/>
    </row>
    <row r="6" spans="2:17" x14ac:dyDescent="0.25">
      <c r="M6" s="89"/>
      <c r="O6" s="90"/>
      <c r="P6" s="90"/>
      <c r="Q6" s="90"/>
    </row>
    <row r="7" spans="2:17" ht="25.5" customHeight="1" x14ac:dyDescent="0.25">
      <c r="B7" s="10" t="s">
        <v>4</v>
      </c>
      <c r="C7" s="10"/>
      <c r="D7" s="10"/>
      <c r="E7" s="10"/>
      <c r="F7" s="10"/>
      <c r="G7" s="10"/>
      <c r="H7" s="10"/>
    </row>
    <row r="8" spans="2:17" ht="60" customHeight="1" x14ac:dyDescent="0.25">
      <c r="B8" s="9" t="s">
        <v>5</v>
      </c>
      <c r="C8" s="9"/>
      <c r="D8" s="9"/>
      <c r="E8" s="9"/>
      <c r="F8" s="9"/>
      <c r="G8" s="9"/>
      <c r="H8" s="9"/>
    </row>
    <row r="10" spans="2:17" ht="24" customHeight="1" x14ac:dyDescent="0.25">
      <c r="B10" s="8" t="s">
        <v>6</v>
      </c>
      <c r="C10" s="8"/>
      <c r="D10" s="8"/>
      <c r="E10" s="8"/>
      <c r="F10" s="8"/>
      <c r="G10" s="8"/>
      <c r="H10" s="8"/>
    </row>
    <row r="11" spans="2:17" ht="28.35" customHeight="1" x14ac:dyDescent="0.25">
      <c r="B11" s="15" t="s">
        <v>7</v>
      </c>
      <c r="C11" s="16" t="s">
        <v>8</v>
      </c>
      <c r="D11" s="16" t="s">
        <v>9</v>
      </c>
      <c r="E11" s="16" t="s">
        <v>10</v>
      </c>
      <c r="F11" s="16" t="s">
        <v>11</v>
      </c>
      <c r="G11" s="7" t="s">
        <v>12</v>
      </c>
      <c r="H11" s="7"/>
    </row>
    <row r="12" spans="2:17" ht="15" customHeight="1" x14ac:dyDescent="0.25">
      <c r="B12" s="17" t="s">
        <v>13</v>
      </c>
      <c r="C12" s="18" t="s">
        <v>14</v>
      </c>
      <c r="D12" s="18" t="s">
        <v>15</v>
      </c>
      <c r="E12" s="18" t="s">
        <v>16</v>
      </c>
      <c r="F12" s="18" t="s">
        <v>17</v>
      </c>
      <c r="G12" s="6" t="s">
        <v>18</v>
      </c>
      <c r="H12" s="6"/>
    </row>
    <row r="13" spans="2:17" ht="15" customHeight="1" x14ac:dyDescent="0.25">
      <c r="B13" s="19" t="s">
        <v>19</v>
      </c>
      <c r="C13" s="20">
        <f>249255*1.08</f>
        <v>269195.40000000002</v>
      </c>
      <c r="D13" s="20">
        <f>229355*1.08</f>
        <v>247703.40000000002</v>
      </c>
      <c r="E13" s="20">
        <f>34498418*0.00666666666666667</f>
        <v>229989.45333333343</v>
      </c>
      <c r="F13" s="20">
        <f>59500</f>
        <v>59500</v>
      </c>
      <c r="G13" s="5" t="s">
        <v>20</v>
      </c>
      <c r="H13" s="5"/>
    </row>
    <row r="14" spans="2:17" ht="23.85" customHeight="1" x14ac:dyDescent="0.25">
      <c r="B14" s="17" t="s">
        <v>21</v>
      </c>
      <c r="C14" s="21" t="s">
        <v>22</v>
      </c>
      <c r="D14" s="21" t="s">
        <v>23</v>
      </c>
      <c r="E14" s="21" t="s">
        <v>24</v>
      </c>
      <c r="F14" s="21" t="s">
        <v>25</v>
      </c>
      <c r="G14" s="6" t="s">
        <v>26</v>
      </c>
      <c r="H14" s="6"/>
    </row>
    <row r="15" spans="2:17" ht="15" customHeight="1" x14ac:dyDescent="0.25">
      <c r="B15" s="17" t="s">
        <v>27</v>
      </c>
      <c r="C15" s="22">
        <v>42000</v>
      </c>
      <c r="D15" s="22">
        <v>50000</v>
      </c>
      <c r="E15" s="22">
        <v>30000</v>
      </c>
      <c r="F15" s="22">
        <v>24000</v>
      </c>
      <c r="G15" s="5" t="s">
        <v>28</v>
      </c>
      <c r="H15" s="5"/>
    </row>
    <row r="16" spans="2:17" ht="15" customHeight="1" x14ac:dyDescent="0.25">
      <c r="B16" s="17" t="s">
        <v>29</v>
      </c>
      <c r="C16" s="18">
        <v>6</v>
      </c>
      <c r="D16" s="18">
        <v>6</v>
      </c>
      <c r="E16" s="18">
        <v>3.5</v>
      </c>
      <c r="F16" s="18">
        <v>3</v>
      </c>
      <c r="G16" s="5" t="s">
        <v>30</v>
      </c>
      <c r="H16" s="5"/>
    </row>
    <row r="17" spans="2:8" ht="15" customHeight="1" x14ac:dyDescent="0.25">
      <c r="B17" s="17" t="s">
        <v>31</v>
      </c>
      <c r="C17" s="18" t="s">
        <v>32</v>
      </c>
      <c r="D17" s="18" t="s">
        <v>32</v>
      </c>
      <c r="E17" s="18" t="s">
        <v>33</v>
      </c>
      <c r="F17" s="18">
        <v>12</v>
      </c>
      <c r="G17" s="5" t="s">
        <v>34</v>
      </c>
      <c r="H17" s="5"/>
    </row>
    <row r="19" spans="2:8" ht="24" customHeight="1" x14ac:dyDescent="0.25">
      <c r="B19" s="8" t="s">
        <v>35</v>
      </c>
      <c r="C19" s="8"/>
      <c r="D19" s="8"/>
      <c r="E19" s="8"/>
      <c r="F19" s="8"/>
      <c r="G19" s="8"/>
      <c r="H19" s="8"/>
    </row>
    <row r="20" spans="2:8" ht="15" customHeight="1" x14ac:dyDescent="0.25">
      <c r="B20" s="15" t="s">
        <v>7</v>
      </c>
      <c r="C20" s="16" t="s">
        <v>36</v>
      </c>
      <c r="D20" s="16" t="s">
        <v>37</v>
      </c>
      <c r="E20" s="16" t="s">
        <v>38</v>
      </c>
      <c r="F20" s="16" t="s">
        <v>39</v>
      </c>
      <c r="G20" s="4" t="s">
        <v>40</v>
      </c>
      <c r="H20" s="4"/>
    </row>
    <row r="21" spans="2:8" ht="27.75" customHeight="1" x14ac:dyDescent="0.25">
      <c r="B21" s="23" t="s">
        <v>41</v>
      </c>
      <c r="C21" s="24">
        <f>'02_평가매트릭스'!C25</f>
        <v>78.5</v>
      </c>
      <c r="D21" s="24">
        <f>'02_평가매트릭스'!D25</f>
        <v>82.05</v>
      </c>
      <c r="E21" s="24">
        <f>'02_평가매트릭스'!E25</f>
        <v>86.8</v>
      </c>
      <c r="F21" s="24">
        <f>'02_평가매트릭스'!F25</f>
        <v>80.75</v>
      </c>
      <c r="G21" s="3" t="s">
        <v>42</v>
      </c>
      <c r="H21" s="3"/>
    </row>
    <row r="22" spans="2:8" ht="15" customHeight="1" x14ac:dyDescent="0.25">
      <c r="B22" s="17" t="s">
        <v>43</v>
      </c>
      <c r="C22" s="25">
        <f>RANK(C21,$C$21:$F$21)</f>
        <v>4</v>
      </c>
      <c r="D22" s="25">
        <f>RANK(D21,$C$21:$F$21)</f>
        <v>2</v>
      </c>
      <c r="E22" s="25">
        <f>RANK(E21,$C$21:$F$21)</f>
        <v>1</v>
      </c>
      <c r="F22" s="25">
        <f>RANK(F21,$C$21:$F$21)</f>
        <v>3</v>
      </c>
      <c r="G22" s="5" t="s">
        <v>44</v>
      </c>
      <c r="H22" s="5"/>
    </row>
    <row r="24" spans="2:8" ht="24" customHeight="1" x14ac:dyDescent="0.25">
      <c r="B24" s="8" t="s">
        <v>45</v>
      </c>
      <c r="C24" s="8"/>
      <c r="D24" s="8"/>
      <c r="E24" s="8"/>
      <c r="F24" s="8"/>
      <c r="G24" s="8"/>
      <c r="H24" s="8"/>
    </row>
    <row r="25" spans="2:8" ht="27.75" customHeight="1" x14ac:dyDescent="0.25">
      <c r="B25" s="26" t="s">
        <v>46</v>
      </c>
      <c r="C25" s="2" t="s">
        <v>47</v>
      </c>
      <c r="D25" s="2"/>
      <c r="E25" s="2"/>
      <c r="F25" s="5" t="s">
        <v>48</v>
      </c>
      <c r="G25" s="5"/>
      <c r="H25" s="5"/>
    </row>
    <row r="26" spans="2:8" ht="27.75" customHeight="1" x14ac:dyDescent="0.25">
      <c r="B26" s="26" t="s">
        <v>49</v>
      </c>
      <c r="C26" s="2" t="s">
        <v>50</v>
      </c>
      <c r="D26" s="2"/>
      <c r="E26" s="2"/>
      <c r="F26" s="1" t="s">
        <v>51</v>
      </c>
      <c r="G26" s="1"/>
      <c r="H26" s="1"/>
    </row>
    <row r="27" spans="2:8" ht="27.75" customHeight="1" x14ac:dyDescent="0.25">
      <c r="B27" s="26" t="s">
        <v>52</v>
      </c>
      <c r="C27" s="2" t="s">
        <v>53</v>
      </c>
      <c r="D27" s="2"/>
      <c r="E27" s="2"/>
      <c r="F27" s="5" t="s">
        <v>54</v>
      </c>
      <c r="G27" s="5"/>
      <c r="H27" s="5"/>
    </row>
    <row r="28" spans="2:8" ht="27.75" customHeight="1" x14ac:dyDescent="0.25">
      <c r="B28" s="26" t="s">
        <v>55</v>
      </c>
      <c r="C28" s="2" t="s">
        <v>11</v>
      </c>
      <c r="D28" s="2"/>
      <c r="E28" s="2"/>
      <c r="F28" s="5" t="s">
        <v>56</v>
      </c>
      <c r="G28" s="5"/>
      <c r="H28" s="5"/>
    </row>
    <row r="30" spans="2:8" ht="30" customHeight="1" x14ac:dyDescent="0.25">
      <c r="B30" s="76" t="s">
        <v>57</v>
      </c>
      <c r="C30" s="76"/>
      <c r="D30" s="76"/>
      <c r="E30" s="76"/>
      <c r="F30" s="76"/>
      <c r="G30" s="76"/>
      <c r="H30" s="76"/>
    </row>
  </sheetData>
  <mergeCells count="28">
    <mergeCell ref="B30:H30"/>
    <mergeCell ref="C26:E26"/>
    <mergeCell ref="F26:H26"/>
    <mergeCell ref="C27:E27"/>
    <mergeCell ref="F27:H27"/>
    <mergeCell ref="C28:E28"/>
    <mergeCell ref="F28:H28"/>
    <mergeCell ref="G20:H20"/>
    <mergeCell ref="G21:H21"/>
    <mergeCell ref="G22:H22"/>
    <mergeCell ref="B24:H24"/>
    <mergeCell ref="C25:E25"/>
    <mergeCell ref="F25:H25"/>
    <mergeCell ref="G14:H14"/>
    <mergeCell ref="G15:H15"/>
    <mergeCell ref="G16:H16"/>
    <mergeCell ref="G17:H17"/>
    <mergeCell ref="B19:H19"/>
    <mergeCell ref="B8:H8"/>
    <mergeCell ref="B10:H10"/>
    <mergeCell ref="G11:H11"/>
    <mergeCell ref="G12:H12"/>
    <mergeCell ref="G13:H13"/>
    <mergeCell ref="B2:H2"/>
    <mergeCell ref="B3:H3"/>
    <mergeCell ref="B4:H4"/>
    <mergeCell ref="B5:H5"/>
    <mergeCell ref="B7:H7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8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0" customWidth="1"/>
    <col min="3" max="3" width="14" customWidth="1"/>
    <col min="4" max="4" width="50" customWidth="1"/>
    <col min="5" max="7" width="14" customWidth="1"/>
  </cols>
  <sheetData>
    <row r="2" spans="2:7" ht="31.5" customHeight="1" x14ac:dyDescent="0.25">
      <c r="B2" s="14" t="s">
        <v>58</v>
      </c>
      <c r="C2" s="14"/>
      <c r="D2" s="14"/>
      <c r="E2" s="14"/>
      <c r="F2" s="14"/>
      <c r="G2" s="14"/>
    </row>
    <row r="3" spans="2:7" ht="17.25" x14ac:dyDescent="0.25">
      <c r="B3" s="77" t="s">
        <v>59</v>
      </c>
      <c r="C3" s="77"/>
      <c r="D3" s="77"/>
      <c r="E3" s="77"/>
      <c r="F3" s="77"/>
      <c r="G3" s="77"/>
    </row>
    <row r="5" spans="2:7" ht="25.5" customHeight="1" x14ac:dyDescent="0.25">
      <c r="B5" s="78" t="s">
        <v>60</v>
      </c>
      <c r="C5" s="78"/>
      <c r="D5" s="78"/>
      <c r="E5" s="78"/>
      <c r="F5" s="78"/>
      <c r="G5" s="78"/>
    </row>
    <row r="6" spans="2:7" ht="36" customHeight="1" x14ac:dyDescent="0.25">
      <c r="B6" s="15" t="s">
        <v>61</v>
      </c>
      <c r="C6" s="15" t="s">
        <v>62</v>
      </c>
      <c r="D6" s="15" t="s">
        <v>63</v>
      </c>
      <c r="E6" s="15" t="s">
        <v>64</v>
      </c>
      <c r="F6" s="15" t="s">
        <v>65</v>
      </c>
      <c r="G6" s="15" t="s">
        <v>66</v>
      </c>
    </row>
    <row r="7" spans="2:7" ht="30" customHeight="1" x14ac:dyDescent="0.25">
      <c r="B7" s="21" t="s">
        <v>67</v>
      </c>
      <c r="C7" s="27">
        <v>0.25</v>
      </c>
      <c r="D7" s="28" t="s">
        <v>68</v>
      </c>
      <c r="E7" s="21" t="s">
        <v>69</v>
      </c>
      <c r="F7" s="21" t="s">
        <v>70</v>
      </c>
      <c r="G7" s="21" t="s">
        <v>71</v>
      </c>
    </row>
    <row r="8" spans="2:7" ht="30" customHeight="1" x14ac:dyDescent="0.25">
      <c r="B8" s="21" t="s">
        <v>72</v>
      </c>
      <c r="C8" s="27">
        <v>0.25</v>
      </c>
      <c r="D8" s="28" t="s">
        <v>73</v>
      </c>
      <c r="E8" s="21" t="s">
        <v>69</v>
      </c>
      <c r="F8" s="21" t="s">
        <v>74</v>
      </c>
      <c r="G8" s="21" t="s">
        <v>71</v>
      </c>
    </row>
    <row r="9" spans="2:7" ht="30" customHeight="1" x14ac:dyDescent="0.25">
      <c r="B9" s="21" t="s">
        <v>75</v>
      </c>
      <c r="C9" s="27">
        <v>0.15</v>
      </c>
      <c r="D9" s="28" t="s">
        <v>76</v>
      </c>
      <c r="E9" s="21" t="s">
        <v>77</v>
      </c>
      <c r="F9" s="21" t="s">
        <v>78</v>
      </c>
      <c r="G9" s="21" t="s">
        <v>79</v>
      </c>
    </row>
    <row r="10" spans="2:7" ht="30" customHeight="1" x14ac:dyDescent="0.25">
      <c r="B10" s="21" t="s">
        <v>80</v>
      </c>
      <c r="C10" s="27">
        <v>0.1</v>
      </c>
      <c r="D10" s="28" t="s">
        <v>81</v>
      </c>
      <c r="E10" s="21" t="s">
        <v>69</v>
      </c>
      <c r="F10" s="21" t="s">
        <v>82</v>
      </c>
      <c r="G10" s="21" t="s">
        <v>71</v>
      </c>
    </row>
    <row r="11" spans="2:7" ht="30" customHeight="1" x14ac:dyDescent="0.25">
      <c r="B11" s="18" t="s">
        <v>83</v>
      </c>
      <c r="C11" s="27">
        <v>0.1</v>
      </c>
      <c r="D11" s="28" t="s">
        <v>84</v>
      </c>
      <c r="E11" s="21" t="s">
        <v>85</v>
      </c>
      <c r="F11" s="21" t="s">
        <v>86</v>
      </c>
      <c r="G11" s="21" t="s">
        <v>87</v>
      </c>
    </row>
    <row r="12" spans="2:7" ht="30" customHeight="1" x14ac:dyDescent="0.25">
      <c r="B12" s="21" t="s">
        <v>88</v>
      </c>
      <c r="C12" s="27">
        <v>0.1</v>
      </c>
      <c r="D12" s="29" t="s">
        <v>89</v>
      </c>
      <c r="E12" s="21" t="s">
        <v>69</v>
      </c>
      <c r="F12" s="21" t="s">
        <v>90</v>
      </c>
      <c r="G12" s="18" t="s">
        <v>91</v>
      </c>
    </row>
    <row r="13" spans="2:7" ht="30" customHeight="1" x14ac:dyDescent="0.25">
      <c r="B13" s="21" t="s">
        <v>92</v>
      </c>
      <c r="C13" s="27">
        <v>0.05</v>
      </c>
      <c r="D13" s="28" t="s">
        <v>93</v>
      </c>
      <c r="E13" s="21" t="s">
        <v>85</v>
      </c>
      <c r="F13" s="21" t="s">
        <v>86</v>
      </c>
      <c r="G13" s="21" t="s">
        <v>94</v>
      </c>
    </row>
    <row r="14" spans="2:7" x14ac:dyDescent="0.25">
      <c r="B14" s="30" t="s">
        <v>95</v>
      </c>
      <c r="C14" s="31">
        <f>SUM(C7:C13)</f>
        <v>1</v>
      </c>
      <c r="D14" s="30"/>
      <c r="E14" s="30"/>
      <c r="F14" s="30"/>
      <c r="G14" s="30"/>
    </row>
    <row r="16" spans="2:7" ht="25.5" customHeight="1" x14ac:dyDescent="0.25">
      <c r="B16" s="78" t="s">
        <v>96</v>
      </c>
      <c r="C16" s="78"/>
      <c r="D16" s="78"/>
      <c r="E16" s="78"/>
      <c r="F16" s="78"/>
      <c r="G16" s="78"/>
    </row>
    <row r="17" spans="2:7" ht="15" customHeight="1" x14ac:dyDescent="0.25">
      <c r="B17" s="15" t="s">
        <v>97</v>
      </c>
      <c r="C17" s="4" t="s">
        <v>98</v>
      </c>
      <c r="D17" s="4"/>
      <c r="E17" s="4"/>
      <c r="F17" s="4"/>
      <c r="G17" s="4"/>
    </row>
    <row r="18" spans="2:7" ht="24" customHeight="1" x14ac:dyDescent="0.25">
      <c r="B18" s="26" t="s">
        <v>99</v>
      </c>
      <c r="C18" s="5" t="s">
        <v>100</v>
      </c>
      <c r="D18" s="5"/>
      <c r="E18" s="5"/>
      <c r="F18" s="5"/>
      <c r="G18" s="5"/>
    </row>
    <row r="19" spans="2:7" ht="24" customHeight="1" x14ac:dyDescent="0.25">
      <c r="B19" s="26" t="s">
        <v>101</v>
      </c>
      <c r="C19" s="5" t="s">
        <v>102</v>
      </c>
      <c r="D19" s="5"/>
      <c r="E19" s="5"/>
      <c r="F19" s="5"/>
      <c r="G19" s="5"/>
    </row>
    <row r="20" spans="2:7" ht="24" customHeight="1" x14ac:dyDescent="0.25">
      <c r="B20" s="26" t="s">
        <v>103</v>
      </c>
      <c r="C20" s="5" t="s">
        <v>104</v>
      </c>
      <c r="D20" s="5"/>
      <c r="E20" s="5"/>
      <c r="F20" s="5"/>
      <c r="G20" s="5"/>
    </row>
    <row r="21" spans="2:7" ht="24" customHeight="1" x14ac:dyDescent="0.25">
      <c r="B21" s="26" t="s">
        <v>105</v>
      </c>
      <c r="C21" s="1" t="s">
        <v>106</v>
      </c>
      <c r="D21" s="1"/>
      <c r="E21" s="1"/>
      <c r="F21" s="1"/>
      <c r="G21" s="1"/>
    </row>
    <row r="23" spans="2:7" ht="25.5" customHeight="1" x14ac:dyDescent="0.25">
      <c r="B23" s="79" t="s">
        <v>107</v>
      </c>
      <c r="C23" s="79"/>
      <c r="D23" s="79"/>
      <c r="E23" s="79"/>
      <c r="F23" s="79"/>
      <c r="G23" s="79"/>
    </row>
    <row r="24" spans="2:7" ht="21.75" customHeight="1" x14ac:dyDescent="0.25">
      <c r="B24" s="5" t="s">
        <v>108</v>
      </c>
      <c r="C24" s="5"/>
      <c r="D24" s="5"/>
      <c r="E24" s="5"/>
      <c r="F24" s="5"/>
      <c r="G24" s="5"/>
    </row>
    <row r="25" spans="2:7" ht="21.75" customHeight="1" x14ac:dyDescent="0.25">
      <c r="B25" s="5" t="s">
        <v>109</v>
      </c>
      <c r="C25" s="5"/>
      <c r="D25" s="5"/>
      <c r="E25" s="5"/>
      <c r="F25" s="5"/>
      <c r="G25" s="5"/>
    </row>
    <row r="26" spans="2:7" ht="21.75" customHeight="1" x14ac:dyDescent="0.25">
      <c r="B26" s="5" t="s">
        <v>110</v>
      </c>
      <c r="C26" s="5"/>
      <c r="D26" s="5"/>
      <c r="E26" s="5"/>
      <c r="F26" s="5"/>
      <c r="G26" s="5"/>
    </row>
    <row r="27" spans="2:7" ht="21.75" customHeight="1" x14ac:dyDescent="0.25">
      <c r="B27" s="5" t="s">
        <v>111</v>
      </c>
      <c r="C27" s="5"/>
      <c r="D27" s="5"/>
      <c r="E27" s="5"/>
      <c r="F27" s="5"/>
      <c r="G27" s="5"/>
    </row>
    <row r="28" spans="2:7" ht="21.75" customHeight="1" x14ac:dyDescent="0.25">
      <c r="B28" s="5" t="s">
        <v>112</v>
      </c>
      <c r="C28" s="5"/>
      <c r="D28" s="5"/>
      <c r="E28" s="5"/>
      <c r="F28" s="5"/>
      <c r="G28" s="5"/>
    </row>
  </sheetData>
  <mergeCells count="15">
    <mergeCell ref="B24:G24"/>
    <mergeCell ref="B25:G25"/>
    <mergeCell ref="B26:G26"/>
    <mergeCell ref="B27:G27"/>
    <mergeCell ref="B28:G28"/>
    <mergeCell ref="C18:G18"/>
    <mergeCell ref="C19:G19"/>
    <mergeCell ref="C20:G20"/>
    <mergeCell ref="C21:G21"/>
    <mergeCell ref="B23:G23"/>
    <mergeCell ref="B2:G2"/>
    <mergeCell ref="B3:G3"/>
    <mergeCell ref="B5:G5"/>
    <mergeCell ref="B16:G16"/>
    <mergeCell ref="C17:G17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6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2" customWidth="1"/>
    <col min="3" max="6" width="16" customWidth="1"/>
    <col min="7" max="7" width="14" customWidth="1"/>
    <col min="8" max="8" width="18" customWidth="1"/>
  </cols>
  <sheetData>
    <row r="2" spans="2:8" ht="31.5" customHeight="1" x14ac:dyDescent="0.25">
      <c r="B2" s="14" t="s">
        <v>113</v>
      </c>
      <c r="C2" s="14"/>
      <c r="D2" s="14"/>
      <c r="E2" s="14"/>
      <c r="F2" s="14"/>
      <c r="G2" s="14"/>
      <c r="H2" s="14"/>
    </row>
    <row r="3" spans="2:8" ht="17.25" x14ac:dyDescent="0.25">
      <c r="B3" s="77" t="s">
        <v>114</v>
      </c>
      <c r="C3" s="77"/>
      <c r="D3" s="77"/>
      <c r="E3" s="77"/>
      <c r="F3" s="77"/>
      <c r="G3" s="77"/>
      <c r="H3" s="77"/>
    </row>
    <row r="5" spans="2:8" ht="31.5" customHeight="1" x14ac:dyDescent="0.25">
      <c r="B5" s="15" t="s">
        <v>61</v>
      </c>
      <c r="C5" s="16" t="s">
        <v>36</v>
      </c>
      <c r="D5" s="16" t="s">
        <v>37</v>
      </c>
      <c r="E5" s="16" t="s">
        <v>38</v>
      </c>
      <c r="F5" s="16" t="s">
        <v>39</v>
      </c>
      <c r="G5" s="15" t="s">
        <v>115</v>
      </c>
      <c r="H5" s="15" t="s">
        <v>116</v>
      </c>
    </row>
    <row r="6" spans="2:8" ht="25.5" customHeight="1" x14ac:dyDescent="0.25">
      <c r="B6" s="17" t="s">
        <v>117</v>
      </c>
      <c r="C6" s="32">
        <v>65</v>
      </c>
      <c r="D6" s="32">
        <v>72</v>
      </c>
      <c r="E6" s="32">
        <v>80</v>
      </c>
      <c r="F6" s="32">
        <v>100</v>
      </c>
      <c r="G6" s="33">
        <v>0.25</v>
      </c>
      <c r="H6" s="29" t="s">
        <v>118</v>
      </c>
    </row>
    <row r="7" spans="2:8" ht="25.5" customHeight="1" x14ac:dyDescent="0.25">
      <c r="B7" s="17" t="s">
        <v>119</v>
      </c>
      <c r="C7" s="32">
        <v>92</v>
      </c>
      <c r="D7" s="32">
        <v>95</v>
      </c>
      <c r="E7" s="32">
        <v>90</v>
      </c>
      <c r="F7" s="32">
        <v>60</v>
      </c>
      <c r="G7" s="33">
        <v>0.25</v>
      </c>
      <c r="H7" s="29" t="s">
        <v>120</v>
      </c>
    </row>
    <row r="8" spans="2:8" ht="25.5" customHeight="1" x14ac:dyDescent="0.25">
      <c r="B8" s="17" t="s">
        <v>121</v>
      </c>
      <c r="C8" s="32">
        <v>90</v>
      </c>
      <c r="D8" s="32">
        <v>95</v>
      </c>
      <c r="E8" s="32">
        <v>92</v>
      </c>
      <c r="F8" s="32">
        <v>65</v>
      </c>
      <c r="G8" s="33">
        <v>0.15</v>
      </c>
      <c r="H8" s="29" t="s">
        <v>122</v>
      </c>
    </row>
    <row r="9" spans="2:8" ht="25.5" customHeight="1" x14ac:dyDescent="0.25">
      <c r="B9" s="17" t="s">
        <v>29</v>
      </c>
      <c r="C9" s="32">
        <v>65</v>
      </c>
      <c r="D9" s="32">
        <v>65</v>
      </c>
      <c r="E9" s="32">
        <v>85</v>
      </c>
      <c r="F9" s="32">
        <v>100</v>
      </c>
      <c r="G9" s="33">
        <v>0.1</v>
      </c>
      <c r="H9" s="29" t="s">
        <v>123</v>
      </c>
    </row>
    <row r="10" spans="2:8" ht="25.5" customHeight="1" x14ac:dyDescent="0.25">
      <c r="B10" s="19" t="s">
        <v>124</v>
      </c>
      <c r="C10" s="32">
        <v>70</v>
      </c>
      <c r="D10" s="32">
        <v>70</v>
      </c>
      <c r="E10" s="32">
        <v>95</v>
      </c>
      <c r="F10" s="32">
        <v>85</v>
      </c>
      <c r="G10" s="33">
        <v>0.1</v>
      </c>
      <c r="H10" s="29" t="s">
        <v>125</v>
      </c>
    </row>
    <row r="11" spans="2:8" ht="25.5" customHeight="1" x14ac:dyDescent="0.25">
      <c r="B11" s="17" t="s">
        <v>126</v>
      </c>
      <c r="C11" s="32">
        <v>75</v>
      </c>
      <c r="D11" s="32">
        <v>78</v>
      </c>
      <c r="E11" s="32">
        <v>80</v>
      </c>
      <c r="F11" s="32">
        <v>90</v>
      </c>
      <c r="G11" s="33">
        <v>0.1</v>
      </c>
      <c r="H11" s="29" t="s">
        <v>127</v>
      </c>
    </row>
    <row r="12" spans="2:8" ht="25.5" customHeight="1" x14ac:dyDescent="0.25">
      <c r="B12" s="17" t="s">
        <v>128</v>
      </c>
      <c r="C12" s="32">
        <v>95</v>
      </c>
      <c r="D12" s="32">
        <v>95</v>
      </c>
      <c r="E12" s="32">
        <v>90</v>
      </c>
      <c r="F12" s="32">
        <v>70</v>
      </c>
      <c r="G12" s="33">
        <v>0.05</v>
      </c>
      <c r="H12" s="28" t="s">
        <v>129</v>
      </c>
    </row>
    <row r="14" spans="2:8" ht="27" x14ac:dyDescent="0.25">
      <c r="B14" s="26" t="s">
        <v>130</v>
      </c>
      <c r="G14" s="34">
        <f>SUM(G6:G12)</f>
        <v>1</v>
      </c>
    </row>
    <row r="16" spans="2:8" ht="15" customHeight="1" x14ac:dyDescent="0.25">
      <c r="B16" s="4" t="s">
        <v>131</v>
      </c>
      <c r="C16" s="4"/>
      <c r="D16" s="4"/>
      <c r="E16" s="4"/>
      <c r="F16" s="4"/>
      <c r="G16" s="4"/>
      <c r="H16" s="4"/>
    </row>
    <row r="17" spans="2:6" x14ac:dyDescent="0.25">
      <c r="B17" s="28" t="s">
        <v>132</v>
      </c>
      <c r="C17" s="35">
        <f>C6*$G$6</f>
        <v>16.25</v>
      </c>
      <c r="D17" s="35">
        <f>D6*$G$6</f>
        <v>18</v>
      </c>
      <c r="E17" s="35">
        <f>E6*$G$6</f>
        <v>20</v>
      </c>
      <c r="F17" s="35">
        <f>F6*$G$6</f>
        <v>25</v>
      </c>
    </row>
    <row r="18" spans="2:6" ht="27" x14ac:dyDescent="0.25">
      <c r="B18" s="28" t="s">
        <v>133</v>
      </c>
      <c r="C18" s="35">
        <f>C7*$G$7</f>
        <v>23</v>
      </c>
      <c r="D18" s="35">
        <f>D7*$G$7</f>
        <v>23.75</v>
      </c>
      <c r="E18" s="35">
        <f>E7*$G$7</f>
        <v>22.5</v>
      </c>
      <c r="F18" s="35">
        <f>F7*$G$7</f>
        <v>15</v>
      </c>
    </row>
    <row r="19" spans="2:6" ht="27" x14ac:dyDescent="0.25">
      <c r="B19" s="28" t="s">
        <v>134</v>
      </c>
      <c r="C19" s="35">
        <f>C8*$G$8</f>
        <v>13.5</v>
      </c>
      <c r="D19" s="35">
        <f>D8*$G$8</f>
        <v>14.25</v>
      </c>
      <c r="E19" s="35">
        <f>E8*$G$8</f>
        <v>13.799999999999999</v>
      </c>
      <c r="F19" s="35">
        <f>F8*$G$8</f>
        <v>9.75</v>
      </c>
    </row>
    <row r="20" spans="2:6" x14ac:dyDescent="0.25">
      <c r="B20" s="28" t="s">
        <v>135</v>
      </c>
      <c r="C20" s="35">
        <f>C9*$G$9</f>
        <v>6.5</v>
      </c>
      <c r="D20" s="35">
        <f>D9*$G$9</f>
        <v>6.5</v>
      </c>
      <c r="E20" s="35">
        <f>E9*$G$9</f>
        <v>8.5</v>
      </c>
      <c r="F20" s="35">
        <f>F9*$G$9</f>
        <v>10</v>
      </c>
    </row>
    <row r="21" spans="2:6" x14ac:dyDescent="0.25">
      <c r="B21" s="29" t="s">
        <v>83</v>
      </c>
      <c r="C21" s="35">
        <f>C10*$G$10</f>
        <v>7</v>
      </c>
      <c r="D21" s="35">
        <f>D10*$G$10</f>
        <v>7</v>
      </c>
      <c r="E21" s="35">
        <f>E10*$G$10</f>
        <v>9.5</v>
      </c>
      <c r="F21" s="35">
        <f>F10*$G$10</f>
        <v>8.5</v>
      </c>
    </row>
    <row r="22" spans="2:6" x14ac:dyDescent="0.25">
      <c r="B22" s="28" t="s">
        <v>136</v>
      </c>
      <c r="C22" s="35">
        <f>C11*$G$11</f>
        <v>7.5</v>
      </c>
      <c r="D22" s="35">
        <f>D11*$G$11</f>
        <v>7.8000000000000007</v>
      </c>
      <c r="E22" s="35">
        <f>E11*$G$11</f>
        <v>8</v>
      </c>
      <c r="F22" s="35">
        <f>F11*$G$11</f>
        <v>9</v>
      </c>
    </row>
    <row r="23" spans="2:6" x14ac:dyDescent="0.25">
      <c r="B23" s="28" t="s">
        <v>92</v>
      </c>
      <c r="C23" s="35">
        <f>C12*$G$12</f>
        <v>4.75</v>
      </c>
      <c r="D23" s="35">
        <f>D12*$G$12</f>
        <v>4.75</v>
      </c>
      <c r="E23" s="35">
        <f>E12*$G$12</f>
        <v>4.5</v>
      </c>
      <c r="F23" s="35">
        <f>F12*$G$12</f>
        <v>3.5</v>
      </c>
    </row>
    <row r="25" spans="2:6" ht="31.5" customHeight="1" x14ac:dyDescent="0.25">
      <c r="B25" s="36" t="s">
        <v>137</v>
      </c>
      <c r="C25" s="37">
        <f>SUM(C17:C23)</f>
        <v>78.5</v>
      </c>
      <c r="D25" s="37">
        <f>SUM(D17:D23)</f>
        <v>82.05</v>
      </c>
      <c r="E25" s="37">
        <f>SUM(E17:E23)</f>
        <v>86.8</v>
      </c>
      <c r="F25" s="37">
        <f>SUM(F17:F23)</f>
        <v>80.75</v>
      </c>
    </row>
    <row r="26" spans="2:6" ht="17.25" x14ac:dyDescent="0.25">
      <c r="B26" s="38" t="s">
        <v>43</v>
      </c>
      <c r="C26" s="39">
        <f>RANK(C25,$C$25:$F$25)</f>
        <v>4</v>
      </c>
      <c r="D26" s="39">
        <f>RANK(D25,$C$25:$F$25)</f>
        <v>2</v>
      </c>
      <c r="E26" s="39">
        <f>RANK(E25,$C$25:$F$25)</f>
        <v>1</v>
      </c>
      <c r="F26" s="39">
        <f>RANK(F25,$C$25:$F$25)</f>
        <v>3</v>
      </c>
    </row>
  </sheetData>
  <mergeCells count="3">
    <mergeCell ref="B2:H2"/>
    <mergeCell ref="B3:H3"/>
    <mergeCell ref="B16:H16"/>
  </mergeCells>
  <phoneticPr fontId="43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59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2" customWidth="1"/>
    <col min="3" max="6" width="18" customWidth="1"/>
    <col min="7" max="7" width="16" customWidth="1"/>
  </cols>
  <sheetData>
    <row r="2" spans="2:7" ht="31.5" customHeight="1" x14ac:dyDescent="0.25">
      <c r="B2" s="14" t="s">
        <v>138</v>
      </c>
      <c r="C2" s="14"/>
      <c r="D2" s="14"/>
      <c r="E2" s="14"/>
      <c r="F2" s="14"/>
      <c r="G2" s="14"/>
    </row>
    <row r="3" spans="2:7" ht="17.25" x14ac:dyDescent="0.25">
      <c r="B3" s="13" t="s">
        <v>139</v>
      </c>
      <c r="C3" s="13"/>
      <c r="D3" s="13"/>
      <c r="E3" s="13"/>
      <c r="F3" s="13"/>
      <c r="G3" s="13"/>
    </row>
    <row r="5" spans="2:7" ht="36" customHeight="1" x14ac:dyDescent="0.25">
      <c r="B5" s="15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5" t="s">
        <v>12</v>
      </c>
    </row>
    <row r="6" spans="2:7" ht="21.75" customHeight="1" x14ac:dyDescent="0.25">
      <c r="B6" s="80" t="s">
        <v>140</v>
      </c>
      <c r="C6" s="80"/>
      <c r="D6" s="80"/>
      <c r="E6" s="80"/>
      <c r="F6" s="80"/>
      <c r="G6" s="80"/>
    </row>
    <row r="7" spans="2:7" ht="21.75" customHeight="1" x14ac:dyDescent="0.25">
      <c r="B7" s="26" t="s">
        <v>141</v>
      </c>
      <c r="C7" s="21" t="s">
        <v>142</v>
      </c>
      <c r="D7" s="21" t="s">
        <v>142</v>
      </c>
      <c r="E7" s="21" t="s">
        <v>143</v>
      </c>
      <c r="F7" s="21" t="s">
        <v>144</v>
      </c>
      <c r="G7" s="40"/>
    </row>
    <row r="8" spans="2:7" ht="21.75" customHeight="1" x14ac:dyDescent="0.25">
      <c r="B8" s="26" t="s">
        <v>145</v>
      </c>
      <c r="C8" s="18" t="s">
        <v>146</v>
      </c>
      <c r="D8" s="18" t="s">
        <v>146</v>
      </c>
      <c r="E8" s="21" t="s">
        <v>147</v>
      </c>
      <c r="F8" s="21" t="s">
        <v>148</v>
      </c>
      <c r="G8" s="41" t="s">
        <v>149</v>
      </c>
    </row>
    <row r="9" spans="2:7" ht="21.75" customHeight="1" x14ac:dyDescent="0.25">
      <c r="B9" s="26" t="s">
        <v>150</v>
      </c>
      <c r="C9" s="18" t="s">
        <v>36</v>
      </c>
      <c r="D9" s="18" t="s">
        <v>37</v>
      </c>
      <c r="E9" s="18" t="s">
        <v>151</v>
      </c>
      <c r="F9" s="18" t="s">
        <v>39</v>
      </c>
      <c r="G9" s="40"/>
    </row>
    <row r="10" spans="2:7" ht="21.75" customHeight="1" x14ac:dyDescent="0.25">
      <c r="B10" s="26" t="s">
        <v>152</v>
      </c>
      <c r="C10" s="18" t="s">
        <v>153</v>
      </c>
      <c r="D10" s="18" t="s">
        <v>154</v>
      </c>
      <c r="E10" s="18" t="s">
        <v>155</v>
      </c>
      <c r="F10" s="18" t="s">
        <v>156</v>
      </c>
      <c r="G10" s="40"/>
    </row>
    <row r="11" spans="2:7" ht="21.75" customHeight="1" x14ac:dyDescent="0.25">
      <c r="B11" s="26" t="s">
        <v>157</v>
      </c>
      <c r="C11" s="18" t="s">
        <v>158</v>
      </c>
      <c r="D11" s="18" t="s">
        <v>158</v>
      </c>
      <c r="E11" s="18" t="s">
        <v>159</v>
      </c>
      <c r="F11" s="18" t="s">
        <v>160</v>
      </c>
      <c r="G11" s="40"/>
    </row>
    <row r="12" spans="2:7" ht="21.75" customHeight="1" x14ac:dyDescent="0.25">
      <c r="B12" s="26" t="s">
        <v>161</v>
      </c>
      <c r="C12" s="18" t="s">
        <v>162</v>
      </c>
      <c r="D12" s="18" t="s">
        <v>162</v>
      </c>
      <c r="E12" s="18" t="s">
        <v>163</v>
      </c>
      <c r="F12" s="18" t="s">
        <v>164</v>
      </c>
      <c r="G12" s="40"/>
    </row>
    <row r="13" spans="2:7" ht="21.75" customHeight="1" x14ac:dyDescent="0.25">
      <c r="B13" s="80" t="s">
        <v>165</v>
      </c>
      <c r="C13" s="80"/>
      <c r="D13" s="80"/>
      <c r="E13" s="80"/>
      <c r="F13" s="80"/>
      <c r="G13" s="80"/>
    </row>
    <row r="14" spans="2:7" ht="21.75" customHeight="1" x14ac:dyDescent="0.25">
      <c r="B14" s="42" t="s">
        <v>166</v>
      </c>
      <c r="C14" s="18">
        <v>500</v>
      </c>
      <c r="D14" s="18">
        <v>410</v>
      </c>
      <c r="E14" s="21" t="s">
        <v>167</v>
      </c>
      <c r="F14" s="18">
        <v>560</v>
      </c>
      <c r="G14" s="41" t="s">
        <v>168</v>
      </c>
    </row>
    <row r="15" spans="2:7" ht="21.75" customHeight="1" x14ac:dyDescent="0.25">
      <c r="B15" s="42" t="s">
        <v>169</v>
      </c>
      <c r="C15" s="18">
        <v>455</v>
      </c>
      <c r="D15" s="18">
        <v>294</v>
      </c>
      <c r="E15" s="21" t="s">
        <v>167</v>
      </c>
      <c r="F15" s="18">
        <v>420</v>
      </c>
      <c r="G15" s="40"/>
    </row>
    <row r="16" spans="2:7" ht="21.75" customHeight="1" x14ac:dyDescent="0.25">
      <c r="B16" s="42" t="s">
        <v>170</v>
      </c>
      <c r="C16" s="18">
        <v>240</v>
      </c>
      <c r="D16" s="18">
        <v>210</v>
      </c>
      <c r="E16" s="21" t="s">
        <v>167</v>
      </c>
      <c r="F16" s="18">
        <v>480</v>
      </c>
      <c r="G16" s="40"/>
    </row>
    <row r="17" spans="2:7" ht="21.75" customHeight="1" x14ac:dyDescent="0.25">
      <c r="B17" s="26" t="s">
        <v>171</v>
      </c>
      <c r="C17" s="18" t="s">
        <v>172</v>
      </c>
      <c r="D17" s="18" t="s">
        <v>173</v>
      </c>
      <c r="E17" s="21" t="s">
        <v>167</v>
      </c>
      <c r="F17" s="18" t="s">
        <v>174</v>
      </c>
      <c r="G17" s="40"/>
    </row>
    <row r="18" spans="2:7" ht="21.75" customHeight="1" x14ac:dyDescent="0.25">
      <c r="B18" s="26" t="s">
        <v>175</v>
      </c>
      <c r="C18" s="18">
        <v>400</v>
      </c>
      <c r="D18" s="18">
        <v>100</v>
      </c>
      <c r="E18" s="21" t="s">
        <v>167</v>
      </c>
      <c r="F18" s="21" t="s">
        <v>167</v>
      </c>
      <c r="G18" s="40"/>
    </row>
    <row r="19" spans="2:7" ht="21.75" customHeight="1" x14ac:dyDescent="0.25">
      <c r="B19" s="80" t="s">
        <v>176</v>
      </c>
      <c r="C19" s="80"/>
      <c r="D19" s="80"/>
      <c r="E19" s="80"/>
      <c r="F19" s="80"/>
      <c r="G19" s="80"/>
    </row>
    <row r="20" spans="2:7" ht="21.75" customHeight="1" x14ac:dyDescent="0.25">
      <c r="B20" s="26" t="s">
        <v>177</v>
      </c>
      <c r="C20" s="18">
        <v>42000</v>
      </c>
      <c r="D20" s="18">
        <v>50000</v>
      </c>
      <c r="E20" s="18">
        <v>30000</v>
      </c>
      <c r="F20" s="18">
        <v>24000</v>
      </c>
      <c r="G20" s="41" t="s">
        <v>178</v>
      </c>
    </row>
    <row r="21" spans="2:7" ht="21.75" customHeight="1" x14ac:dyDescent="0.25">
      <c r="B21" s="26" t="s">
        <v>179</v>
      </c>
      <c r="C21" s="18" t="s">
        <v>180</v>
      </c>
      <c r="D21" s="18" t="s">
        <v>181</v>
      </c>
      <c r="E21" s="18" t="s">
        <v>182</v>
      </c>
      <c r="F21" s="18" t="s">
        <v>183</v>
      </c>
      <c r="G21" s="40"/>
    </row>
    <row r="22" spans="2:7" ht="21.75" customHeight="1" x14ac:dyDescent="0.25">
      <c r="B22" s="26" t="s">
        <v>184</v>
      </c>
      <c r="C22" s="18" t="s">
        <v>185</v>
      </c>
      <c r="D22" s="18" t="s">
        <v>186</v>
      </c>
      <c r="E22" s="18" t="s">
        <v>187</v>
      </c>
      <c r="F22" s="18" t="s">
        <v>188</v>
      </c>
      <c r="G22" s="41" t="s">
        <v>189</v>
      </c>
    </row>
    <row r="23" spans="2:7" ht="21.75" customHeight="1" x14ac:dyDescent="0.25">
      <c r="B23" s="26" t="s">
        <v>190</v>
      </c>
      <c r="C23" s="18">
        <v>15</v>
      </c>
      <c r="D23" s="18">
        <v>6</v>
      </c>
      <c r="E23" s="21" t="s">
        <v>167</v>
      </c>
      <c r="F23" s="21" t="s">
        <v>167</v>
      </c>
      <c r="G23" s="40"/>
    </row>
    <row r="24" spans="2:7" ht="21.75" customHeight="1" x14ac:dyDescent="0.25">
      <c r="B24" s="26" t="s">
        <v>191</v>
      </c>
      <c r="C24" s="21" t="s">
        <v>167</v>
      </c>
      <c r="D24" s="18">
        <v>2.4</v>
      </c>
      <c r="E24" s="21" t="s">
        <v>167</v>
      </c>
      <c r="F24" s="21" t="s">
        <v>167</v>
      </c>
      <c r="G24" s="40"/>
    </row>
    <row r="25" spans="2:7" ht="21.75" customHeight="1" x14ac:dyDescent="0.25">
      <c r="B25" s="26" t="s">
        <v>192</v>
      </c>
      <c r="C25" s="18">
        <v>16</v>
      </c>
      <c r="D25" s="18">
        <v>10</v>
      </c>
      <c r="E25" s="21" t="s">
        <v>167</v>
      </c>
      <c r="F25" s="21" t="s">
        <v>167</v>
      </c>
      <c r="G25" s="40"/>
    </row>
    <row r="26" spans="2:7" ht="21.75" customHeight="1" x14ac:dyDescent="0.25">
      <c r="B26" s="80" t="s">
        <v>193</v>
      </c>
      <c r="C26" s="80"/>
      <c r="D26" s="80"/>
      <c r="E26" s="80"/>
      <c r="F26" s="80"/>
      <c r="G26" s="80"/>
    </row>
    <row r="27" spans="2:7" ht="21.75" customHeight="1" x14ac:dyDescent="0.25">
      <c r="B27" s="26" t="s">
        <v>194</v>
      </c>
      <c r="C27" s="21" t="s">
        <v>195</v>
      </c>
      <c r="D27" s="21" t="s">
        <v>195</v>
      </c>
      <c r="E27" s="18" t="s">
        <v>196</v>
      </c>
      <c r="F27" s="21" t="s">
        <v>167</v>
      </c>
      <c r="G27" s="40"/>
    </row>
    <row r="28" spans="2:7" ht="21.75" customHeight="1" x14ac:dyDescent="0.25">
      <c r="B28" s="26" t="s">
        <v>197</v>
      </c>
      <c r="C28" s="21" t="s">
        <v>198</v>
      </c>
      <c r="D28" s="21" t="s">
        <v>198</v>
      </c>
      <c r="E28" s="21" t="s">
        <v>167</v>
      </c>
      <c r="F28" s="18" t="s">
        <v>199</v>
      </c>
      <c r="G28" s="40"/>
    </row>
    <row r="29" spans="2:7" ht="21.75" customHeight="1" x14ac:dyDescent="0.25">
      <c r="B29" s="26" t="s">
        <v>200</v>
      </c>
      <c r="C29" s="21" t="s">
        <v>201</v>
      </c>
      <c r="D29" s="21" t="s">
        <v>201</v>
      </c>
      <c r="E29" s="21" t="s">
        <v>202</v>
      </c>
      <c r="F29" s="21" t="s">
        <v>202</v>
      </c>
      <c r="G29" s="40"/>
    </row>
    <row r="30" spans="2:7" ht="21.75" customHeight="1" x14ac:dyDescent="0.25">
      <c r="B30" s="80" t="s">
        <v>203</v>
      </c>
      <c r="C30" s="80"/>
      <c r="D30" s="80"/>
      <c r="E30" s="80"/>
      <c r="F30" s="80"/>
      <c r="G30" s="80"/>
    </row>
    <row r="31" spans="2:7" ht="21.75" customHeight="1" x14ac:dyDescent="0.25">
      <c r="B31" s="26" t="s">
        <v>204</v>
      </c>
      <c r="C31" s="18">
        <v>42000</v>
      </c>
      <c r="D31" s="18">
        <v>42000</v>
      </c>
      <c r="E31" s="21" t="s">
        <v>167</v>
      </c>
      <c r="F31" s="18">
        <v>60000</v>
      </c>
      <c r="G31" s="40"/>
    </row>
    <row r="32" spans="2:7" ht="21.75" customHeight="1" x14ac:dyDescent="0.25">
      <c r="B32" s="26" t="s">
        <v>205</v>
      </c>
      <c r="C32" s="21" t="s">
        <v>206</v>
      </c>
      <c r="D32" s="21" t="s">
        <v>206</v>
      </c>
      <c r="E32" s="21" t="s">
        <v>167</v>
      </c>
      <c r="F32" s="18" t="s">
        <v>207</v>
      </c>
      <c r="G32" s="40"/>
    </row>
    <row r="33" spans="2:7" ht="21.75" customHeight="1" x14ac:dyDescent="0.25">
      <c r="B33" s="26" t="s">
        <v>208</v>
      </c>
      <c r="C33" s="21" t="s">
        <v>209</v>
      </c>
      <c r="D33" s="21" t="s">
        <v>209</v>
      </c>
      <c r="E33" s="21" t="s">
        <v>210</v>
      </c>
      <c r="F33" s="21" t="s">
        <v>211</v>
      </c>
      <c r="G33" s="40"/>
    </row>
    <row r="34" spans="2:7" ht="21.75" customHeight="1" x14ac:dyDescent="0.25">
      <c r="B34" s="80" t="s">
        <v>212</v>
      </c>
      <c r="C34" s="80"/>
      <c r="D34" s="80"/>
      <c r="E34" s="80"/>
      <c r="F34" s="80"/>
      <c r="G34" s="80"/>
    </row>
    <row r="35" spans="2:7" ht="21.75" customHeight="1" x14ac:dyDescent="0.25">
      <c r="B35" s="26" t="s">
        <v>213</v>
      </c>
      <c r="C35" s="18" t="s">
        <v>214</v>
      </c>
      <c r="D35" s="18" t="s">
        <v>215</v>
      </c>
      <c r="E35" s="18" t="s">
        <v>216</v>
      </c>
      <c r="F35" s="18" t="s">
        <v>217</v>
      </c>
      <c r="G35" s="40"/>
    </row>
    <row r="36" spans="2:7" ht="21.75" customHeight="1" x14ac:dyDescent="0.25">
      <c r="B36" s="26" t="s">
        <v>218</v>
      </c>
      <c r="C36" s="21" t="s">
        <v>167</v>
      </c>
      <c r="D36" s="21" t="s">
        <v>167</v>
      </c>
      <c r="E36" s="21" t="s">
        <v>167</v>
      </c>
      <c r="F36" s="18">
        <v>1.2</v>
      </c>
      <c r="G36" s="40"/>
    </row>
    <row r="37" spans="2:7" ht="21.75" customHeight="1" x14ac:dyDescent="0.25">
      <c r="B37" s="26" t="s">
        <v>219</v>
      </c>
      <c r="C37" s="21" t="s">
        <v>167</v>
      </c>
      <c r="D37" s="21" t="s">
        <v>167</v>
      </c>
      <c r="E37" s="21" t="s">
        <v>167</v>
      </c>
      <c r="F37" s="18">
        <v>1.8</v>
      </c>
      <c r="G37" s="40"/>
    </row>
    <row r="38" spans="2:7" ht="21.75" customHeight="1" x14ac:dyDescent="0.25">
      <c r="B38" s="80" t="s">
        <v>220</v>
      </c>
      <c r="C38" s="80"/>
      <c r="D38" s="80"/>
      <c r="E38" s="80"/>
      <c r="F38" s="80"/>
      <c r="G38" s="80"/>
    </row>
    <row r="39" spans="2:7" ht="21.75" customHeight="1" x14ac:dyDescent="0.25">
      <c r="B39" s="42" t="s">
        <v>221</v>
      </c>
      <c r="C39" s="18" t="s">
        <v>222</v>
      </c>
      <c r="D39" s="18" t="s">
        <v>222</v>
      </c>
      <c r="E39" s="18" t="s">
        <v>223</v>
      </c>
      <c r="F39" s="18" t="s">
        <v>224</v>
      </c>
      <c r="G39" s="40"/>
    </row>
    <row r="40" spans="2:7" ht="21.75" customHeight="1" x14ac:dyDescent="0.25">
      <c r="B40" s="26" t="s">
        <v>225</v>
      </c>
      <c r="C40" s="18" t="s">
        <v>226</v>
      </c>
      <c r="D40" s="18" t="s">
        <v>226</v>
      </c>
      <c r="E40" s="18" t="s">
        <v>227</v>
      </c>
      <c r="F40" s="21" t="s">
        <v>228</v>
      </c>
      <c r="G40" s="40"/>
    </row>
    <row r="41" spans="2:7" ht="21.75" customHeight="1" x14ac:dyDescent="0.25">
      <c r="B41" s="42" t="s">
        <v>229</v>
      </c>
      <c r="C41" s="21" t="s">
        <v>201</v>
      </c>
      <c r="D41" s="21" t="s">
        <v>201</v>
      </c>
      <c r="E41" s="21" t="s">
        <v>202</v>
      </c>
      <c r="F41" s="21" t="s">
        <v>202</v>
      </c>
      <c r="G41" s="40"/>
    </row>
    <row r="42" spans="2:7" ht="21.75" customHeight="1" x14ac:dyDescent="0.25">
      <c r="B42" s="26" t="s">
        <v>230</v>
      </c>
      <c r="C42" s="21" t="s">
        <v>201</v>
      </c>
      <c r="D42" s="21" t="s">
        <v>201</v>
      </c>
      <c r="E42" s="21" t="s">
        <v>202</v>
      </c>
      <c r="F42" s="21" t="s">
        <v>202</v>
      </c>
      <c r="G42" s="40"/>
    </row>
    <row r="43" spans="2:7" ht="21.75" customHeight="1" x14ac:dyDescent="0.25">
      <c r="B43" s="80" t="s">
        <v>231</v>
      </c>
      <c r="C43" s="80"/>
      <c r="D43" s="80"/>
      <c r="E43" s="80"/>
      <c r="F43" s="80"/>
      <c r="G43" s="80"/>
    </row>
    <row r="44" spans="2:7" ht="21.75" customHeight="1" x14ac:dyDescent="0.25">
      <c r="B44" s="26" t="s">
        <v>232</v>
      </c>
      <c r="C44" s="21" t="s">
        <v>233</v>
      </c>
      <c r="D44" s="21" t="s">
        <v>233</v>
      </c>
      <c r="E44" s="18" t="s">
        <v>234</v>
      </c>
      <c r="F44" s="18" t="s">
        <v>235</v>
      </c>
      <c r="G44" s="40"/>
    </row>
    <row r="45" spans="2:7" ht="21.75" customHeight="1" x14ac:dyDescent="0.25">
      <c r="B45" s="26" t="s">
        <v>236</v>
      </c>
      <c r="C45" s="21" t="s">
        <v>237</v>
      </c>
      <c r="D45" s="21" t="s">
        <v>237</v>
      </c>
      <c r="E45" s="21" t="s">
        <v>238</v>
      </c>
      <c r="F45" s="18" t="s">
        <v>239</v>
      </c>
      <c r="G45" s="40"/>
    </row>
    <row r="46" spans="2:7" ht="21.75" customHeight="1" x14ac:dyDescent="0.25">
      <c r="B46" s="42" t="s">
        <v>240</v>
      </c>
      <c r="C46" s="21" t="s">
        <v>241</v>
      </c>
      <c r="D46" s="21" t="s">
        <v>241</v>
      </c>
      <c r="E46" s="18" t="s">
        <v>242</v>
      </c>
      <c r="F46" s="21" t="s">
        <v>243</v>
      </c>
      <c r="G46" s="40"/>
    </row>
    <row r="47" spans="2:7" ht="21.75" customHeight="1" x14ac:dyDescent="0.25">
      <c r="B47" s="26" t="s">
        <v>244</v>
      </c>
      <c r="C47" s="21" t="s">
        <v>202</v>
      </c>
      <c r="D47" s="21" t="s">
        <v>202</v>
      </c>
      <c r="E47" s="21" t="s">
        <v>245</v>
      </c>
      <c r="F47" s="21" t="s">
        <v>246</v>
      </c>
      <c r="G47" s="40"/>
    </row>
    <row r="48" spans="2:7" ht="21.75" customHeight="1" x14ac:dyDescent="0.25">
      <c r="B48" s="26" t="s">
        <v>247</v>
      </c>
      <c r="C48" s="21" t="s">
        <v>248</v>
      </c>
      <c r="D48" s="21" t="s">
        <v>248</v>
      </c>
      <c r="E48" s="18" t="s">
        <v>249</v>
      </c>
      <c r="F48" s="18" t="s">
        <v>250</v>
      </c>
      <c r="G48" s="40"/>
    </row>
    <row r="49" spans="2:7" ht="21.75" customHeight="1" x14ac:dyDescent="0.25">
      <c r="B49" s="26" t="s">
        <v>251</v>
      </c>
      <c r="C49" s="21" t="s">
        <v>202</v>
      </c>
      <c r="D49" s="21" t="s">
        <v>202</v>
      </c>
      <c r="E49" s="21" t="s">
        <v>252</v>
      </c>
      <c r="F49" s="21" t="s">
        <v>201</v>
      </c>
      <c r="G49" s="40"/>
    </row>
    <row r="50" spans="2:7" ht="21.75" customHeight="1" x14ac:dyDescent="0.25">
      <c r="B50" s="80" t="s">
        <v>253</v>
      </c>
      <c r="C50" s="80"/>
      <c r="D50" s="80"/>
      <c r="E50" s="80"/>
      <c r="F50" s="80"/>
      <c r="G50" s="80"/>
    </row>
    <row r="51" spans="2:7" ht="21.75" customHeight="1" x14ac:dyDescent="0.25">
      <c r="B51" s="26" t="s">
        <v>254</v>
      </c>
      <c r="C51" s="18">
        <v>22</v>
      </c>
      <c r="D51" s="18">
        <v>10</v>
      </c>
      <c r="E51" s="21" t="s">
        <v>167</v>
      </c>
      <c r="F51" s="21" t="s">
        <v>167</v>
      </c>
      <c r="G51" s="41" t="s">
        <v>255</v>
      </c>
    </row>
    <row r="52" spans="2:7" ht="21.75" customHeight="1" x14ac:dyDescent="0.25">
      <c r="B52" s="26" t="s">
        <v>256</v>
      </c>
      <c r="C52" s="18">
        <v>800</v>
      </c>
      <c r="D52" s="18">
        <v>700</v>
      </c>
      <c r="E52" s="21" t="s">
        <v>167</v>
      </c>
      <c r="F52" s="21" t="s">
        <v>167</v>
      </c>
      <c r="G52" s="40"/>
    </row>
    <row r="53" spans="2:7" ht="21.75" customHeight="1" x14ac:dyDescent="0.25">
      <c r="B53" s="26" t="s">
        <v>257</v>
      </c>
      <c r="C53" s="18">
        <v>6000</v>
      </c>
      <c r="D53" s="18">
        <v>3200</v>
      </c>
      <c r="E53" s="21" t="s">
        <v>167</v>
      </c>
      <c r="F53" s="21" t="s">
        <v>167</v>
      </c>
      <c r="G53" s="40"/>
    </row>
    <row r="54" spans="2:7" ht="21.75" customHeight="1" x14ac:dyDescent="0.25">
      <c r="B54" s="26" t="s">
        <v>258</v>
      </c>
      <c r="C54" s="18" t="s">
        <v>259</v>
      </c>
      <c r="D54" s="18" t="s">
        <v>260</v>
      </c>
      <c r="E54" s="21" t="s">
        <v>167</v>
      </c>
      <c r="F54" s="21" t="s">
        <v>167</v>
      </c>
      <c r="G54" s="40"/>
    </row>
    <row r="55" spans="2:7" ht="21.75" customHeight="1" x14ac:dyDescent="0.25">
      <c r="B55" s="80" t="s">
        <v>261</v>
      </c>
      <c r="C55" s="80"/>
      <c r="D55" s="80"/>
      <c r="E55" s="80"/>
      <c r="F55" s="80"/>
      <c r="G55" s="80"/>
    </row>
    <row r="56" spans="2:7" ht="21.75" customHeight="1" x14ac:dyDescent="0.25">
      <c r="B56" s="26" t="s">
        <v>262</v>
      </c>
      <c r="C56" s="18">
        <v>12</v>
      </c>
      <c r="D56" s="18">
        <v>12</v>
      </c>
      <c r="E56" s="18">
        <v>12</v>
      </c>
      <c r="F56" s="18">
        <v>12</v>
      </c>
      <c r="G56" s="40"/>
    </row>
    <row r="57" spans="2:7" ht="21.75" customHeight="1" x14ac:dyDescent="0.25">
      <c r="B57" s="26" t="s">
        <v>263</v>
      </c>
      <c r="C57" s="18" t="s">
        <v>264</v>
      </c>
      <c r="D57" s="18" t="s">
        <v>264</v>
      </c>
      <c r="E57" s="21" t="s">
        <v>265</v>
      </c>
      <c r="F57" s="21" t="s">
        <v>265</v>
      </c>
      <c r="G57" s="41" t="s">
        <v>266</v>
      </c>
    </row>
    <row r="58" spans="2:7" ht="21.75" customHeight="1" x14ac:dyDescent="0.25">
      <c r="B58" s="42" t="s">
        <v>267</v>
      </c>
      <c r="C58" s="18" t="s">
        <v>268</v>
      </c>
      <c r="D58" s="18" t="s">
        <v>268</v>
      </c>
      <c r="E58" s="18" t="s">
        <v>269</v>
      </c>
      <c r="F58" s="18" t="s">
        <v>268</v>
      </c>
      <c r="G58" s="40"/>
    </row>
    <row r="59" spans="2:7" ht="21.75" customHeight="1" x14ac:dyDescent="0.25">
      <c r="B59" s="26" t="s">
        <v>270</v>
      </c>
      <c r="C59" s="18" t="s">
        <v>271</v>
      </c>
      <c r="D59" s="18" t="s">
        <v>271</v>
      </c>
      <c r="E59" s="21" t="s">
        <v>167</v>
      </c>
      <c r="F59" s="21" t="s">
        <v>167</v>
      </c>
      <c r="G59" s="40"/>
    </row>
  </sheetData>
  <mergeCells count="12">
    <mergeCell ref="B50:G50"/>
    <mergeCell ref="B55:G55"/>
    <mergeCell ref="B26:G26"/>
    <mergeCell ref="B30:G30"/>
    <mergeCell ref="B34:G34"/>
    <mergeCell ref="B38:G38"/>
    <mergeCell ref="B43:G43"/>
    <mergeCell ref="B2:G2"/>
    <mergeCell ref="B3:G3"/>
    <mergeCell ref="B6:G6"/>
    <mergeCell ref="B13:G13"/>
    <mergeCell ref="B19:G19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8" customWidth="1"/>
    <col min="3" max="6" width="18" customWidth="1"/>
    <col min="7" max="7" width="14" customWidth="1"/>
    <col min="8" max="8" width="18" customWidth="1"/>
  </cols>
  <sheetData>
    <row r="2" spans="2:8" ht="31.5" customHeight="1" x14ac:dyDescent="0.25">
      <c r="B2" s="14" t="s">
        <v>272</v>
      </c>
      <c r="C2" s="14"/>
      <c r="D2" s="14"/>
      <c r="E2" s="14"/>
      <c r="F2" s="14"/>
      <c r="G2" s="14"/>
      <c r="H2" s="14"/>
    </row>
    <row r="3" spans="2:8" ht="17.25" x14ac:dyDescent="0.25">
      <c r="B3" s="77" t="s">
        <v>273</v>
      </c>
      <c r="C3" s="77"/>
      <c r="D3" s="77"/>
      <c r="E3" s="77"/>
      <c r="F3" s="77"/>
      <c r="G3" s="77"/>
      <c r="H3" s="77"/>
    </row>
    <row r="5" spans="2:8" ht="24" customHeight="1" x14ac:dyDescent="0.25">
      <c r="B5" s="81" t="s">
        <v>274</v>
      </c>
      <c r="C5" s="81"/>
      <c r="D5" s="81"/>
      <c r="E5" s="81"/>
      <c r="F5" s="81"/>
      <c r="G5" s="81"/>
      <c r="H5" s="81"/>
    </row>
    <row r="6" spans="2:8" ht="27" x14ac:dyDescent="0.25">
      <c r="B6" s="42" t="s">
        <v>275</v>
      </c>
      <c r="C6" s="43">
        <v>1.08</v>
      </c>
      <c r="D6" s="42" t="s">
        <v>276</v>
      </c>
      <c r="E6" s="43">
        <v>150</v>
      </c>
      <c r="F6" s="42" t="s">
        <v>277</v>
      </c>
      <c r="G6" s="43">
        <v>1440</v>
      </c>
    </row>
    <row r="8" spans="2:8" ht="31.5" customHeight="1" x14ac:dyDescent="0.25">
      <c r="B8" s="15" t="s">
        <v>7</v>
      </c>
      <c r="C8" s="16" t="s">
        <v>8</v>
      </c>
      <c r="D8" s="16" t="s">
        <v>9</v>
      </c>
      <c r="E8" s="16" t="s">
        <v>10</v>
      </c>
      <c r="F8" s="16" t="s">
        <v>11</v>
      </c>
      <c r="G8" s="15" t="s">
        <v>278</v>
      </c>
      <c r="H8" s="15" t="s">
        <v>12</v>
      </c>
    </row>
    <row r="9" spans="2:8" x14ac:dyDescent="0.25">
      <c r="B9" s="26" t="s">
        <v>18</v>
      </c>
      <c r="C9" s="44" t="s">
        <v>279</v>
      </c>
      <c r="D9" s="44" t="s">
        <v>279</v>
      </c>
      <c r="E9" s="44" t="s">
        <v>280</v>
      </c>
      <c r="F9" s="44" t="s">
        <v>281</v>
      </c>
      <c r="G9" s="18" t="s">
        <v>282</v>
      </c>
      <c r="H9" s="45" t="s">
        <v>283</v>
      </c>
    </row>
    <row r="10" spans="2:8" x14ac:dyDescent="0.25">
      <c r="B10" s="42" t="s">
        <v>284</v>
      </c>
      <c r="C10" s="46">
        <v>249255</v>
      </c>
      <c r="D10" s="46">
        <v>229355</v>
      </c>
      <c r="E10" s="46">
        <v>34498418</v>
      </c>
      <c r="F10" s="46">
        <v>59500</v>
      </c>
      <c r="G10" s="21" t="s">
        <v>285</v>
      </c>
      <c r="H10" s="47" t="s">
        <v>286</v>
      </c>
    </row>
    <row r="11" spans="2:8" ht="24" x14ac:dyDescent="0.25">
      <c r="B11" s="42" t="s">
        <v>287</v>
      </c>
      <c r="C11" s="18" t="s">
        <v>288</v>
      </c>
      <c r="D11" s="18" t="s">
        <v>288</v>
      </c>
      <c r="E11" s="18" t="s">
        <v>289</v>
      </c>
      <c r="F11" s="18" t="s">
        <v>290</v>
      </c>
      <c r="G11" s="18" t="s">
        <v>282</v>
      </c>
      <c r="H11" s="47" t="s">
        <v>291</v>
      </c>
    </row>
    <row r="12" spans="2:8" x14ac:dyDescent="0.25">
      <c r="B12" s="42" t="s">
        <v>292</v>
      </c>
      <c r="C12" s="48">
        <f>C10*$C$6</f>
        <v>269195.40000000002</v>
      </c>
      <c r="D12" s="48">
        <f>D10*$C$6</f>
        <v>247703.40000000002</v>
      </c>
      <c r="E12" s="48">
        <f>E10/$E$6</f>
        <v>229989.45333333334</v>
      </c>
      <c r="F12" s="48">
        <f>F10</f>
        <v>59500</v>
      </c>
      <c r="G12" s="49" t="s">
        <v>281</v>
      </c>
      <c r="H12" s="50" t="s">
        <v>293</v>
      </c>
    </row>
    <row r="13" spans="2:8" x14ac:dyDescent="0.25">
      <c r="B13" s="42" t="s">
        <v>294</v>
      </c>
      <c r="C13" s="51">
        <f>C12</f>
        <v>269195.40000000002</v>
      </c>
      <c r="D13" s="51">
        <f>D12</f>
        <v>247703.40000000002</v>
      </c>
      <c r="E13" s="51">
        <f>E12</f>
        <v>229989.45333333334</v>
      </c>
      <c r="F13" s="51">
        <f>F12</f>
        <v>59500</v>
      </c>
      <c r="G13" s="18" t="s">
        <v>281</v>
      </c>
      <c r="H13" s="18"/>
    </row>
    <row r="14" spans="2:8" x14ac:dyDescent="0.25">
      <c r="B14" s="26" t="s">
        <v>295</v>
      </c>
      <c r="C14" s="52">
        <f>C12/$F$12*100</f>
        <v>452.42924369747908</v>
      </c>
      <c r="D14" s="52">
        <f>D12/$F$12*100</f>
        <v>416.30823529411771</v>
      </c>
      <c r="E14" s="52">
        <f>E12/$F$12*100</f>
        <v>386.5368963585434</v>
      </c>
      <c r="F14" s="52">
        <f>F12/$F$12*100</f>
        <v>100</v>
      </c>
      <c r="G14" s="21" t="s">
        <v>296</v>
      </c>
      <c r="H14" s="45" t="s">
        <v>297</v>
      </c>
    </row>
    <row r="15" spans="2:8" x14ac:dyDescent="0.25">
      <c r="B15" s="26" t="s">
        <v>298</v>
      </c>
      <c r="C15" s="53">
        <f>C12*$G$6</f>
        <v>387641376.00000006</v>
      </c>
      <c r="D15" s="53">
        <f>D12*$G$6</f>
        <v>356692896.00000006</v>
      </c>
      <c r="E15" s="53">
        <f>E12*$G$6</f>
        <v>331184812.80000001</v>
      </c>
      <c r="F15" s="53">
        <f>F12*$G$6</f>
        <v>85680000</v>
      </c>
      <c r="G15" s="18" t="s">
        <v>299</v>
      </c>
      <c r="H15" s="45" t="s">
        <v>300</v>
      </c>
    </row>
    <row r="17" spans="2:8" ht="24" customHeight="1" x14ac:dyDescent="0.25">
      <c r="B17" s="82" t="s">
        <v>301</v>
      </c>
      <c r="C17" s="82"/>
      <c r="D17" s="82"/>
      <c r="E17" s="82"/>
      <c r="F17" s="82"/>
      <c r="G17" s="82"/>
      <c r="H17" s="82"/>
    </row>
    <row r="18" spans="2:8" ht="21.75" customHeight="1" x14ac:dyDescent="0.25">
      <c r="B18" s="29" t="s">
        <v>302</v>
      </c>
      <c r="C18" s="83">
        <v>42053100</v>
      </c>
      <c r="D18" s="83"/>
      <c r="E18" s="83"/>
      <c r="F18" s="18" t="s">
        <v>280</v>
      </c>
      <c r="G18" s="84" t="s">
        <v>303</v>
      </c>
      <c r="H18" s="84"/>
    </row>
    <row r="19" spans="2:8" ht="21.75" customHeight="1" x14ac:dyDescent="0.25">
      <c r="B19" s="29" t="s">
        <v>304</v>
      </c>
      <c r="C19" s="83">
        <v>-9251682</v>
      </c>
      <c r="D19" s="83"/>
      <c r="E19" s="83"/>
      <c r="F19" s="18" t="s">
        <v>280</v>
      </c>
      <c r="G19" s="84" t="s">
        <v>305</v>
      </c>
      <c r="H19" s="84"/>
    </row>
    <row r="20" spans="2:8" ht="21.75" customHeight="1" x14ac:dyDescent="0.25">
      <c r="B20" s="29" t="s">
        <v>306</v>
      </c>
      <c r="C20" s="83">
        <v>1697000</v>
      </c>
      <c r="D20" s="83"/>
      <c r="E20" s="83"/>
      <c r="F20" s="18" t="s">
        <v>280</v>
      </c>
      <c r="G20" s="84" t="s">
        <v>307</v>
      </c>
      <c r="H20" s="84"/>
    </row>
    <row r="21" spans="2:8" ht="21.75" customHeight="1" x14ac:dyDescent="0.25">
      <c r="B21" s="19" t="s">
        <v>308</v>
      </c>
      <c r="C21" s="85">
        <v>34498418</v>
      </c>
      <c r="D21" s="85"/>
      <c r="E21" s="85"/>
      <c r="F21" s="18" t="s">
        <v>280</v>
      </c>
      <c r="G21" s="84" t="s">
        <v>309</v>
      </c>
      <c r="H21" s="84"/>
    </row>
  </sheetData>
  <mergeCells count="12">
    <mergeCell ref="C19:E19"/>
    <mergeCell ref="G19:H19"/>
    <mergeCell ref="C20:E20"/>
    <mergeCell ref="G20:H20"/>
    <mergeCell ref="C21:E21"/>
    <mergeCell ref="G21:H21"/>
    <mergeCell ref="B2:H2"/>
    <mergeCell ref="B3:H3"/>
    <mergeCell ref="B5:H5"/>
    <mergeCell ref="B17:H17"/>
    <mergeCell ref="C18:E18"/>
    <mergeCell ref="G18:H18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3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0" customWidth="1"/>
    <col min="3" max="6" width="16" customWidth="1"/>
    <col min="7" max="7" width="12" customWidth="1"/>
    <col min="8" max="8" width="18" customWidth="1"/>
  </cols>
  <sheetData>
    <row r="2" spans="2:8" ht="31.5" customHeight="1" x14ac:dyDescent="0.25">
      <c r="B2" s="86" t="s">
        <v>310</v>
      </c>
      <c r="C2" s="86"/>
      <c r="D2" s="86"/>
      <c r="E2" s="86"/>
      <c r="F2" s="86"/>
      <c r="G2" s="86"/>
      <c r="H2" s="86"/>
    </row>
    <row r="3" spans="2:8" ht="17.25" x14ac:dyDescent="0.25">
      <c r="B3" s="77" t="s">
        <v>311</v>
      </c>
      <c r="C3" s="77"/>
      <c r="D3" s="77"/>
      <c r="E3" s="77"/>
      <c r="F3" s="77"/>
      <c r="G3" s="77"/>
      <c r="H3" s="77"/>
    </row>
    <row r="5" spans="2:8" ht="24" customHeight="1" x14ac:dyDescent="0.25">
      <c r="B5" s="87" t="s">
        <v>312</v>
      </c>
      <c r="C5" s="87"/>
      <c r="D5" s="87"/>
      <c r="E5" s="87"/>
      <c r="F5" s="87"/>
      <c r="G5" s="87"/>
      <c r="H5" s="87"/>
    </row>
    <row r="6" spans="2:8" ht="26.25" x14ac:dyDescent="0.25">
      <c r="B6" s="26" t="s">
        <v>313</v>
      </c>
      <c r="C6" s="43">
        <v>5</v>
      </c>
      <c r="D6" s="26" t="s">
        <v>314</v>
      </c>
      <c r="E6" s="43">
        <v>4000</v>
      </c>
      <c r="F6" s="26" t="s">
        <v>315</v>
      </c>
      <c r="G6" s="43">
        <v>0.1</v>
      </c>
    </row>
    <row r="8" spans="2:8" ht="31.5" customHeight="1" x14ac:dyDescent="0.25">
      <c r="B8" s="16" t="s">
        <v>316</v>
      </c>
      <c r="C8" s="16" t="s">
        <v>36</v>
      </c>
      <c r="D8" s="16" t="s">
        <v>37</v>
      </c>
      <c r="E8" s="16" t="s">
        <v>38</v>
      </c>
      <c r="F8" s="16" t="s">
        <v>39</v>
      </c>
      <c r="G8" s="15" t="s">
        <v>278</v>
      </c>
      <c r="H8" s="15" t="s">
        <v>317</v>
      </c>
    </row>
    <row r="9" spans="2:8" x14ac:dyDescent="0.25">
      <c r="B9" s="28" t="s">
        <v>318</v>
      </c>
      <c r="C9" s="51">
        <f>'04_가격분석'!C12</f>
        <v>269195.40000000002</v>
      </c>
      <c r="D9" s="51">
        <f>'04_가격분석'!D12</f>
        <v>247703.40000000002</v>
      </c>
      <c r="E9" s="51">
        <f>'04_가격분석'!E12</f>
        <v>229989.45333333334</v>
      </c>
      <c r="F9" s="51">
        <f>'04_가격분석'!F12</f>
        <v>59500</v>
      </c>
      <c r="G9" s="18" t="s">
        <v>281</v>
      </c>
      <c r="H9" s="40" t="s">
        <v>319</v>
      </c>
    </row>
    <row r="10" spans="2:8" ht="24" x14ac:dyDescent="0.25">
      <c r="B10" s="28" t="s">
        <v>320</v>
      </c>
      <c r="C10" s="51">
        <v>5000</v>
      </c>
      <c r="D10" s="51">
        <v>5000</v>
      </c>
      <c r="E10" s="51">
        <v>0</v>
      </c>
      <c r="F10" s="51">
        <v>5000</v>
      </c>
      <c r="G10" s="18" t="s">
        <v>281</v>
      </c>
      <c r="H10" s="40" t="s">
        <v>321</v>
      </c>
    </row>
    <row r="11" spans="2:8" x14ac:dyDescent="0.25">
      <c r="B11" s="28" t="s">
        <v>322</v>
      </c>
      <c r="C11" s="51">
        <v>0</v>
      </c>
      <c r="D11" s="51">
        <v>0</v>
      </c>
      <c r="E11" s="51">
        <v>0</v>
      </c>
      <c r="F11" s="51">
        <v>0</v>
      </c>
      <c r="G11" s="18" t="s">
        <v>281</v>
      </c>
      <c r="H11" s="41" t="s">
        <v>323</v>
      </c>
    </row>
    <row r="12" spans="2:8" x14ac:dyDescent="0.25">
      <c r="B12" s="42" t="s">
        <v>324</v>
      </c>
      <c r="C12" s="54">
        <f>C9+C10+C11</f>
        <v>274195.40000000002</v>
      </c>
      <c r="D12" s="54">
        <f>D9+D10+D11</f>
        <v>252703.40000000002</v>
      </c>
      <c r="E12" s="54">
        <f>E9+E10+E11</f>
        <v>229989.45333333334</v>
      </c>
      <c r="F12" s="54">
        <f>F9+F10+F11</f>
        <v>64500</v>
      </c>
      <c r="G12" s="55" t="s">
        <v>281</v>
      </c>
      <c r="H12" s="55"/>
    </row>
    <row r="14" spans="2:8" ht="24" x14ac:dyDescent="0.25">
      <c r="B14" s="28" t="s">
        <v>325</v>
      </c>
      <c r="C14" s="22">
        <v>22</v>
      </c>
      <c r="D14" s="22">
        <v>10</v>
      </c>
      <c r="E14" s="22">
        <v>25</v>
      </c>
      <c r="F14" s="22">
        <v>15</v>
      </c>
      <c r="G14" s="18" t="s">
        <v>326</v>
      </c>
      <c r="H14" s="41" t="s">
        <v>327</v>
      </c>
    </row>
    <row r="15" spans="2:8" x14ac:dyDescent="0.25">
      <c r="B15" s="28" t="s">
        <v>328</v>
      </c>
      <c r="C15" s="51">
        <f>C14*0.7*$E$6*$G$6</f>
        <v>6160</v>
      </c>
      <c r="D15" s="51">
        <f>D14*0.7*$E$6*$G$6</f>
        <v>2800</v>
      </c>
      <c r="E15" s="51">
        <f>E14*0.7*$E$6*$G$6</f>
        <v>7000</v>
      </c>
      <c r="F15" s="51">
        <f>F14*0.7*$E$6*$G$6</f>
        <v>4200</v>
      </c>
      <c r="G15" s="18" t="s">
        <v>281</v>
      </c>
      <c r="H15" s="41" t="s">
        <v>329</v>
      </c>
    </row>
    <row r="16" spans="2:8" x14ac:dyDescent="0.25">
      <c r="B16" s="28" t="s">
        <v>330</v>
      </c>
      <c r="C16" s="51">
        <f>C9*0.03</f>
        <v>8075.8620000000001</v>
      </c>
      <c r="D16" s="51">
        <f>D9*0.03</f>
        <v>7431.1020000000008</v>
      </c>
      <c r="E16" s="51">
        <f>E9*0.03</f>
        <v>6899.6836000000003</v>
      </c>
      <c r="F16" s="51">
        <f>F9*0.03</f>
        <v>1785</v>
      </c>
      <c r="G16" s="18" t="s">
        <v>281</v>
      </c>
      <c r="H16" s="41" t="s">
        <v>331</v>
      </c>
    </row>
    <row r="17" spans="2:8" x14ac:dyDescent="0.25">
      <c r="B17" s="28" t="s">
        <v>332</v>
      </c>
      <c r="C17" s="51">
        <v>5000</v>
      </c>
      <c r="D17" s="51">
        <v>4000</v>
      </c>
      <c r="E17" s="51">
        <v>5000</v>
      </c>
      <c r="F17" s="51">
        <v>3000</v>
      </c>
      <c r="G17" s="18" t="s">
        <v>281</v>
      </c>
      <c r="H17" s="41" t="s">
        <v>333</v>
      </c>
    </row>
    <row r="18" spans="2:8" x14ac:dyDescent="0.25">
      <c r="B18" s="17" t="s">
        <v>334</v>
      </c>
      <c r="C18" s="20">
        <f>SUM(C15:C17)</f>
        <v>19235.862000000001</v>
      </c>
      <c r="D18" s="20">
        <f>SUM(D15:D17)</f>
        <v>14231.102000000001</v>
      </c>
      <c r="E18" s="20">
        <f>SUM(E15:E17)</f>
        <v>18899.6836</v>
      </c>
      <c r="F18" s="20">
        <f>SUM(F15:F17)</f>
        <v>8985</v>
      </c>
      <c r="G18" s="18" t="s">
        <v>281</v>
      </c>
      <c r="H18" s="18"/>
    </row>
    <row r="19" spans="2:8" x14ac:dyDescent="0.25">
      <c r="B19" s="29" t="s">
        <v>335</v>
      </c>
      <c r="C19" s="51">
        <f>C18*$C$6</f>
        <v>96179.31</v>
      </c>
      <c r="D19" s="51">
        <f>D18*$C$6</f>
        <v>71155.510000000009</v>
      </c>
      <c r="E19" s="51">
        <f>E18*$C$6</f>
        <v>94498.418000000005</v>
      </c>
      <c r="F19" s="51">
        <f>F18*$C$6</f>
        <v>44925</v>
      </c>
      <c r="G19" s="18" t="s">
        <v>281</v>
      </c>
      <c r="H19" s="18"/>
    </row>
    <row r="20" spans="2:8" x14ac:dyDescent="0.25">
      <c r="B20" s="28" t="s">
        <v>336</v>
      </c>
      <c r="C20" s="51">
        <f>-C9*0.3</f>
        <v>-80758.62000000001</v>
      </c>
      <c r="D20" s="51">
        <f>-D9*0.3</f>
        <v>-74311.02</v>
      </c>
      <c r="E20" s="51">
        <f>-E9*0.3</f>
        <v>-68996.835999999996</v>
      </c>
      <c r="F20" s="51">
        <f>-F9*0.3</f>
        <v>-17850</v>
      </c>
      <c r="G20" s="18" t="s">
        <v>281</v>
      </c>
      <c r="H20" s="41" t="s">
        <v>337</v>
      </c>
    </row>
    <row r="21" spans="2:8" ht="27.75" customHeight="1" x14ac:dyDescent="0.25">
      <c r="B21" s="56" t="s">
        <v>338</v>
      </c>
      <c r="C21" s="57">
        <f>C12+C19+C20</f>
        <v>289616.09000000003</v>
      </c>
      <c r="D21" s="57">
        <f>D12+D19+D20</f>
        <v>249547.89</v>
      </c>
      <c r="E21" s="57">
        <f>E12+E19+E20</f>
        <v>255491.0353333333</v>
      </c>
      <c r="F21" s="57">
        <f>F12+F19+F20</f>
        <v>91575</v>
      </c>
      <c r="G21" s="58" t="s">
        <v>281</v>
      </c>
      <c r="H21" s="59"/>
    </row>
    <row r="22" spans="2:8" x14ac:dyDescent="0.25">
      <c r="B22" s="23" t="s">
        <v>339</v>
      </c>
      <c r="C22" s="48">
        <f>C21/$C$6</f>
        <v>57923.218000000008</v>
      </c>
      <c r="D22" s="48">
        <f>D21/$C$6</f>
        <v>49909.578000000001</v>
      </c>
      <c r="E22" s="48">
        <f>E21/$C$6</f>
        <v>51098.207066666662</v>
      </c>
      <c r="F22" s="48">
        <f>F21/$C$6</f>
        <v>18315</v>
      </c>
      <c r="G22" s="49" t="s">
        <v>281</v>
      </c>
      <c r="H22" s="49"/>
    </row>
    <row r="23" spans="2:8" x14ac:dyDescent="0.25">
      <c r="B23" s="28" t="s">
        <v>340</v>
      </c>
      <c r="C23" s="60">
        <f>C21/C9</f>
        <v>1.0758582427485759</v>
      </c>
      <c r="D23" s="60">
        <f>D21/D9</f>
        <v>1.0074463652901009</v>
      </c>
      <c r="E23" s="60">
        <f>E21/E9</f>
        <v>1.1108815279587601</v>
      </c>
      <c r="F23" s="60">
        <f>F21/F9</f>
        <v>1.5390756302521009</v>
      </c>
      <c r="G23" s="21" t="s">
        <v>341</v>
      </c>
      <c r="H23" s="18"/>
    </row>
  </sheetData>
  <mergeCells count="3">
    <mergeCell ref="B2:H2"/>
    <mergeCell ref="B3:H3"/>
    <mergeCell ref="B5:H5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19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6" width="22" customWidth="1"/>
    <col min="7" max="7" width="16" customWidth="1"/>
  </cols>
  <sheetData>
    <row r="2" spans="2:7" ht="31.5" customHeight="1" x14ac:dyDescent="0.25">
      <c r="B2" s="14" t="s">
        <v>342</v>
      </c>
      <c r="C2" s="14"/>
      <c r="D2" s="14"/>
      <c r="E2" s="14"/>
      <c r="F2" s="14"/>
      <c r="G2" s="14"/>
    </row>
    <row r="4" spans="2:7" ht="31.5" customHeight="1" x14ac:dyDescent="0.25">
      <c r="B4" s="15" t="s">
        <v>7</v>
      </c>
      <c r="C4" s="16" t="s">
        <v>8</v>
      </c>
      <c r="D4" s="16" t="s">
        <v>9</v>
      </c>
      <c r="E4" s="16" t="s">
        <v>10</v>
      </c>
      <c r="F4" s="16" t="s">
        <v>11</v>
      </c>
      <c r="G4" s="15" t="s">
        <v>343</v>
      </c>
    </row>
    <row r="5" spans="2:7" ht="31.5" customHeight="1" x14ac:dyDescent="0.25">
      <c r="B5" s="26" t="s">
        <v>344</v>
      </c>
      <c r="C5" s="29" t="s">
        <v>279</v>
      </c>
      <c r="D5" s="29" t="s">
        <v>279</v>
      </c>
      <c r="E5" s="29" t="s">
        <v>280</v>
      </c>
      <c r="F5" s="29" t="s">
        <v>281</v>
      </c>
      <c r="G5" s="61" t="s">
        <v>345</v>
      </c>
    </row>
    <row r="6" spans="2:7" ht="31.5" customHeight="1" x14ac:dyDescent="0.25">
      <c r="B6" s="42" t="s">
        <v>287</v>
      </c>
      <c r="C6" s="29" t="s">
        <v>288</v>
      </c>
      <c r="D6" s="29" t="s">
        <v>288</v>
      </c>
      <c r="E6" s="29" t="s">
        <v>289</v>
      </c>
      <c r="F6" s="29" t="s">
        <v>290</v>
      </c>
      <c r="G6" s="61" t="s">
        <v>346</v>
      </c>
    </row>
    <row r="7" spans="2:7" ht="31.5" customHeight="1" x14ac:dyDescent="0.25">
      <c r="B7" s="26" t="s">
        <v>347</v>
      </c>
      <c r="C7" s="28" t="s">
        <v>348</v>
      </c>
      <c r="D7" s="28" t="s">
        <v>348</v>
      </c>
      <c r="E7" s="28" t="s">
        <v>349</v>
      </c>
      <c r="F7" s="28" t="s">
        <v>350</v>
      </c>
      <c r="G7" s="61" t="s">
        <v>351</v>
      </c>
    </row>
    <row r="8" spans="2:7" ht="31.5" customHeight="1" x14ac:dyDescent="0.25">
      <c r="B8" s="26" t="s">
        <v>352</v>
      </c>
      <c r="C8" s="29" t="s">
        <v>353</v>
      </c>
      <c r="D8" s="29" t="s">
        <v>353</v>
      </c>
      <c r="E8" s="29" t="s">
        <v>354</v>
      </c>
      <c r="F8" s="29" t="s">
        <v>355</v>
      </c>
      <c r="G8" s="61" t="s">
        <v>356</v>
      </c>
    </row>
    <row r="9" spans="2:7" ht="31.5" customHeight="1" x14ac:dyDescent="0.25">
      <c r="B9" s="26" t="s">
        <v>161</v>
      </c>
      <c r="C9" s="29" t="s">
        <v>162</v>
      </c>
      <c r="D9" s="29" t="s">
        <v>162</v>
      </c>
      <c r="E9" s="29" t="s">
        <v>163</v>
      </c>
      <c r="F9" s="29" t="s">
        <v>357</v>
      </c>
      <c r="G9" s="61" t="s">
        <v>358</v>
      </c>
    </row>
    <row r="10" spans="2:7" ht="31.5" customHeight="1" x14ac:dyDescent="0.25">
      <c r="B10" s="26" t="s">
        <v>29</v>
      </c>
      <c r="C10" s="29" t="s">
        <v>359</v>
      </c>
      <c r="D10" s="29" t="s">
        <v>359</v>
      </c>
      <c r="E10" s="29" t="s">
        <v>360</v>
      </c>
      <c r="F10" s="29" t="s">
        <v>361</v>
      </c>
      <c r="G10" s="61" t="s">
        <v>362</v>
      </c>
    </row>
    <row r="11" spans="2:7" ht="31.5" customHeight="1" x14ac:dyDescent="0.25">
      <c r="B11" s="26" t="s">
        <v>363</v>
      </c>
      <c r="C11" s="29" t="s">
        <v>364</v>
      </c>
      <c r="D11" s="29" t="s">
        <v>364</v>
      </c>
      <c r="E11" s="29" t="s">
        <v>365</v>
      </c>
      <c r="F11" s="29" t="s">
        <v>365</v>
      </c>
      <c r="G11" s="61" t="s">
        <v>366</v>
      </c>
    </row>
    <row r="12" spans="2:7" ht="31.5" customHeight="1" x14ac:dyDescent="0.25">
      <c r="B12" s="42" t="s">
        <v>367</v>
      </c>
      <c r="C12" s="29" t="s">
        <v>268</v>
      </c>
      <c r="D12" s="29" t="s">
        <v>268</v>
      </c>
      <c r="E12" s="29" t="s">
        <v>269</v>
      </c>
      <c r="F12" s="29" t="s">
        <v>268</v>
      </c>
      <c r="G12" s="61"/>
    </row>
    <row r="13" spans="2:7" ht="31.5" customHeight="1" x14ac:dyDescent="0.25">
      <c r="B13" s="26" t="s">
        <v>368</v>
      </c>
      <c r="C13" s="28" t="s">
        <v>369</v>
      </c>
      <c r="D13" s="28" t="s">
        <v>369</v>
      </c>
      <c r="E13" s="28" t="s">
        <v>369</v>
      </c>
      <c r="F13" s="29" t="s">
        <v>370</v>
      </c>
      <c r="G13" s="61"/>
    </row>
    <row r="14" spans="2:7" ht="31.5" customHeight="1" x14ac:dyDescent="0.25">
      <c r="B14" s="26" t="s">
        <v>371</v>
      </c>
      <c r="C14" s="29" t="s">
        <v>372</v>
      </c>
      <c r="D14" s="29" t="s">
        <v>372</v>
      </c>
      <c r="E14" s="28" t="s">
        <v>373</v>
      </c>
      <c r="F14" s="28" t="s">
        <v>167</v>
      </c>
      <c r="G14" s="61"/>
    </row>
    <row r="15" spans="2:7" ht="31.5" customHeight="1" x14ac:dyDescent="0.25">
      <c r="B15" s="26" t="s">
        <v>374</v>
      </c>
      <c r="C15" s="28" t="s">
        <v>375</v>
      </c>
      <c r="D15" s="28" t="s">
        <v>201</v>
      </c>
      <c r="E15" s="28" t="s">
        <v>167</v>
      </c>
      <c r="F15" s="28" t="s">
        <v>167</v>
      </c>
      <c r="G15" s="61"/>
    </row>
    <row r="16" spans="2:7" ht="31.5" customHeight="1" x14ac:dyDescent="0.25">
      <c r="B16" s="42" t="s">
        <v>376</v>
      </c>
      <c r="C16" s="28" t="s">
        <v>377</v>
      </c>
      <c r="D16" s="28" t="s">
        <v>377</v>
      </c>
      <c r="E16" s="29" t="s">
        <v>378</v>
      </c>
      <c r="F16" s="28" t="s">
        <v>379</v>
      </c>
      <c r="G16" s="61" t="s">
        <v>380</v>
      </c>
    </row>
    <row r="17" spans="2:7" ht="31.5" customHeight="1" x14ac:dyDescent="0.25">
      <c r="B17" s="26" t="s">
        <v>381</v>
      </c>
      <c r="C17" s="29" t="s">
        <v>382</v>
      </c>
      <c r="D17" s="29" t="s">
        <v>382</v>
      </c>
      <c r="E17" s="29" t="s">
        <v>383</v>
      </c>
      <c r="F17" s="28" t="s">
        <v>384</v>
      </c>
      <c r="G17" s="61" t="s">
        <v>385</v>
      </c>
    </row>
    <row r="18" spans="2:7" ht="31.5" customHeight="1" x14ac:dyDescent="0.25">
      <c r="B18" s="26" t="s">
        <v>386</v>
      </c>
      <c r="C18" s="29" t="s">
        <v>387</v>
      </c>
      <c r="D18" s="29" t="s">
        <v>387</v>
      </c>
      <c r="E18" s="28" t="s">
        <v>388</v>
      </c>
      <c r="F18" s="28" t="s">
        <v>167</v>
      </c>
      <c r="G18" s="61" t="s">
        <v>389</v>
      </c>
    </row>
    <row r="19" spans="2:7" ht="31.5" customHeight="1" x14ac:dyDescent="0.25">
      <c r="B19" s="26" t="s">
        <v>390</v>
      </c>
      <c r="C19" s="28" t="s">
        <v>391</v>
      </c>
      <c r="D19" s="28" t="s">
        <v>391</v>
      </c>
      <c r="E19" s="28" t="s">
        <v>392</v>
      </c>
      <c r="F19" s="28" t="s">
        <v>393</v>
      </c>
      <c r="G19" s="61" t="s">
        <v>394</v>
      </c>
    </row>
  </sheetData>
  <mergeCells count="1">
    <mergeCell ref="B2:G2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25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2" customWidth="1"/>
    <col min="3" max="3" width="30" customWidth="1"/>
    <col min="4" max="6" width="14" customWidth="1"/>
    <col min="7" max="7" width="18" customWidth="1"/>
    <col min="8" max="8" width="22" customWidth="1"/>
  </cols>
  <sheetData>
    <row r="2" spans="2:8" ht="31.5" customHeight="1" x14ac:dyDescent="0.25">
      <c r="B2" s="14" t="s">
        <v>395</v>
      </c>
      <c r="C2" s="14"/>
      <c r="D2" s="14"/>
      <c r="E2" s="14"/>
      <c r="F2" s="14"/>
      <c r="G2" s="14"/>
      <c r="H2" s="14"/>
    </row>
    <row r="3" spans="2:8" ht="17.25" x14ac:dyDescent="0.25">
      <c r="B3" s="77" t="s">
        <v>396</v>
      </c>
      <c r="C3" s="77"/>
      <c r="D3" s="77"/>
      <c r="E3" s="77"/>
      <c r="F3" s="77"/>
      <c r="G3" s="77"/>
      <c r="H3" s="77"/>
    </row>
    <row r="5" spans="2:8" ht="31.5" customHeight="1" x14ac:dyDescent="0.25">
      <c r="B5" s="15" t="s">
        <v>397</v>
      </c>
      <c r="C5" s="15" t="s">
        <v>398</v>
      </c>
      <c r="D5" s="15" t="s">
        <v>399</v>
      </c>
      <c r="E5" s="15" t="s">
        <v>400</v>
      </c>
      <c r="F5" s="15" t="s">
        <v>401</v>
      </c>
      <c r="G5" s="15" t="s">
        <v>402</v>
      </c>
      <c r="H5" s="15" t="s">
        <v>403</v>
      </c>
    </row>
    <row r="6" spans="2:8" ht="31.5" customHeight="1" x14ac:dyDescent="0.25">
      <c r="B6" s="26" t="s">
        <v>404</v>
      </c>
      <c r="C6" s="47" t="s">
        <v>405</v>
      </c>
      <c r="D6" s="18">
        <v>4</v>
      </c>
      <c r="E6" s="18">
        <v>4</v>
      </c>
      <c r="F6" s="62">
        <f t="shared" ref="F6:F23" si="0">D6*E6</f>
        <v>16</v>
      </c>
      <c r="G6" s="63" t="s">
        <v>406</v>
      </c>
      <c r="H6" s="45" t="s">
        <v>407</v>
      </c>
    </row>
    <row r="7" spans="2:8" ht="31.5" customHeight="1" x14ac:dyDescent="0.25">
      <c r="B7" s="26" t="s">
        <v>404</v>
      </c>
      <c r="C7" s="47" t="s">
        <v>408</v>
      </c>
      <c r="D7" s="18">
        <v>3</v>
      </c>
      <c r="E7" s="18">
        <v>3</v>
      </c>
      <c r="F7" s="64">
        <f t="shared" si="0"/>
        <v>9</v>
      </c>
      <c r="G7" s="63" t="s">
        <v>38</v>
      </c>
      <c r="H7" s="45" t="s">
        <v>409</v>
      </c>
    </row>
    <row r="8" spans="2:8" ht="31.5" customHeight="1" x14ac:dyDescent="0.25">
      <c r="B8" s="26" t="s">
        <v>404</v>
      </c>
      <c r="C8" s="47" t="s">
        <v>410</v>
      </c>
      <c r="D8" s="18">
        <v>3</v>
      </c>
      <c r="E8" s="18">
        <v>5</v>
      </c>
      <c r="F8" s="62">
        <f t="shared" si="0"/>
        <v>15</v>
      </c>
      <c r="G8" s="63" t="s">
        <v>39</v>
      </c>
      <c r="H8" s="45" t="s">
        <v>411</v>
      </c>
    </row>
    <row r="9" spans="2:8" ht="31.5" customHeight="1" x14ac:dyDescent="0.25">
      <c r="B9" s="26" t="s">
        <v>412</v>
      </c>
      <c r="C9" s="45" t="s">
        <v>413</v>
      </c>
      <c r="D9" s="18">
        <v>3</v>
      </c>
      <c r="E9" s="18">
        <v>3</v>
      </c>
      <c r="F9" s="64">
        <f t="shared" si="0"/>
        <v>9</v>
      </c>
      <c r="G9" s="63" t="s">
        <v>406</v>
      </c>
      <c r="H9" s="45" t="s">
        <v>414</v>
      </c>
    </row>
    <row r="10" spans="2:8" ht="31.5" customHeight="1" x14ac:dyDescent="0.25">
      <c r="B10" s="26" t="s">
        <v>412</v>
      </c>
      <c r="C10" s="45" t="s">
        <v>415</v>
      </c>
      <c r="D10" s="18">
        <v>3</v>
      </c>
      <c r="E10" s="18">
        <v>2</v>
      </c>
      <c r="F10" s="65">
        <f t="shared" si="0"/>
        <v>6</v>
      </c>
      <c r="G10" s="63" t="s">
        <v>38</v>
      </c>
      <c r="H10" s="45" t="s">
        <v>416</v>
      </c>
    </row>
    <row r="11" spans="2:8" ht="31.5" customHeight="1" x14ac:dyDescent="0.25">
      <c r="B11" s="26" t="s">
        <v>412</v>
      </c>
      <c r="C11" s="45" t="s">
        <v>417</v>
      </c>
      <c r="D11" s="18">
        <v>2</v>
      </c>
      <c r="E11" s="18">
        <v>2</v>
      </c>
      <c r="F11" s="65">
        <f t="shared" si="0"/>
        <v>4</v>
      </c>
      <c r="G11" s="63" t="s">
        <v>39</v>
      </c>
      <c r="H11" s="45" t="s">
        <v>418</v>
      </c>
    </row>
    <row r="12" spans="2:8" ht="31.5" customHeight="1" x14ac:dyDescent="0.25">
      <c r="B12" s="42" t="s">
        <v>419</v>
      </c>
      <c r="C12" s="45" t="s">
        <v>420</v>
      </c>
      <c r="D12" s="18">
        <v>4</v>
      </c>
      <c r="E12" s="18">
        <v>3</v>
      </c>
      <c r="F12" s="64">
        <f t="shared" si="0"/>
        <v>12</v>
      </c>
      <c r="G12" s="63" t="s">
        <v>406</v>
      </c>
      <c r="H12" s="45" t="s">
        <v>421</v>
      </c>
    </row>
    <row r="13" spans="2:8" ht="31.5" customHeight="1" x14ac:dyDescent="0.25">
      <c r="B13" s="42" t="s">
        <v>419</v>
      </c>
      <c r="C13" s="45" t="s">
        <v>422</v>
      </c>
      <c r="D13" s="18">
        <v>2</v>
      </c>
      <c r="E13" s="18">
        <v>2</v>
      </c>
      <c r="F13" s="65">
        <f t="shared" si="0"/>
        <v>4</v>
      </c>
      <c r="G13" s="63" t="s">
        <v>39</v>
      </c>
      <c r="H13" s="47" t="s">
        <v>423</v>
      </c>
    </row>
    <row r="14" spans="2:8" ht="31.5" customHeight="1" x14ac:dyDescent="0.25">
      <c r="B14" s="42" t="s">
        <v>419</v>
      </c>
      <c r="C14" s="45" t="s">
        <v>424</v>
      </c>
      <c r="D14" s="18">
        <v>1</v>
      </c>
      <c r="E14" s="18">
        <v>2</v>
      </c>
      <c r="F14" s="66">
        <f t="shared" si="0"/>
        <v>2</v>
      </c>
      <c r="G14" s="63" t="s">
        <v>38</v>
      </c>
      <c r="H14" s="45" t="s">
        <v>425</v>
      </c>
    </row>
    <row r="15" spans="2:8" ht="31.5" customHeight="1" x14ac:dyDescent="0.25">
      <c r="B15" s="26" t="s">
        <v>426</v>
      </c>
      <c r="C15" s="45" t="s">
        <v>427</v>
      </c>
      <c r="D15" s="18">
        <v>3</v>
      </c>
      <c r="E15" s="18">
        <v>2</v>
      </c>
      <c r="F15" s="65">
        <f t="shared" si="0"/>
        <v>6</v>
      </c>
      <c r="G15" s="67" t="s">
        <v>428</v>
      </c>
      <c r="H15" s="45" t="s">
        <v>429</v>
      </c>
    </row>
    <row r="16" spans="2:8" ht="31.5" customHeight="1" x14ac:dyDescent="0.25">
      <c r="B16" s="26" t="s">
        <v>430</v>
      </c>
      <c r="C16" s="45" t="s">
        <v>431</v>
      </c>
      <c r="D16" s="18">
        <v>4</v>
      </c>
      <c r="E16" s="18">
        <v>2</v>
      </c>
      <c r="F16" s="65">
        <f t="shared" si="0"/>
        <v>8</v>
      </c>
      <c r="G16" s="63" t="s">
        <v>406</v>
      </c>
      <c r="H16" s="47" t="s">
        <v>432</v>
      </c>
    </row>
    <row r="17" spans="2:8" ht="31.5" customHeight="1" x14ac:dyDescent="0.25">
      <c r="B17" s="26" t="s">
        <v>430</v>
      </c>
      <c r="C17" s="45" t="s">
        <v>433</v>
      </c>
      <c r="D17" s="18">
        <v>2</v>
      </c>
      <c r="E17" s="18">
        <v>3</v>
      </c>
      <c r="F17" s="65">
        <f t="shared" si="0"/>
        <v>6</v>
      </c>
      <c r="G17" s="67" t="s">
        <v>428</v>
      </c>
      <c r="H17" s="45" t="s">
        <v>434</v>
      </c>
    </row>
    <row r="18" spans="2:8" ht="31.5" customHeight="1" x14ac:dyDescent="0.25">
      <c r="B18" s="26" t="s">
        <v>435</v>
      </c>
      <c r="C18" s="47" t="s">
        <v>436</v>
      </c>
      <c r="D18" s="18">
        <v>3</v>
      </c>
      <c r="E18" s="18">
        <v>2</v>
      </c>
      <c r="F18" s="65">
        <f t="shared" si="0"/>
        <v>6</v>
      </c>
      <c r="G18" s="67" t="s">
        <v>428</v>
      </c>
      <c r="H18" s="45" t="s">
        <v>437</v>
      </c>
    </row>
    <row r="19" spans="2:8" ht="31.5" customHeight="1" x14ac:dyDescent="0.25">
      <c r="B19" s="26" t="s">
        <v>438</v>
      </c>
      <c r="C19" s="47" t="s">
        <v>439</v>
      </c>
      <c r="D19" s="18">
        <v>3</v>
      </c>
      <c r="E19" s="18">
        <v>1</v>
      </c>
      <c r="F19" s="66">
        <f t="shared" si="0"/>
        <v>3</v>
      </c>
      <c r="G19" s="63" t="s">
        <v>406</v>
      </c>
      <c r="H19" s="45" t="s">
        <v>440</v>
      </c>
    </row>
    <row r="20" spans="2:8" ht="31.5" customHeight="1" x14ac:dyDescent="0.25">
      <c r="B20" s="26" t="s">
        <v>438</v>
      </c>
      <c r="C20" s="45" t="s">
        <v>441</v>
      </c>
      <c r="D20" s="18">
        <v>4</v>
      </c>
      <c r="E20" s="18">
        <v>2</v>
      </c>
      <c r="F20" s="65">
        <f t="shared" si="0"/>
        <v>8</v>
      </c>
      <c r="G20" s="63" t="s">
        <v>38</v>
      </c>
      <c r="H20" s="45" t="s">
        <v>442</v>
      </c>
    </row>
    <row r="21" spans="2:8" ht="31.5" customHeight="1" x14ac:dyDescent="0.25">
      <c r="B21" s="26" t="s">
        <v>443</v>
      </c>
      <c r="C21" s="47" t="s">
        <v>444</v>
      </c>
      <c r="D21" s="18">
        <v>5</v>
      </c>
      <c r="E21" s="18">
        <v>5</v>
      </c>
      <c r="F21" s="62">
        <f t="shared" si="0"/>
        <v>25</v>
      </c>
      <c r="G21" s="63" t="s">
        <v>39</v>
      </c>
      <c r="H21" s="45" t="s">
        <v>445</v>
      </c>
    </row>
    <row r="22" spans="2:8" ht="31.5" customHeight="1" x14ac:dyDescent="0.25">
      <c r="B22" s="26" t="s">
        <v>446</v>
      </c>
      <c r="C22" s="45" t="s">
        <v>447</v>
      </c>
      <c r="D22" s="18">
        <v>3</v>
      </c>
      <c r="E22" s="18">
        <v>3</v>
      </c>
      <c r="F22" s="64">
        <f t="shared" si="0"/>
        <v>9</v>
      </c>
      <c r="G22" s="63" t="s">
        <v>406</v>
      </c>
      <c r="H22" s="45" t="s">
        <v>448</v>
      </c>
    </row>
    <row r="23" spans="2:8" ht="31.5" customHeight="1" x14ac:dyDescent="0.25">
      <c r="B23" s="26" t="s">
        <v>449</v>
      </c>
      <c r="C23" s="45" t="s">
        <v>450</v>
      </c>
      <c r="D23" s="18">
        <v>2</v>
      </c>
      <c r="E23" s="18">
        <v>4</v>
      </c>
      <c r="F23" s="65">
        <f t="shared" si="0"/>
        <v>8</v>
      </c>
      <c r="G23" s="67" t="s">
        <v>428</v>
      </c>
      <c r="H23" s="45" t="s">
        <v>451</v>
      </c>
    </row>
    <row r="25" spans="2:8" ht="26.25" x14ac:dyDescent="0.25">
      <c r="B25" s="17" t="s">
        <v>452</v>
      </c>
      <c r="C25" s="68" t="s">
        <v>453</v>
      </c>
      <c r="D25" s="69" t="s">
        <v>454</v>
      </c>
      <c r="E25" s="70" t="s">
        <v>455</v>
      </c>
      <c r="F25" s="71" t="s">
        <v>456</v>
      </c>
    </row>
  </sheetData>
  <mergeCells count="2">
    <mergeCell ref="B2:H2"/>
    <mergeCell ref="B3:H3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29"/>
  <sheetViews>
    <sheetView showGridLines="0" tabSelected="1" zoomScaleNormal="100" workbookViewId="0"/>
  </sheetViews>
  <sheetFormatPr defaultColWidth="8.7109375" defaultRowHeight="15" x14ac:dyDescent="0.25"/>
  <cols>
    <col min="1" max="2" width="3" customWidth="1"/>
    <col min="3" max="3" width="25" customWidth="1"/>
    <col min="4" max="4" width="35" customWidth="1"/>
    <col min="5" max="5" width="30" customWidth="1"/>
    <col min="6" max="6" width="25" customWidth="1"/>
  </cols>
  <sheetData>
    <row r="2" spans="2:6" ht="31.5" customHeight="1" x14ac:dyDescent="0.25">
      <c r="B2" s="14" t="s">
        <v>457</v>
      </c>
      <c r="C2" s="14"/>
      <c r="D2" s="14"/>
      <c r="E2" s="14"/>
      <c r="F2" s="14"/>
    </row>
    <row r="4" spans="2:6" ht="25.5" customHeight="1" x14ac:dyDescent="0.25">
      <c r="B4" s="78" t="s">
        <v>458</v>
      </c>
      <c r="C4" s="78"/>
      <c r="D4" s="78"/>
      <c r="E4" s="78"/>
      <c r="F4" s="78"/>
    </row>
    <row r="5" spans="2:6" ht="27.75" customHeight="1" x14ac:dyDescent="0.25">
      <c r="B5" s="16" t="s">
        <v>459</v>
      </c>
      <c r="C5" s="15" t="s">
        <v>460</v>
      </c>
      <c r="D5" s="15" t="s">
        <v>461</v>
      </c>
      <c r="E5" s="15" t="s">
        <v>462</v>
      </c>
      <c r="F5" s="15" t="s">
        <v>463</v>
      </c>
    </row>
    <row r="6" spans="2:6" ht="55.5" customHeight="1" x14ac:dyDescent="0.25">
      <c r="B6" s="72" t="s">
        <v>464</v>
      </c>
      <c r="C6" s="73" t="s">
        <v>465</v>
      </c>
      <c r="D6" s="74" t="s">
        <v>9</v>
      </c>
      <c r="E6" s="47" t="s">
        <v>466</v>
      </c>
      <c r="F6" s="40" t="s">
        <v>467</v>
      </c>
    </row>
    <row r="7" spans="2:6" ht="55.5" customHeight="1" x14ac:dyDescent="0.25">
      <c r="B7" s="72" t="s">
        <v>468</v>
      </c>
      <c r="C7" s="73" t="s">
        <v>469</v>
      </c>
      <c r="D7" s="74" t="s">
        <v>8</v>
      </c>
      <c r="E7" s="47" t="s">
        <v>470</v>
      </c>
      <c r="F7" s="40" t="s">
        <v>38</v>
      </c>
    </row>
    <row r="8" spans="2:6" ht="55.5" customHeight="1" x14ac:dyDescent="0.25">
      <c r="B8" s="72" t="s">
        <v>471</v>
      </c>
      <c r="C8" s="73" t="s">
        <v>472</v>
      </c>
      <c r="D8" s="74" t="s">
        <v>473</v>
      </c>
      <c r="E8" s="47" t="s">
        <v>474</v>
      </c>
      <c r="F8" s="40" t="s">
        <v>475</v>
      </c>
    </row>
    <row r="9" spans="2:6" ht="55.5" customHeight="1" x14ac:dyDescent="0.25">
      <c r="B9" s="72" t="s">
        <v>476</v>
      </c>
      <c r="C9" s="73" t="s">
        <v>477</v>
      </c>
      <c r="D9" s="74" t="s">
        <v>478</v>
      </c>
      <c r="E9" s="45" t="s">
        <v>479</v>
      </c>
      <c r="F9" s="41" t="s">
        <v>480</v>
      </c>
    </row>
    <row r="10" spans="2:6" ht="55.5" customHeight="1" x14ac:dyDescent="0.25">
      <c r="B10" s="72" t="s">
        <v>481</v>
      </c>
      <c r="C10" s="73" t="s">
        <v>482</v>
      </c>
      <c r="D10" s="74" t="s">
        <v>483</v>
      </c>
      <c r="E10" s="47" t="s">
        <v>484</v>
      </c>
      <c r="F10" s="40"/>
    </row>
    <row r="11" spans="2:6" ht="55.5" customHeight="1" x14ac:dyDescent="0.25">
      <c r="B11" s="72" t="s">
        <v>485</v>
      </c>
      <c r="C11" s="73" t="s">
        <v>486</v>
      </c>
      <c r="D11" s="74" t="s">
        <v>487</v>
      </c>
      <c r="E11" s="45" t="s">
        <v>488</v>
      </c>
      <c r="F11" s="40" t="s">
        <v>489</v>
      </c>
    </row>
    <row r="14" spans="2:6" ht="25.5" customHeight="1" x14ac:dyDescent="0.25">
      <c r="B14" s="78" t="s">
        <v>490</v>
      </c>
      <c r="C14" s="78"/>
      <c r="D14" s="78"/>
      <c r="E14" s="78"/>
      <c r="F14" s="78"/>
    </row>
    <row r="15" spans="2:6" ht="63.75" customHeight="1" x14ac:dyDescent="0.25">
      <c r="B15" s="75" t="s">
        <v>491</v>
      </c>
      <c r="C15" s="5" t="s">
        <v>492</v>
      </c>
      <c r="D15" s="5"/>
      <c r="E15" s="5"/>
      <c r="F15" s="5"/>
    </row>
    <row r="16" spans="2:6" ht="63.75" customHeight="1" x14ac:dyDescent="0.25">
      <c r="B16" s="75" t="s">
        <v>493</v>
      </c>
      <c r="C16" s="1" t="s">
        <v>494</v>
      </c>
      <c r="D16" s="1"/>
      <c r="E16" s="1"/>
      <c r="F16" s="1"/>
    </row>
    <row r="17" spans="2:6" ht="63.75" customHeight="1" x14ac:dyDescent="0.25">
      <c r="B17" s="75" t="s">
        <v>495</v>
      </c>
      <c r="C17" s="1" t="s">
        <v>496</v>
      </c>
      <c r="D17" s="1"/>
      <c r="E17" s="1"/>
      <c r="F17" s="1"/>
    </row>
    <row r="19" spans="2:6" ht="25.5" customHeight="1" x14ac:dyDescent="0.25">
      <c r="B19" s="10" t="s">
        <v>497</v>
      </c>
      <c r="C19" s="10"/>
      <c r="D19" s="10"/>
      <c r="E19" s="10"/>
      <c r="F19" s="10"/>
    </row>
    <row r="20" spans="2:6" ht="21.75" customHeight="1" x14ac:dyDescent="0.25">
      <c r="B20" s="5" t="s">
        <v>498</v>
      </c>
      <c r="C20" s="5"/>
      <c r="D20" s="5"/>
      <c r="E20" s="5"/>
      <c r="F20" s="5"/>
    </row>
    <row r="21" spans="2:6" ht="21.75" customHeight="1" x14ac:dyDescent="0.25">
      <c r="B21" s="5" t="s">
        <v>499</v>
      </c>
      <c r="C21" s="5"/>
      <c r="D21" s="5"/>
      <c r="E21" s="5"/>
      <c r="F21" s="5"/>
    </row>
    <row r="22" spans="2:6" ht="21.75" customHeight="1" x14ac:dyDescent="0.25">
      <c r="B22" s="5" t="s">
        <v>500</v>
      </c>
      <c r="C22" s="5"/>
      <c r="D22" s="5"/>
      <c r="E22" s="5"/>
      <c r="F22" s="5"/>
    </row>
    <row r="23" spans="2:6" ht="21.75" customHeight="1" x14ac:dyDescent="0.25">
      <c r="B23" s="5" t="s">
        <v>501</v>
      </c>
      <c r="C23" s="5"/>
      <c r="D23" s="5"/>
      <c r="E23" s="5"/>
      <c r="F23" s="5"/>
    </row>
    <row r="24" spans="2:6" ht="21.75" customHeight="1" x14ac:dyDescent="0.25">
      <c r="B24" s="1" t="s">
        <v>502</v>
      </c>
      <c r="C24" s="1"/>
      <c r="D24" s="1"/>
      <c r="E24" s="1"/>
      <c r="F24" s="1"/>
    </row>
    <row r="25" spans="2:6" ht="21.75" customHeight="1" x14ac:dyDescent="0.25">
      <c r="B25" s="5" t="s">
        <v>503</v>
      </c>
      <c r="C25" s="5"/>
      <c r="D25" s="5"/>
      <c r="E25" s="5"/>
      <c r="F25" s="5"/>
    </row>
    <row r="26" spans="2:6" ht="21.75" customHeight="1" x14ac:dyDescent="0.25">
      <c r="B26" s="5" t="s">
        <v>504</v>
      </c>
      <c r="C26" s="5"/>
      <c r="D26" s="5"/>
      <c r="E26" s="5"/>
      <c r="F26" s="5"/>
    </row>
    <row r="27" spans="2:6" ht="21.75" customHeight="1" x14ac:dyDescent="0.25">
      <c r="B27" s="5" t="s">
        <v>505</v>
      </c>
      <c r="C27" s="5"/>
      <c r="D27" s="5"/>
      <c r="E27" s="5"/>
      <c r="F27" s="5"/>
    </row>
    <row r="28" spans="2:6" ht="21.75" customHeight="1" x14ac:dyDescent="0.25">
      <c r="B28" s="5" t="s">
        <v>506</v>
      </c>
      <c r="C28" s="5"/>
      <c r="D28" s="5"/>
      <c r="E28" s="5"/>
      <c r="F28" s="5"/>
    </row>
    <row r="29" spans="2:6" ht="21.75" customHeight="1" x14ac:dyDescent="0.25">
      <c r="B29" s="5" t="s">
        <v>507</v>
      </c>
      <c r="C29" s="5"/>
      <c r="D29" s="5"/>
      <c r="E29" s="5"/>
      <c r="F29" s="5"/>
    </row>
  </sheetData>
  <mergeCells count="17">
    <mergeCell ref="B28:F28"/>
    <mergeCell ref="B29:F29"/>
    <mergeCell ref="B23:F23"/>
    <mergeCell ref="B24:F24"/>
    <mergeCell ref="B25:F25"/>
    <mergeCell ref="B26:F26"/>
    <mergeCell ref="B27:F27"/>
    <mergeCell ref="C17:F17"/>
    <mergeCell ref="B19:F19"/>
    <mergeCell ref="B20:F20"/>
    <mergeCell ref="B21:F21"/>
    <mergeCell ref="B22:F22"/>
    <mergeCell ref="B2:F2"/>
    <mergeCell ref="B4:F4"/>
    <mergeCell ref="B14:F14"/>
    <mergeCell ref="C15:F15"/>
    <mergeCell ref="C16:F16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00_요약</vt:lpstr>
      <vt:lpstr>01_평가방법론</vt:lpstr>
      <vt:lpstr>02_평가매트릭스</vt:lpstr>
      <vt:lpstr>03_사양비교</vt:lpstr>
      <vt:lpstr>04_가격분석</vt:lpstr>
      <vt:lpstr>05_TCO_5년</vt:lpstr>
      <vt:lpstr>06_상업조건</vt:lpstr>
      <vt:lpstr>07_리스크</vt:lpstr>
      <vt:lpstr>08_권고사항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1</cp:revision>
  <dcterms:created xsi:type="dcterms:W3CDTF">2026-04-25T02:40:39Z</dcterms:created>
  <dcterms:modified xsi:type="dcterms:W3CDTF">2026-05-14T01:30:18Z</dcterms:modified>
  <dc:language>en-US</dc:language>
</cp:coreProperties>
</file>