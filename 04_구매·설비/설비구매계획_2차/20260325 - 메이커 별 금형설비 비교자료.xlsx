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STOP\Documents\설비구매계획2\"/>
    </mc:Choice>
  </mc:AlternateContent>
  <xr:revisionPtr revIDLastSave="0" documentId="13_ncr:1_{320CB982-32FA-4A08-AE14-85E38EA4B5D2}" xr6:coauthVersionLast="47" xr6:coauthVersionMax="47" xr10:uidLastSave="{00000000-0000-0000-0000-000000000000}"/>
  <bookViews>
    <workbookView xWindow="28680" yWindow="315" windowWidth="29040" windowHeight="15240" tabRatio="500" xr2:uid="{00000000-000D-0000-FFFF-FFFF00000000}"/>
  </bookViews>
  <sheets>
    <sheet name="종합요약" sheetId="1" r:id="rId1"/>
    <sheet name="가공기 비교" sheetId="2" r:id="rId2"/>
    <sheet name="방전기 비교" sheetId="3" r:id="rId3"/>
    <sheet name="와이어커팅기 비교" sheetId="4" r:id="rId4"/>
    <sheet name="USD 가격순위" sheetId="5" r:id="rId5"/>
    <sheet name="거래조건 비교" sheetId="6" r:id="rId6"/>
    <sheet name="GF 자동화 상세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8" i="1" l="1"/>
  <c r="G27" i="1"/>
  <c r="G26" i="1"/>
  <c r="G25" i="1"/>
  <c r="G14" i="1"/>
  <c r="G24" i="1"/>
  <c r="G23" i="1"/>
  <c r="G22" i="1"/>
  <c r="G21" i="1"/>
  <c r="G20" i="1"/>
  <c r="G19" i="1"/>
  <c r="G18" i="1"/>
  <c r="G17" i="1"/>
  <c r="G16" i="1"/>
  <c r="G15" i="1"/>
  <c r="G13" i="1"/>
  <c r="G12" i="1"/>
  <c r="G11" i="1"/>
  <c r="G8" i="1"/>
  <c r="G7" i="1"/>
  <c r="G6" i="1"/>
  <c r="G5" i="1"/>
</calcChain>
</file>

<file path=xl/sharedStrings.xml><?xml version="1.0" encoding="utf-8"?>
<sst xmlns="http://schemas.openxmlformats.org/spreadsheetml/2006/main" count="1097" uniqueCount="441">
  <si>
    <t>설비구매 제품별 비교분석 종합요약</t>
  </si>
  <si>
    <r>
      <rPr>
        <sz val="10"/>
        <color rgb="FF666666"/>
        <rFont val="맑은 고딕"/>
        <family val="3"/>
        <charset val="129"/>
      </rPr>
      <t>8</t>
    </r>
    <r>
      <rPr>
        <sz val="10"/>
        <color rgb="FF666666"/>
        <rFont val="DejaVu Sans"/>
        <family val="2"/>
      </rPr>
      <t xml:space="preserve">개 제조사 </t>
    </r>
    <r>
      <rPr>
        <sz val="10"/>
        <color rgb="FF666666"/>
        <rFont val="맑은 고딕"/>
        <family val="3"/>
        <charset val="129"/>
      </rPr>
      <t>24</t>
    </r>
    <r>
      <rPr>
        <sz val="10"/>
        <color rgb="FF666666"/>
        <rFont val="DejaVu Sans"/>
        <family val="2"/>
      </rPr>
      <t xml:space="preserve">건 </t>
    </r>
    <r>
      <rPr>
        <sz val="10"/>
        <color rgb="FF666666"/>
        <rFont val="맑은 고딕"/>
        <family val="3"/>
        <charset val="129"/>
      </rPr>
      <t xml:space="preserve">| </t>
    </r>
    <r>
      <rPr>
        <sz val="10"/>
        <color rgb="FF666666"/>
        <rFont val="DejaVu Sans"/>
        <family val="2"/>
      </rPr>
      <t>환율기준</t>
    </r>
    <r>
      <rPr>
        <sz val="10"/>
        <color rgb="FF666666"/>
        <rFont val="맑은 고딕"/>
        <family val="3"/>
        <charset val="129"/>
      </rPr>
      <t>: 2026.03.15 (1 SGD=0.78 USD, 1 JPY=0.00627 USD, 1 KRW=0.000689 USD)</t>
    </r>
  </si>
  <si>
    <t>FOB</t>
  </si>
  <si>
    <t>No</t>
  </si>
  <si>
    <t>제조사</t>
  </si>
  <si>
    <t>모델명</t>
  </si>
  <si>
    <t>제품유형</t>
  </si>
  <si>
    <r>
      <rPr>
        <b/>
        <sz val="11"/>
        <color rgb="FFFFFFFF"/>
        <rFont val="DejaVu Sans"/>
        <family val="2"/>
      </rPr>
      <t xml:space="preserve">스트로크 </t>
    </r>
    <r>
      <rPr>
        <b/>
        <sz val="11"/>
        <color rgb="FFFFFFFF"/>
        <rFont val="DejaVu Sans"/>
        <family val="2"/>
        <charset val="1"/>
      </rPr>
      <t>(X×Y×Z)</t>
    </r>
  </si>
  <si>
    <r>
      <rPr>
        <b/>
        <sz val="11"/>
        <color rgb="FFFFFFFF"/>
        <rFont val="맑은 고딕"/>
        <family val="3"/>
        <charset val="129"/>
      </rPr>
      <t xml:space="preserve">USD </t>
    </r>
    <r>
      <rPr>
        <b/>
        <sz val="11"/>
        <color rgb="FFFFFFFF"/>
        <rFont val="DejaVu Sans"/>
        <family val="2"/>
      </rPr>
      <t>단가</t>
    </r>
  </si>
  <si>
    <r>
      <rPr>
        <b/>
        <sz val="11"/>
        <color rgb="FFFFFFFF"/>
        <rFont val="DejaVu Sans"/>
        <family val="2"/>
      </rPr>
      <t xml:space="preserve">옵션 후 </t>
    </r>
    <r>
      <rPr>
        <b/>
        <sz val="11"/>
        <color rgb="FFFFFFFF"/>
        <rFont val="DejaVu Sans"/>
        <family val="2"/>
        <charset val="1"/>
      </rPr>
      <t xml:space="preserve">USD </t>
    </r>
    <r>
      <rPr>
        <b/>
        <sz val="11"/>
        <color rgb="FFFFFFFF"/>
        <rFont val="DejaVu Sans"/>
        <family val="2"/>
      </rPr>
      <t>단가</t>
    </r>
  </si>
  <si>
    <t>수량</t>
  </si>
  <si>
    <t>출하조건</t>
  </si>
  <si>
    <r>
      <rPr>
        <b/>
        <sz val="11"/>
        <color rgb="FFFFFFFF"/>
        <rFont val="DejaVu Sans"/>
        <family val="2"/>
      </rPr>
      <t>원산지</t>
    </r>
    <r>
      <rPr>
        <b/>
        <sz val="11"/>
        <color rgb="FFFFFFFF"/>
        <rFont val="DejaVu Sans"/>
        <family val="2"/>
        <charset val="1"/>
      </rPr>
      <t>/</t>
    </r>
    <r>
      <rPr>
        <b/>
        <sz val="11"/>
        <color rgb="FFFFFFFF"/>
        <rFont val="DejaVu Sans"/>
        <family val="2"/>
      </rPr>
      <t>출하지</t>
    </r>
  </si>
  <si>
    <t>Sodick</t>
  </si>
  <si>
    <t>GS540L+</t>
  </si>
  <si>
    <t>가공기</t>
  </si>
  <si>
    <t>520 x 420 x 300 mm</t>
  </si>
  <si>
    <t>FOB China</t>
  </si>
  <si>
    <t>China</t>
  </si>
  <si>
    <r>
      <rPr>
        <sz val="10"/>
        <rFont val="맑은 고딕"/>
        <family val="3"/>
        <charset val="129"/>
      </rPr>
      <t>UX650L (</t>
    </r>
    <r>
      <rPr>
        <sz val="10"/>
        <rFont val="DejaVu Sans"/>
        <family val="2"/>
      </rPr>
      <t>고급</t>
    </r>
    <r>
      <rPr>
        <sz val="10"/>
        <rFont val="맑은 고딕"/>
        <family val="3"/>
        <charset val="129"/>
      </rPr>
      <t>)</t>
    </r>
  </si>
  <si>
    <t>650 x 550 x 300 mm</t>
  </si>
  <si>
    <t>FOB Japan</t>
  </si>
  <si>
    <t>Japan</t>
  </si>
  <si>
    <t>DN Solutions</t>
  </si>
  <si>
    <t>T4000HS</t>
  </si>
  <si>
    <t>520 X 400 X 350 mm</t>
  </si>
  <si>
    <t>DDP Korea</t>
  </si>
  <si>
    <t>Republic of Korea</t>
  </si>
  <si>
    <t xml:space="preserve">DN Solution </t>
  </si>
  <si>
    <t>DNM4000</t>
  </si>
  <si>
    <t>520 X 400 X 480 mm</t>
  </si>
  <si>
    <t>Makino</t>
  </si>
  <si>
    <t>F3</t>
  </si>
  <si>
    <t>350 x 300 x 300 mm</t>
  </si>
  <si>
    <t>CIF Hai Phong</t>
  </si>
  <si>
    <t xml:space="preserve">Singapore </t>
  </si>
  <si>
    <t>V33i</t>
  </si>
  <si>
    <t>GF</t>
  </si>
  <si>
    <t>HSM 500</t>
  </si>
  <si>
    <t>500 x 450 x 350 mm</t>
  </si>
  <si>
    <t>코마텍</t>
  </si>
  <si>
    <t>KT420</t>
  </si>
  <si>
    <t>560 x 420 x 300 mm</t>
  </si>
  <si>
    <t>FOB Busan</t>
  </si>
  <si>
    <t>KT420A</t>
  </si>
  <si>
    <t>560 x 420 x 480 mm</t>
  </si>
  <si>
    <t>AL40G</t>
  </si>
  <si>
    <t>방전기</t>
  </si>
  <si>
    <t>400 x 300 x 270 mm</t>
  </si>
  <si>
    <t>FOB Thailand</t>
  </si>
  <si>
    <t>Thailand</t>
  </si>
  <si>
    <t>AL60G</t>
  </si>
  <si>
    <t>600 x 400 x 370 mm</t>
  </si>
  <si>
    <t>Edge3i</t>
  </si>
  <si>
    <t>350 x 250 x 250 mm</t>
  </si>
  <si>
    <t>FORM P 350</t>
  </si>
  <si>
    <t>350 x 250 x 300 mm</t>
  </si>
  <si>
    <t>AL400G</t>
  </si>
  <si>
    <t>와이어커팅기</t>
  </si>
  <si>
    <t>400 x 300 x 250 mm</t>
  </si>
  <si>
    <t>AL600G</t>
  </si>
  <si>
    <t>600 x 400 x 350 mm</t>
  </si>
  <si>
    <t>U6</t>
  </si>
  <si>
    <t>U3</t>
  </si>
  <si>
    <t>370 x 270 x 220 mm</t>
  </si>
  <si>
    <t>CUT E 350</t>
  </si>
  <si>
    <t>CUT E 600</t>
  </si>
  <si>
    <t>화천</t>
  </si>
  <si>
    <t>SIRIUS-UM+</t>
  </si>
  <si>
    <t>750 x 500 x 450 mm</t>
  </si>
  <si>
    <t>DDP Vietnam</t>
  </si>
  <si>
    <t>SPM</t>
  </si>
  <si>
    <t>S43</t>
  </si>
  <si>
    <t>FOB Korea</t>
  </si>
  <si>
    <t>S64</t>
  </si>
  <si>
    <t>FANUC</t>
  </si>
  <si>
    <t>α-C600iC</t>
  </si>
  <si>
    <t>600 x 400 x 310 mm</t>
  </si>
  <si>
    <t>한국화낙 경유</t>
  </si>
  <si>
    <t>α-C800iC</t>
  </si>
  <si>
    <t>800 x 600 x 310 mm</t>
  </si>
  <si>
    <r>
      <rPr>
        <b/>
        <sz val="14"/>
        <color rgb="FF1F4E79"/>
        <rFont val="DejaVu Sans"/>
        <family val="2"/>
      </rPr>
      <t xml:space="preserve">가공기 </t>
    </r>
    <r>
      <rPr>
        <b/>
        <sz val="14"/>
        <color rgb="FF1F4E79"/>
        <rFont val="DejaVu Sans"/>
        <family val="2"/>
        <charset val="1"/>
      </rPr>
      <t xml:space="preserve">(Machining Center) </t>
    </r>
    <r>
      <rPr>
        <b/>
        <sz val="14"/>
        <color rgb="FF1F4E79"/>
        <rFont val="DejaVu Sans"/>
        <family val="2"/>
      </rPr>
      <t>비교분석</t>
    </r>
  </si>
  <si>
    <r>
      <rPr>
        <sz val="10"/>
        <color rgb="FF666666"/>
        <rFont val="DejaVu Sans"/>
        <family val="2"/>
      </rPr>
      <t>환율기준</t>
    </r>
    <r>
      <rPr>
        <sz val="10"/>
        <color rgb="FF666666"/>
        <rFont val="DejaVu Sans"/>
        <family val="2"/>
        <charset val="1"/>
      </rPr>
      <t>: 1 SGD=0.78 USD, 1 JPY=0.00627 USD, 1 KRW=0.000689 USD | 2026.03.15</t>
    </r>
  </si>
  <si>
    <t>항목</t>
  </si>
  <si>
    <t>Sodick
GS540L+</t>
  </si>
  <si>
    <t>Sodick
UX650L</t>
  </si>
  <si>
    <t>DN Solution T4000HS</t>
  </si>
  <si>
    <t>DN Solution DNM4000</t>
  </si>
  <si>
    <t>Makino
F3</t>
  </si>
  <si>
    <t>Makino
V33i</t>
  </si>
  <si>
    <t>GF
HSM 500</t>
  </si>
  <si>
    <r>
      <rPr>
        <b/>
        <sz val="11"/>
        <color rgb="FFFFFFFF"/>
        <rFont val="DejaVu Sans"/>
        <family val="2"/>
      </rPr>
      <t xml:space="preserve">코마텍
</t>
    </r>
    <r>
      <rPr>
        <b/>
        <sz val="11"/>
        <color rgb="FFFFFFFF"/>
        <rFont val="DejaVu Sans"/>
        <family val="2"/>
        <charset val="1"/>
      </rPr>
      <t>KT420</t>
    </r>
  </si>
  <si>
    <r>
      <rPr>
        <b/>
        <sz val="11"/>
        <color rgb="FFFFFFFF"/>
        <rFont val="DejaVu Sans"/>
        <family val="2"/>
      </rPr>
      <t xml:space="preserve">코마텍
</t>
    </r>
    <r>
      <rPr>
        <b/>
        <sz val="11"/>
        <color rgb="FFFFFFFF"/>
        <rFont val="DejaVu Sans"/>
        <family val="2"/>
        <charset val="1"/>
      </rPr>
      <t>KT420A</t>
    </r>
  </si>
  <si>
    <r>
      <rPr>
        <b/>
        <sz val="11"/>
        <color rgb="FFFFFFFF"/>
        <rFont val="DejaVu Sans"/>
        <family val="2"/>
      </rPr>
      <t xml:space="preserve">화천
</t>
    </r>
    <r>
      <rPr>
        <b/>
        <sz val="11"/>
        <color rgb="FFFFFFFF"/>
        <rFont val="DejaVu Sans"/>
        <family val="2"/>
        <charset val="1"/>
      </rPr>
      <t>SIRIUS-UM+</t>
    </r>
  </si>
  <si>
    <t>유형</t>
  </si>
  <si>
    <r>
      <rPr>
        <sz val="10"/>
        <rFont val="맑은 고딕"/>
        <family val="3"/>
        <charset val="129"/>
      </rPr>
      <t xml:space="preserve">CNC Linear Motor </t>
    </r>
    <r>
      <rPr>
        <sz val="10"/>
        <rFont val="DejaVu Sans"/>
        <family val="2"/>
      </rPr>
      <t>밀링</t>
    </r>
  </si>
  <si>
    <t>탭핑센터</t>
  </si>
  <si>
    <t>머시닝센터</t>
  </si>
  <si>
    <r>
      <rPr>
        <sz val="10"/>
        <rFont val="맑은 고딕"/>
        <family val="3"/>
        <charset val="129"/>
      </rPr>
      <t xml:space="preserve">CNC </t>
    </r>
    <r>
      <rPr>
        <sz val="10"/>
        <rFont val="DejaVu Sans"/>
        <family val="2"/>
      </rPr>
      <t>밀링</t>
    </r>
  </si>
  <si>
    <r>
      <rPr>
        <sz val="10"/>
        <rFont val="DejaVu Sans"/>
        <family val="2"/>
      </rPr>
      <t xml:space="preserve">고속 밀링 </t>
    </r>
    <r>
      <rPr>
        <sz val="10"/>
        <rFont val="DejaVu Sans"/>
        <family val="2"/>
        <charset val="1"/>
      </rPr>
      <t>(High Speed)</t>
    </r>
  </si>
  <si>
    <t>Vertical Tapping Center</t>
  </si>
  <si>
    <r>
      <rPr>
        <sz val="10"/>
        <rFont val="맑은 고딕"/>
        <family val="3"/>
        <charset val="129"/>
      </rPr>
      <t xml:space="preserve">CNC </t>
    </r>
    <r>
      <rPr>
        <sz val="10"/>
        <rFont val="DejaVu Sans"/>
        <family val="2"/>
      </rPr>
      <t>수직형 머시닝센터</t>
    </r>
  </si>
  <si>
    <r>
      <rPr>
        <b/>
        <sz val="10"/>
        <rFont val="DejaVu Sans"/>
        <family val="2"/>
      </rPr>
      <t xml:space="preserve">스트로크 </t>
    </r>
    <r>
      <rPr>
        <b/>
        <sz val="10"/>
        <rFont val="DejaVu Sans"/>
        <family val="2"/>
        <charset val="1"/>
      </rPr>
      <t>(X×Y×Z)</t>
    </r>
  </si>
  <si>
    <t>520 x 400 x 350 mm</t>
  </si>
  <si>
    <t>520 x 400 x 480 mm</t>
  </si>
  <si>
    <t>테이블 크기</t>
  </si>
  <si>
    <t>650 x 450 mm</t>
  </si>
  <si>
    <t>850 x 500 mm</t>
  </si>
  <si>
    <t>650 x 400 mm</t>
  </si>
  <si>
    <t>500 x 400 mm</t>
  </si>
  <si>
    <t>500 x 350 mm</t>
  </si>
  <si>
    <t>550 x 450 mm</t>
  </si>
  <si>
    <t>660 x 400 mm</t>
  </si>
  <si>
    <t>스핀들 속도</t>
  </si>
  <si>
    <t>18,000 rpm (BT30)</t>
  </si>
  <si>
    <t>20,000 rpm</t>
  </si>
  <si>
    <t>24,000 rpm (Fanuc 0i)</t>
  </si>
  <si>
    <t>20,000 rpm (Fanuc 0i)</t>
  </si>
  <si>
    <t>42,000 rpm (HSK-E40)</t>
  </si>
  <si>
    <t>24,000 rpm</t>
  </si>
  <si>
    <t>20,000 rpm (Fanuc 31i-B Plus)</t>
  </si>
  <si>
    <t>공구 매거진</t>
  </si>
  <si>
    <t>ATC 21T / BT30</t>
  </si>
  <si>
    <t>BT30 / 20T</t>
  </si>
  <si>
    <t>BT30 / 21T (Armless tyep)</t>
  </si>
  <si>
    <t>BT40 / 20T</t>
  </si>
  <si>
    <t>HSK-E40 / 36T</t>
  </si>
  <si>
    <t>BT30 / TURRET 28T</t>
  </si>
  <si>
    <t>BT30 / TWIN-ARM 26T</t>
  </si>
  <si>
    <r>
      <rPr>
        <sz val="10"/>
        <rFont val="맑은 고딕"/>
        <family val="3"/>
        <charset val="129"/>
      </rPr>
      <t>BBT-40 / 30T (</t>
    </r>
    <r>
      <rPr>
        <sz val="10"/>
        <rFont val="DejaVu Sans"/>
        <family val="2"/>
      </rPr>
      <t>서보모터 타입</t>
    </r>
    <r>
      <rPr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</si>
  <si>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 xml:space="preserve">CNC </t>
    </r>
    <r>
      <rPr>
        <b/>
        <sz val="10"/>
        <rFont val="DejaVu Sans"/>
        <family val="2"/>
      </rPr>
      <t>시스템</t>
    </r>
  </si>
  <si>
    <t>Sodick LN4S</t>
  </si>
  <si>
    <t>Fanuc 0i- Plus</t>
  </si>
  <si>
    <t>Makino Professional 6</t>
  </si>
  <si>
    <t>Heidenhain TNC7</t>
  </si>
  <si>
    <t>Mitsubishi M80A (10.4")</t>
  </si>
  <si>
    <t>Fanuc 31i-B Plus</t>
  </si>
  <si>
    <r>
      <rPr>
        <b/>
        <sz val="10"/>
        <rFont val="DejaVu Sans"/>
        <family val="2"/>
      </rPr>
      <t>원산지</t>
    </r>
    <r>
      <rPr>
        <b/>
        <sz val="10"/>
        <rFont val="DejaVu Sans"/>
        <family val="2"/>
        <charset val="1"/>
      </rPr>
      <t>/</t>
    </r>
    <r>
      <rPr>
        <b/>
        <sz val="10"/>
        <rFont val="DejaVu Sans"/>
        <family val="2"/>
      </rPr>
      <t>출하지</t>
    </r>
  </si>
  <si>
    <r>
      <rPr>
        <sz val="10"/>
        <rFont val="맑은 고딕"/>
        <family val="3"/>
        <charset val="129"/>
      </rPr>
      <t>Sodick (</t>
    </r>
    <r>
      <rPr>
        <sz val="10"/>
        <rFont val="DejaVu Sans"/>
        <family val="2"/>
      </rPr>
      <t>출하지 미명시</t>
    </r>
    <r>
      <rPr>
        <sz val="10"/>
        <rFont val="맑은 고딕"/>
        <family val="3"/>
        <charset val="129"/>
      </rPr>
      <t>)</t>
    </r>
  </si>
  <si>
    <t>Korea (DN Solutions)</t>
  </si>
  <si>
    <t>Japan/Singapore (Makino Asia)</t>
  </si>
  <si>
    <r>
      <rPr>
        <sz val="10"/>
        <rFont val="맑은 고딕"/>
        <family val="3"/>
        <charset val="129"/>
      </rPr>
      <t xml:space="preserve">Japan (METI </t>
    </r>
    <r>
      <rPr>
        <sz val="10"/>
        <rFont val="DejaVu Sans"/>
        <family val="2"/>
      </rPr>
      <t>승인 필요</t>
    </r>
    <r>
      <rPr>
        <sz val="10"/>
        <rFont val="맑은 고딕"/>
        <family val="3"/>
        <charset val="129"/>
      </rPr>
      <t>)</t>
    </r>
  </si>
  <si>
    <t>Switzerland (GF Machining Solutions)</t>
  </si>
  <si>
    <r>
      <rPr>
        <sz val="10"/>
        <rFont val="맑은 고딕"/>
        <family val="3"/>
        <charset val="129"/>
      </rPr>
      <t>Republic of Korea (</t>
    </r>
    <r>
      <rPr>
        <sz val="10"/>
        <rFont val="DejaVu Sans"/>
        <family val="2"/>
      </rPr>
      <t>화천</t>
    </r>
    <r>
      <rPr>
        <sz val="10"/>
        <rFont val="맑은 고딕"/>
        <family val="3"/>
        <charset val="129"/>
      </rPr>
      <t>)</t>
    </r>
  </si>
  <si>
    <r>
      <rPr>
        <b/>
        <sz val="10"/>
        <rFont val="DejaVu Sans"/>
        <family val="2"/>
      </rPr>
      <t xml:space="preserve">출하조건 </t>
    </r>
    <r>
      <rPr>
        <b/>
        <sz val="10"/>
        <rFont val="DejaVu Sans"/>
        <family val="2"/>
        <charset val="1"/>
      </rPr>
      <t>(Incoterms)</t>
    </r>
  </si>
  <si>
    <r>
      <rPr>
        <sz val="10"/>
        <rFont val="맑은 고딕"/>
        <family val="3"/>
        <charset val="129"/>
      </rPr>
      <t>FOB (</t>
    </r>
    <r>
      <rPr>
        <sz val="10"/>
        <rFont val="DejaVu Sans"/>
        <family val="2"/>
      </rPr>
      <t>출하지 미명시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</si>
  <si>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DDP (</t>
    </r>
    <r>
      <rPr>
        <sz val="10"/>
        <rFont val="DejaVu Sans"/>
        <family val="2"/>
      </rPr>
      <t>베트남 현지 운송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설치 포함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</si>
  <si>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FOB (GF Korea </t>
    </r>
    <r>
      <rPr>
        <sz val="10"/>
        <rFont val="DejaVu Sans"/>
        <family val="2"/>
      </rPr>
      <t>경유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</si>
  <si>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DDP (</t>
    </r>
    <r>
      <rPr>
        <sz val="10"/>
        <rFont val="DejaVu Sans"/>
        <family val="2"/>
      </rPr>
      <t>공장 도착 및 설치 후 인도</t>
    </r>
    <r>
      <rPr>
        <sz val="10"/>
        <rFont val="맑은 고딕"/>
        <family val="3"/>
        <charset val="129"/>
      </rPr>
      <t>)</t>
    </r>
  </si>
  <si>
    <r>
      <rPr>
        <b/>
        <sz val="10"/>
        <rFont val="DejaVu Sans"/>
        <family val="2"/>
      </rPr>
      <t xml:space="preserve">칩 컨베이어 </t>
    </r>
    <r>
      <rPr>
        <b/>
        <sz val="10"/>
        <rFont val="DejaVu Sans"/>
        <family val="2"/>
        <charset val="1"/>
      </rPr>
      <t>(Scrapper type)</t>
    </r>
  </si>
  <si>
    <t>불가</t>
  </si>
  <si>
    <t>옵션</t>
  </si>
  <si>
    <r>
      <rPr>
        <b/>
        <sz val="10"/>
        <rFont val="DejaVu Sans"/>
        <family val="2"/>
      </rPr>
      <t xml:space="preserve">이동형 </t>
    </r>
    <r>
      <rPr>
        <b/>
        <sz val="10"/>
        <rFont val="DejaVu Sans"/>
        <family val="2"/>
        <charset val="1"/>
      </rPr>
      <t>MPG</t>
    </r>
  </si>
  <si>
    <t>표준</t>
  </si>
  <si>
    <t>테이퍼 세정 장치</t>
  </si>
  <si>
    <r>
      <rPr>
        <sz val="10"/>
        <rFont val="DejaVu Sans"/>
        <family val="2"/>
      </rPr>
      <t xml:space="preserve">표준 </t>
    </r>
    <r>
      <rPr>
        <sz val="10"/>
        <rFont val="DejaVu Sans"/>
        <family val="2"/>
        <charset val="1"/>
      </rPr>
      <t>(AIR)</t>
    </r>
  </si>
  <si>
    <t>오일 스키머</t>
  </si>
  <si>
    <t>확인필요</t>
  </si>
  <si>
    <t>오일 미스트 클리너</t>
  </si>
  <si>
    <t>Oil Mist Collector
0.75 KW_WATER SOLUBLE</t>
  </si>
  <si>
    <t>Oil Mist Collector
2.2 KW_WATER SOLUBLE</t>
  </si>
  <si>
    <t>공압 지그 인터페이스</t>
  </si>
  <si>
    <t>PNEUMATIC FIXTURE INTERFACE
A LINE_1 PAIR</t>
  </si>
  <si>
    <t>에어착좌</t>
  </si>
  <si>
    <t xml:space="preserve">WORK LOCATING CONFIRMATION
AIR LIMIT SENSING_2 PORT </t>
  </si>
  <si>
    <t>검토 제외</t>
  </si>
  <si>
    <t>공구길이 측정장치</t>
  </si>
  <si>
    <t>TS27R_RENISHAW</t>
  </si>
  <si>
    <t>BLUM Novotec</t>
  </si>
  <si>
    <t>LTS : Renishaw</t>
  </si>
  <si>
    <t>Renishaw LTS, $1,200</t>
  </si>
  <si>
    <t>공구파손 검출장치</t>
  </si>
  <si>
    <r>
      <rPr>
        <sz val="10"/>
        <rFont val="DejaVu Sans"/>
        <family val="2"/>
      </rPr>
      <t xml:space="preserve">표준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공구과부하 검출 시스템</t>
    </r>
    <r>
      <rPr>
        <sz val="10"/>
        <rFont val="DejaVu Sans"/>
        <family val="2"/>
        <charset val="1"/>
      </rPr>
      <t>)</t>
    </r>
  </si>
  <si>
    <t>가공소재 측정장치</t>
  </si>
  <si>
    <t>OMP40_RENISHAW</t>
  </si>
  <si>
    <t>M&amp;H</t>
  </si>
  <si>
    <t>OMP40: Renishaw</t>
  </si>
  <si>
    <t>Renishaw OMP-40, $7,000</t>
  </si>
  <si>
    <t>툴 모니터링 시스템</t>
  </si>
  <si>
    <t>TOOL LOAD MONITORING</t>
  </si>
  <si>
    <t>주축 냉각장치</t>
  </si>
  <si>
    <t>미적용</t>
  </si>
  <si>
    <t>Oil Cooler (Spindle Jacket Cooling)</t>
  </si>
  <si>
    <t>반복 정밀도</t>
  </si>
  <si>
    <t>±3um</t>
  </si>
  <si>
    <r>
      <rPr>
        <sz val="10"/>
        <rFont val="맑은 고딕"/>
        <family val="3"/>
        <charset val="129"/>
      </rPr>
      <t>X</t>
    </r>
    <r>
      <rPr>
        <sz val="10"/>
        <rFont val="DejaVu Sans"/>
        <family val="2"/>
      </rPr>
      <t xml:space="preserve">축 </t>
    </r>
    <r>
      <rPr>
        <sz val="10"/>
        <rFont val="맑은 고딕"/>
        <family val="3"/>
        <charset val="129"/>
      </rPr>
      <t>5</t>
    </r>
    <r>
      <rPr>
        <sz val="10"/>
        <rFont val="DejaVu Sans"/>
        <family val="2"/>
      </rPr>
      <t>미크론</t>
    </r>
    <r>
      <rPr>
        <sz val="10"/>
        <rFont val="맑은 고딕"/>
        <family val="3"/>
        <charset val="129"/>
      </rPr>
      <t>, Y/Z 4</t>
    </r>
    <r>
      <rPr>
        <sz val="10"/>
        <rFont val="DejaVu Sans"/>
        <family val="2"/>
      </rPr>
      <t>미크론</t>
    </r>
  </si>
  <si>
    <r>
      <rPr>
        <sz val="10"/>
        <rFont val="맑은 고딕"/>
        <family val="3"/>
        <charset val="129"/>
      </rPr>
      <t>X/Z</t>
    </r>
    <r>
      <rPr>
        <sz val="10"/>
        <rFont val="DejaVu Sans"/>
        <family val="2"/>
      </rPr>
      <t xml:space="preserve">축 </t>
    </r>
    <r>
      <rPr>
        <sz val="10"/>
        <rFont val="맑은 고딕"/>
        <family val="3"/>
        <charset val="129"/>
      </rPr>
      <t>5</t>
    </r>
    <r>
      <rPr>
        <sz val="10"/>
        <rFont val="DejaVu Sans"/>
        <family val="2"/>
      </rPr>
      <t>미크론</t>
    </r>
    <r>
      <rPr>
        <sz val="10"/>
        <rFont val="맑은 고딕"/>
        <family val="3"/>
        <charset val="129"/>
      </rPr>
      <t>, Y 4</t>
    </r>
    <r>
      <rPr>
        <sz val="10"/>
        <rFont val="DejaVu Sans"/>
        <family val="2"/>
      </rPr>
      <t>미크론</t>
    </r>
  </si>
  <si>
    <t>5um</t>
  </si>
  <si>
    <t>+/- 2um</t>
  </si>
  <si>
    <t>절삭유 탱크 용량</t>
  </si>
  <si>
    <t>200L</t>
  </si>
  <si>
    <t>165L</t>
  </si>
  <si>
    <t>150L</t>
  </si>
  <si>
    <t>220L</t>
  </si>
  <si>
    <t>250L</t>
  </si>
  <si>
    <t>절삭유 모터 용량</t>
  </si>
  <si>
    <t>0.75Kw</t>
  </si>
  <si>
    <t>1.1Kw</t>
  </si>
  <si>
    <r>
      <rPr>
        <sz val="10"/>
        <rFont val="맑은 고딕"/>
        <family val="3"/>
        <charset val="129"/>
      </rPr>
      <t xml:space="preserve">0.4KW </t>
    </r>
    <r>
      <rPr>
        <sz val="10"/>
        <rFont val="DejaVu Sans"/>
        <family val="2"/>
      </rPr>
      <t xml:space="preserve">표준 </t>
    </r>
    <r>
      <rPr>
        <sz val="10"/>
        <rFont val="맑은 고딕"/>
        <family val="3"/>
        <charset val="129"/>
      </rPr>
      <t xml:space="preserve">(Flushing 1.1KW </t>
    </r>
    <r>
      <rPr>
        <sz val="10"/>
        <rFont val="DejaVu Sans"/>
        <family val="2"/>
      </rPr>
      <t>표준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</si>
  <si>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1.1KW</t>
    </r>
    <r>
      <rPr>
        <sz val="10"/>
        <rFont val="DejaVu Sans"/>
        <family val="2"/>
      </rPr>
      <t xml:space="preserve">옵션 </t>
    </r>
    <r>
      <rPr>
        <sz val="10"/>
        <rFont val="맑은 고딕"/>
        <family val="3"/>
        <charset val="129"/>
      </rPr>
      <t xml:space="preserve">(0.4KW </t>
    </r>
    <r>
      <rPr>
        <sz val="10"/>
        <rFont val="DejaVu Sans"/>
        <family val="2"/>
      </rPr>
      <t>표준</t>
    </r>
    <r>
      <rPr>
        <sz val="10"/>
        <rFont val="맑은 고딕"/>
        <family val="3"/>
        <charset val="129"/>
      </rPr>
      <t>)</t>
    </r>
  </si>
  <si>
    <t>30l/min</t>
  </si>
  <si>
    <t>1.1KW</t>
  </si>
  <si>
    <t>0.75kW</t>
  </si>
  <si>
    <t>Tool Change time</t>
  </si>
  <si>
    <r>
      <rPr>
        <sz val="10"/>
        <rFont val="맑은 고딕"/>
        <family val="3"/>
        <charset val="129"/>
      </rPr>
      <t>1.5</t>
    </r>
    <r>
      <rPr>
        <sz val="10"/>
        <rFont val="DejaVu Sans"/>
        <family val="2"/>
      </rPr>
      <t>초</t>
    </r>
  </si>
  <si>
    <r>
      <rPr>
        <sz val="10"/>
        <rFont val="맑은 고딕"/>
        <family val="3"/>
        <charset val="129"/>
      </rPr>
      <t>2</t>
    </r>
    <r>
      <rPr>
        <sz val="10"/>
        <rFont val="DejaVu Sans"/>
        <family val="2"/>
      </rPr>
      <t>초</t>
    </r>
  </si>
  <si>
    <r>
      <rPr>
        <sz val="10"/>
        <rFont val="맑은 고딕"/>
        <family val="3"/>
        <charset val="129"/>
      </rPr>
      <t>Tool-to-tool : 1.5</t>
    </r>
    <r>
      <rPr>
        <sz val="10"/>
        <rFont val="DejaVu Sans"/>
        <family val="2"/>
      </rPr>
      <t>초</t>
    </r>
  </si>
  <si>
    <r>
      <rPr>
        <sz val="10"/>
        <rFont val="맑은 고딕"/>
        <family val="3"/>
        <charset val="129"/>
      </rPr>
      <t>Tool-to-tool : 1.3</t>
    </r>
    <r>
      <rPr>
        <sz val="10"/>
        <rFont val="DejaVu Sans"/>
        <family val="2"/>
      </rPr>
      <t>초</t>
    </r>
  </si>
  <si>
    <r>
      <rPr>
        <sz val="10"/>
        <rFont val="맑은 고딕"/>
        <family val="3"/>
        <charset val="129"/>
      </rPr>
      <t>10</t>
    </r>
    <r>
      <rPr>
        <sz val="10"/>
        <rFont val="DejaVu Sans"/>
        <family val="2"/>
      </rPr>
      <t>초</t>
    </r>
  </si>
  <si>
    <r>
      <rPr>
        <sz val="10"/>
        <rFont val="맑은 고딕"/>
        <family val="3"/>
        <charset val="129"/>
      </rPr>
      <t>1.2</t>
    </r>
    <r>
      <rPr>
        <sz val="10"/>
        <rFont val="DejaVu Sans"/>
        <family val="2"/>
      </rPr>
      <t>초</t>
    </r>
  </si>
  <si>
    <r>
      <rPr>
        <sz val="10"/>
        <rFont val="맑은 고딕"/>
        <family val="3"/>
        <charset val="129"/>
      </rPr>
      <t>Tool-to-tool : 1.6</t>
    </r>
    <r>
      <rPr>
        <sz val="10"/>
        <rFont val="DejaVu Sans"/>
        <family val="2"/>
      </rPr>
      <t>초</t>
    </r>
  </si>
  <si>
    <r>
      <rPr>
        <b/>
        <sz val="10"/>
        <rFont val="DejaVu Sans"/>
        <family val="2"/>
      </rPr>
      <t xml:space="preserve">자동문 </t>
    </r>
    <r>
      <rPr>
        <b/>
        <sz val="10"/>
        <rFont val="DejaVu Sans"/>
        <family val="2"/>
        <charset val="1"/>
      </rPr>
      <t xml:space="preserve">and </t>
    </r>
    <r>
      <rPr>
        <b/>
        <sz val="10"/>
        <rFont val="DejaVu Sans"/>
        <family val="2"/>
      </rPr>
      <t>로봇 인터페이스</t>
    </r>
  </si>
  <si>
    <t>PMC I/O MODULE TYPE</t>
  </si>
  <si>
    <r>
      <rPr>
        <sz val="10"/>
        <rFont val="DejaVu Sans"/>
        <family val="2"/>
      </rPr>
      <t xml:space="preserve">자동문 </t>
    </r>
    <r>
      <rPr>
        <sz val="10"/>
        <rFont val="DejaVu Sans"/>
        <family val="2"/>
        <charset val="1"/>
      </rPr>
      <t xml:space="preserve">$800 / </t>
    </r>
    <r>
      <rPr>
        <sz val="10"/>
        <rFont val="DejaVu Sans"/>
        <family val="2"/>
      </rPr>
      <t xml:space="preserve">로봇 </t>
    </r>
    <r>
      <rPr>
        <sz val="10"/>
        <rFont val="DejaVu Sans"/>
        <family val="2"/>
        <charset val="1"/>
      </rPr>
      <t>I/F $570</t>
    </r>
  </si>
  <si>
    <t>전장박스 에어컨</t>
  </si>
  <si>
    <t>AIR CONDITIONER</t>
  </si>
  <si>
    <r>
      <rPr>
        <sz val="10"/>
        <rFont val="DejaVu Sans"/>
        <family val="2"/>
      </rPr>
      <t xml:space="preserve">표준 </t>
    </r>
    <r>
      <rPr>
        <sz val="10"/>
        <rFont val="DejaVu Sans"/>
        <family val="2"/>
        <charset val="1"/>
      </rPr>
      <t>(fan with radiator)</t>
    </r>
  </si>
  <si>
    <t>천장 덮개</t>
  </si>
  <si>
    <t>도어록</t>
  </si>
  <si>
    <r>
      <rPr>
        <b/>
        <sz val="10"/>
        <rFont val="DejaVu Sans"/>
        <family val="2"/>
      </rPr>
      <t xml:space="preserve">급 이송 속도 </t>
    </r>
    <r>
      <rPr>
        <b/>
        <sz val="10"/>
        <rFont val="DejaVu Sans"/>
        <family val="2"/>
        <charset val="1"/>
      </rPr>
      <t>(X,Z)</t>
    </r>
  </si>
  <si>
    <t>40m/min</t>
  </si>
  <si>
    <t>48m/min</t>
  </si>
  <si>
    <t>42m/min(X,Y,Z)</t>
  </si>
  <si>
    <t>60m/min(X,Y,Z)</t>
  </si>
  <si>
    <t>24m/min(X,Y,Z)</t>
  </si>
  <si>
    <t>옵션 총 가격</t>
  </si>
  <si>
    <r>
      <rPr>
        <b/>
        <sz val="14"/>
        <color rgb="FF1F4E79"/>
        <rFont val="DejaVu Sans"/>
        <family val="2"/>
      </rPr>
      <t xml:space="preserve">방전기 </t>
    </r>
    <r>
      <rPr>
        <b/>
        <sz val="14"/>
        <color rgb="FF1F4E79"/>
        <rFont val="DejaVu Sans"/>
        <family val="2"/>
        <charset val="1"/>
      </rPr>
      <t xml:space="preserve">(Die-sinker EDM) </t>
    </r>
    <r>
      <rPr>
        <b/>
        <sz val="14"/>
        <color rgb="FF1F4E79"/>
        <rFont val="DejaVu Sans"/>
        <family val="2"/>
      </rPr>
      <t>비교분석</t>
    </r>
  </si>
  <si>
    <r>
      <rPr>
        <sz val="10"/>
        <color rgb="FF666666"/>
        <rFont val="DejaVu Sans"/>
        <family val="2"/>
      </rPr>
      <t>환율기준</t>
    </r>
    <r>
      <rPr>
        <sz val="10"/>
        <color rgb="FF666666"/>
        <rFont val="DejaVu Sans"/>
        <family val="2"/>
        <charset val="1"/>
      </rPr>
      <t>: 1 SGD=0.78 USD | 2026.03.15</t>
    </r>
  </si>
  <si>
    <t>Sodick
AL40G</t>
  </si>
  <si>
    <t>Sodick
AL60G</t>
  </si>
  <si>
    <t>Makino
Edge3i</t>
  </si>
  <si>
    <t>GF
FORM P 350</t>
  </si>
  <si>
    <t>Die-sinker EDM</t>
  </si>
  <si>
    <t>550 x 350 mm</t>
  </si>
  <si>
    <t>750 x 450 mm</t>
  </si>
  <si>
    <t>450 x 350 mm</t>
  </si>
  <si>
    <t>-</t>
  </si>
  <si>
    <t>16-station ATC</t>
  </si>
  <si>
    <t>Sodick LN2W</t>
  </si>
  <si>
    <t>Makino Hyper-i</t>
  </si>
  <si>
    <t>AC FORM HMI</t>
  </si>
  <si>
    <t>급 이송 속도</t>
  </si>
  <si>
    <t>6m/min</t>
  </si>
  <si>
    <t>6 m/min</t>
  </si>
  <si>
    <r>
      <rPr>
        <b/>
        <sz val="10"/>
        <rFont val="DejaVu Sans"/>
        <family val="2"/>
      </rPr>
      <t>치수</t>
    </r>
    <r>
      <rPr>
        <b/>
        <sz val="10"/>
        <rFont val="DejaVu Sans"/>
        <family val="2"/>
        <charset val="1"/>
      </rPr>
      <t>(</t>
    </r>
    <r>
      <rPr>
        <b/>
        <sz val="10"/>
        <rFont val="DejaVu Sans"/>
        <family val="2"/>
      </rPr>
      <t>위치</t>
    </r>
    <r>
      <rPr>
        <b/>
        <sz val="10"/>
        <rFont val="DejaVu Sans"/>
        <family val="2"/>
        <charset val="1"/>
      </rPr>
      <t xml:space="preserve">) </t>
    </r>
    <r>
      <rPr>
        <b/>
        <sz val="10"/>
        <rFont val="DejaVu Sans"/>
        <family val="2"/>
      </rPr>
      <t xml:space="preserve">정밀도 </t>
    </r>
    <r>
      <rPr>
        <b/>
        <sz val="10"/>
        <rFont val="DejaVu Sans"/>
        <family val="2"/>
        <charset val="1"/>
      </rPr>
      <t>(</t>
    </r>
    <r>
      <rPr>
        <b/>
        <sz val="10"/>
        <rFont val="DejaVu Sans"/>
        <family val="2"/>
      </rPr>
      <t>확인</t>
    </r>
    <r>
      <rPr>
        <b/>
        <sz val="10"/>
        <rFont val="DejaVu Sans"/>
        <family val="2"/>
        <charset val="1"/>
      </rPr>
      <t>)</t>
    </r>
  </si>
  <si>
    <t>±3~5um /1~2um</t>
  </si>
  <si>
    <t>±3um /3um</t>
  </si>
  <si>
    <r>
      <rPr>
        <sz val="10"/>
        <rFont val="DejaVu Sans"/>
        <family val="2"/>
      </rPr>
      <t xml:space="preserve">위치 </t>
    </r>
    <r>
      <rPr>
        <sz val="10"/>
        <rFont val="DejaVu Sans"/>
        <family val="2"/>
        <charset val="1"/>
      </rPr>
      <t xml:space="preserve">: 5um, </t>
    </r>
    <r>
      <rPr>
        <sz val="10"/>
        <rFont val="DejaVu Sans"/>
        <family val="2"/>
      </rPr>
      <t xml:space="preserve">정밀도 </t>
    </r>
    <r>
      <rPr>
        <sz val="10"/>
        <rFont val="DejaVu Sans"/>
        <family val="2"/>
        <charset val="1"/>
      </rPr>
      <t>: 3um</t>
    </r>
  </si>
  <si>
    <r>
      <rPr>
        <b/>
        <sz val="10"/>
        <rFont val="맑은 고딕"/>
        <family val="3"/>
        <charset val="129"/>
      </rPr>
      <t>Z</t>
    </r>
    <r>
      <rPr>
        <b/>
        <sz val="10"/>
        <rFont val="DejaVu Sans"/>
        <family val="2"/>
      </rPr>
      <t>축의 이동속도</t>
    </r>
  </si>
  <si>
    <t>36m/min</t>
  </si>
  <si>
    <t>18m/min</t>
  </si>
  <si>
    <t>15 m/ min</t>
  </si>
  <si>
    <t>물빠지는 속도</t>
  </si>
  <si>
    <r>
      <rPr>
        <sz val="10"/>
        <rFont val="맑은 고딕"/>
        <family val="3"/>
        <charset val="129"/>
      </rPr>
      <t>30</t>
    </r>
    <r>
      <rPr>
        <sz val="10"/>
        <rFont val="DejaVu Sans"/>
        <family val="2"/>
      </rPr>
      <t>초</t>
    </r>
  </si>
  <si>
    <r>
      <rPr>
        <sz val="10"/>
        <rFont val="맑은 고딕"/>
        <family val="3"/>
        <charset val="129"/>
      </rPr>
      <t>35</t>
    </r>
    <r>
      <rPr>
        <sz val="10"/>
        <rFont val="DejaVu Sans"/>
        <family val="2"/>
      </rPr>
      <t>초</t>
    </r>
  </si>
  <si>
    <r>
      <rPr>
        <sz val="10"/>
        <rFont val="DejaVu Sans"/>
        <family val="2"/>
      </rPr>
      <t xml:space="preserve">약 </t>
    </r>
    <r>
      <rPr>
        <sz val="10"/>
        <rFont val="DejaVu Sans"/>
        <family val="2"/>
        <charset val="1"/>
      </rPr>
      <t>40</t>
    </r>
    <r>
      <rPr>
        <sz val="10"/>
        <rFont val="DejaVu Sans"/>
        <family val="2"/>
      </rPr>
      <t>초</t>
    </r>
  </si>
  <si>
    <t>전류치</t>
  </si>
  <si>
    <t>AC200V 50/60Hz, 40A</t>
  </si>
  <si>
    <t>80A</t>
  </si>
  <si>
    <t>로봇 인테페이스</t>
  </si>
  <si>
    <t xml:space="preserve"> 가능</t>
  </si>
  <si>
    <t>Yes</t>
  </si>
  <si>
    <t>YES</t>
  </si>
  <si>
    <r>
      <rPr>
        <b/>
        <sz val="10"/>
        <rFont val="맑은 고딕"/>
        <family val="3"/>
        <charset val="129"/>
      </rPr>
      <t xml:space="preserve">Tool </t>
    </r>
    <r>
      <rPr>
        <b/>
        <sz val="10"/>
        <rFont val="DejaVu Sans"/>
        <family val="2"/>
      </rPr>
      <t xml:space="preserve">매거진 </t>
    </r>
    <r>
      <rPr>
        <b/>
        <sz val="10"/>
        <rFont val="맑은 고딕"/>
        <family val="3"/>
        <charset val="129"/>
      </rPr>
      <t>(</t>
    </r>
    <r>
      <rPr>
        <b/>
        <sz val="10"/>
        <rFont val="DejaVu Sans"/>
        <family val="2"/>
      </rPr>
      <t>수량</t>
    </r>
    <r>
      <rPr>
        <b/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</si>
  <si>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4~6, 16, 32ea</t>
    </r>
    <r>
      <rPr>
        <sz val="10"/>
        <rFont val="DejaVu Sans"/>
        <family val="2"/>
      </rPr>
      <t>전부 옵션선택</t>
    </r>
  </si>
  <si>
    <r>
      <rPr>
        <sz val="10"/>
        <rFont val="맑은 고딕"/>
        <family val="3"/>
        <charset val="129"/>
      </rPr>
      <t xml:space="preserve">4~6, 16, 32ea </t>
    </r>
    <r>
      <rPr>
        <sz val="10"/>
        <rFont val="DejaVu Sans"/>
        <family val="2"/>
      </rPr>
      <t>전부 옵션선택</t>
    </r>
  </si>
  <si>
    <t>에로아 척</t>
  </si>
  <si>
    <t>가능</t>
  </si>
  <si>
    <r>
      <rPr>
        <b/>
        <sz val="14"/>
        <color rgb="FF1F4E79"/>
        <rFont val="DejaVu Sans"/>
        <family val="2"/>
      </rPr>
      <t xml:space="preserve">와이어커팅기 </t>
    </r>
    <r>
      <rPr>
        <b/>
        <sz val="14"/>
        <color rgb="FF1F4E79"/>
        <rFont val="DejaVu Sans"/>
        <family val="2"/>
        <charset val="1"/>
      </rPr>
      <t xml:space="preserve">(Wire-cut EDM) </t>
    </r>
    <r>
      <rPr>
        <b/>
        <sz val="14"/>
        <color rgb="FF1F4E79"/>
        <rFont val="DejaVu Sans"/>
        <family val="2"/>
      </rPr>
      <t>비교분석</t>
    </r>
  </si>
  <si>
    <t>Sodick
AL400G</t>
  </si>
  <si>
    <t>Sodick
AL600G</t>
  </si>
  <si>
    <t>Makino
U3</t>
  </si>
  <si>
    <t>GF
CUT E 350</t>
  </si>
  <si>
    <t>GF
CUT E 600</t>
  </si>
  <si>
    <t>SPM
S43</t>
  </si>
  <si>
    <t>SPM
S64</t>
  </si>
  <si>
    <t>FANUC
α-C600iC</t>
  </si>
  <si>
    <t>FANUC
α-C800iC</t>
  </si>
  <si>
    <t>Wire-cut EDM</t>
  </si>
  <si>
    <t>Wire-cut EDM (Linear Motor)</t>
  </si>
  <si>
    <t>600 x 400 350</t>
  </si>
  <si>
    <t>560 x 370 mm</t>
  </si>
  <si>
    <t>760 x 560 mm</t>
  </si>
  <si>
    <t>540 x 390 mm</t>
  </si>
  <si>
    <t>T-type base</t>
  </si>
  <si>
    <t>950 x 630</t>
  </si>
  <si>
    <r>
      <rPr>
        <sz val="10"/>
        <rFont val="맑은 고딕"/>
        <family val="3"/>
        <charset val="129"/>
      </rPr>
      <t xml:space="preserve">SPM </t>
    </r>
    <r>
      <rPr>
        <sz val="10"/>
        <rFont val="DejaVu Sans"/>
        <family val="2"/>
      </rPr>
      <t>공작물 고정 테이블</t>
    </r>
  </si>
  <si>
    <r>
      <rPr>
        <sz val="10"/>
        <rFont val="DejaVu Sans"/>
        <family val="2"/>
      </rPr>
      <t xml:space="preserve">최대공작물 </t>
    </r>
    <r>
      <rPr>
        <sz val="10"/>
        <rFont val="DejaVu Sans"/>
        <family val="2"/>
        <charset val="1"/>
      </rPr>
      <t>1050 x 820 mm</t>
    </r>
  </si>
  <si>
    <r>
      <rPr>
        <sz val="10"/>
        <rFont val="DejaVu Sans"/>
        <family val="2"/>
      </rPr>
      <t xml:space="preserve">최대공작물 </t>
    </r>
    <r>
      <rPr>
        <sz val="10"/>
        <rFont val="DejaVu Sans"/>
        <family val="2"/>
        <charset val="1"/>
      </rPr>
      <t>1250 x 1020 mm</t>
    </r>
  </si>
  <si>
    <t>UNIQUA HMI</t>
  </si>
  <si>
    <t>SPM Ez Control MMI</t>
  </si>
  <si>
    <t>FANUC (15" Touch Panel)</t>
  </si>
  <si>
    <t>Singapore</t>
  </si>
  <si>
    <r>
      <rPr>
        <sz val="10"/>
        <rFont val="맑은 고딕"/>
        <family val="3"/>
        <charset val="129"/>
      </rPr>
      <t xml:space="preserve">Republic of Korea (SPM, </t>
    </r>
    <r>
      <rPr>
        <sz val="10"/>
        <rFont val="DejaVu Sans"/>
        <family val="2"/>
      </rPr>
      <t>안산</t>
    </r>
    <r>
      <rPr>
        <sz val="10"/>
        <rFont val="맑은 고딕"/>
        <family val="3"/>
        <charset val="129"/>
      </rPr>
      <t>)</t>
    </r>
  </si>
  <si>
    <t>Japan (FANUC)</t>
  </si>
  <si>
    <t xml:space="preserve">FOB </t>
  </si>
  <si>
    <r>
      <rPr>
        <sz val="10"/>
        <rFont val="DejaVu Sans"/>
        <family val="2"/>
      </rPr>
      <t xml:space="preserve">고객 지정 장소 상차도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한국화낙 경유</t>
    </r>
    <r>
      <rPr>
        <sz val="10"/>
        <rFont val="DejaVu Sans"/>
        <family val="2"/>
        <charset val="1"/>
      </rPr>
      <t>)</t>
    </r>
  </si>
  <si>
    <t>3m/min</t>
  </si>
  <si>
    <t>3m/min(X,Y)</t>
  </si>
  <si>
    <t>2m/min</t>
  </si>
  <si>
    <t>±2~3um /1~2um</t>
  </si>
  <si>
    <r>
      <rPr>
        <sz val="10"/>
        <rFont val="DejaVu Sans"/>
        <family val="2"/>
      </rPr>
      <t xml:space="preserve">리니어 스케일 </t>
    </r>
    <r>
      <rPr>
        <sz val="10"/>
        <rFont val="DejaVu Sans"/>
        <family val="2"/>
        <charset val="1"/>
      </rPr>
      <t>0.0001mm</t>
    </r>
  </si>
  <si>
    <r>
      <rPr>
        <sz val="10"/>
        <rFont val="맑은 고딕"/>
        <family val="3"/>
        <charset val="129"/>
      </rPr>
      <t>50</t>
    </r>
    <r>
      <rPr>
        <sz val="10"/>
        <rFont val="DejaVu Sans"/>
        <family val="2"/>
      </rPr>
      <t>초</t>
    </r>
    <r>
      <rPr>
        <sz val="10"/>
        <rFont val="맑은 고딕"/>
        <family val="3"/>
        <charset val="129"/>
      </rPr>
      <t xml:space="preserve">(100mm </t>
    </r>
    <r>
      <rPr>
        <sz val="10"/>
        <rFont val="DejaVu Sans"/>
        <family val="2"/>
      </rPr>
      <t xml:space="preserve">기준으로 </t>
    </r>
    <r>
      <rPr>
        <sz val="10"/>
        <rFont val="맑은 고딕"/>
        <family val="3"/>
        <charset val="129"/>
      </rPr>
      <t xml:space="preserve">thermo level </t>
    </r>
    <r>
      <rPr>
        <sz val="10"/>
        <rFont val="DejaVu Sans"/>
        <family val="2"/>
      </rPr>
      <t>까지</t>
    </r>
    <r>
      <rPr>
        <sz val="10"/>
        <rFont val="맑은 고딕"/>
        <family val="3"/>
        <charset val="129"/>
      </rPr>
      <t>)</t>
    </r>
  </si>
  <si>
    <t>300 mm²/min</t>
  </si>
  <si>
    <t>30 mm²/min</t>
  </si>
  <si>
    <r>
      <rPr>
        <sz val="10"/>
        <rFont val="맑은 고딕"/>
        <family val="3"/>
        <charset val="129"/>
      </rPr>
      <t>AC 3</t>
    </r>
    <r>
      <rPr>
        <sz val="10"/>
        <rFont val="DejaVu Sans"/>
        <family val="2"/>
      </rPr>
      <t xml:space="preserve">상 </t>
    </r>
    <r>
      <rPr>
        <sz val="10"/>
        <rFont val="맑은 고딕"/>
        <family val="3"/>
        <charset val="129"/>
      </rPr>
      <t>220V, 60Hz</t>
    </r>
  </si>
  <si>
    <r>
      <rPr>
        <sz val="10"/>
        <rFont val="맑은 고딕"/>
        <family val="3"/>
        <charset val="129"/>
      </rPr>
      <t>AC200/220V 3</t>
    </r>
    <r>
      <rPr>
        <sz val="10"/>
        <rFont val="DejaVu Sans"/>
        <family val="2"/>
      </rPr>
      <t xml:space="preserve">상 </t>
    </r>
    <r>
      <rPr>
        <sz val="10"/>
        <rFont val="맑은 고딕"/>
        <family val="3"/>
        <charset val="129"/>
      </rPr>
      <t>50/60Hz, 13KVA</t>
    </r>
  </si>
  <si>
    <r>
      <rPr>
        <sz val="10"/>
        <rFont val="DejaVu Sans"/>
        <family val="2"/>
      </rPr>
      <t xml:space="preserve">가능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옵션</t>
    </r>
    <r>
      <rPr>
        <sz val="10"/>
        <rFont val="DejaVu Sans"/>
        <family val="2"/>
        <charset val="1"/>
      </rPr>
      <t>)</t>
    </r>
  </si>
  <si>
    <t>와이어 자동 결선 장치</t>
  </si>
  <si>
    <t>FJ AWT</t>
  </si>
  <si>
    <r>
      <rPr>
        <sz val="10"/>
        <rFont val="맑은 고딕"/>
        <family val="3"/>
        <charset val="129"/>
      </rPr>
      <t xml:space="preserve">AWF </t>
    </r>
    <r>
      <rPr>
        <sz val="10"/>
        <rFont val="DejaVu Sans"/>
        <family val="2"/>
      </rPr>
      <t>표준</t>
    </r>
  </si>
  <si>
    <r>
      <rPr>
        <b/>
        <sz val="14"/>
        <color rgb="FF1F4E79"/>
        <rFont val="맑은 고딕"/>
        <family val="3"/>
        <charset val="129"/>
      </rPr>
      <t xml:space="preserve">USD </t>
    </r>
    <r>
      <rPr>
        <b/>
        <sz val="14"/>
        <color rgb="FF1F4E79"/>
        <rFont val="DejaVu Sans"/>
        <family val="2"/>
      </rPr>
      <t xml:space="preserve">기준 가격순위 </t>
    </r>
    <r>
      <rPr>
        <b/>
        <sz val="14"/>
        <color rgb="FF1F4E79"/>
        <rFont val="맑은 고딕"/>
        <family val="3"/>
        <charset val="129"/>
      </rPr>
      <t>(</t>
    </r>
    <r>
      <rPr>
        <b/>
        <sz val="14"/>
        <color rgb="FF1F4E79"/>
        <rFont val="DejaVu Sans"/>
        <family val="2"/>
      </rPr>
      <t>제품유형별</t>
    </r>
    <r>
      <rPr>
        <b/>
        <sz val="14"/>
        <color rgb="FF1F4E79"/>
        <rFont val="맑은 고딕"/>
        <family val="3"/>
        <charset val="129"/>
      </rPr>
      <t>)</t>
    </r>
  </si>
  <si>
    <r>
      <rPr>
        <sz val="10"/>
        <color rgb="FF666666"/>
        <rFont val="DejaVu Sans"/>
        <family val="2"/>
      </rPr>
      <t xml:space="preserve">단가 기준 오름차순 </t>
    </r>
    <r>
      <rPr>
        <sz val="10"/>
        <color rgb="FF666666"/>
        <rFont val="DejaVu Sans"/>
        <family val="2"/>
        <charset val="1"/>
      </rPr>
      <t xml:space="preserve">| </t>
    </r>
    <r>
      <rPr>
        <sz val="10"/>
        <color rgb="FF666666"/>
        <rFont val="DejaVu Sans"/>
        <family val="2"/>
      </rPr>
      <t>환율기준</t>
    </r>
    <r>
      <rPr>
        <sz val="10"/>
        <color rgb="FF666666"/>
        <rFont val="DejaVu Sans"/>
        <family val="2"/>
        <charset val="1"/>
      </rPr>
      <t>: 2026.03.15</t>
    </r>
  </si>
  <si>
    <t>▶ 가공기</t>
  </si>
  <si>
    <t>순위</t>
  </si>
  <si>
    <t>원화 가격</t>
  </si>
  <si>
    <t>통화</t>
  </si>
  <si>
    <r>
      <rPr>
        <b/>
        <sz val="11"/>
        <color rgb="FFFFFFFF"/>
        <rFont val="맑은 고딕"/>
        <family val="3"/>
        <charset val="129"/>
      </rPr>
      <t xml:space="preserve">USD </t>
    </r>
    <r>
      <rPr>
        <b/>
        <sz val="11"/>
        <color rgb="FFFFFFFF"/>
        <rFont val="DejaVu Sans"/>
        <family val="2"/>
      </rPr>
      <t>총액</t>
    </r>
  </si>
  <si>
    <r>
      <rPr>
        <b/>
        <sz val="11"/>
        <color rgb="FFFFFFFF"/>
        <rFont val="DejaVu Sans"/>
        <family val="2"/>
      </rPr>
      <t>출하조건</t>
    </r>
    <r>
      <rPr>
        <b/>
        <sz val="11"/>
        <color rgb="FFFFFFFF"/>
        <rFont val="DejaVu Sans"/>
        <family val="2"/>
        <charset val="1"/>
      </rPr>
      <t>/</t>
    </r>
    <r>
      <rPr>
        <b/>
        <sz val="11"/>
        <color rgb="FFFFFFFF"/>
        <rFont val="DejaVu Sans"/>
        <family val="2"/>
      </rPr>
      <t>원산지</t>
    </r>
  </si>
  <si>
    <t>$43,500</t>
  </si>
  <si>
    <t>USD</t>
  </si>
  <si>
    <t>$87,000</t>
  </si>
  <si>
    <t>FOB Busan / Republic of Korea</t>
  </si>
  <si>
    <t>$46,700</t>
  </si>
  <si>
    <t>$93,400</t>
  </si>
  <si>
    <t>$137,770</t>
  </si>
  <si>
    <t>DDP Vietnam / Republic of Korea</t>
  </si>
  <si>
    <t>$140,000</t>
  </si>
  <si>
    <r>
      <rPr>
        <sz val="10"/>
        <rFont val="맑은 고딕"/>
        <family val="3"/>
        <charset val="129"/>
      </rPr>
      <t>FOB (</t>
    </r>
    <r>
      <rPr>
        <sz val="10"/>
        <rFont val="DejaVu Sans"/>
        <family val="2"/>
      </rPr>
      <t>출하지 미명시</t>
    </r>
    <r>
      <rPr>
        <sz val="10"/>
        <rFont val="맑은 고딕"/>
        <family val="3"/>
        <charset val="129"/>
      </rPr>
      <t>) / Sodick (</t>
    </r>
    <r>
      <rPr>
        <sz val="10"/>
        <rFont val="DejaVu Sans"/>
        <family val="2"/>
      </rPr>
      <t>출하지 미명시</t>
    </r>
    <r>
      <rPr>
        <sz val="10"/>
        <rFont val="맑은 고딕"/>
        <family val="3"/>
        <charset val="129"/>
      </rPr>
      <t>)</t>
    </r>
  </si>
  <si>
    <t>$195,174</t>
  </si>
  <si>
    <t>250,223.00</t>
  </si>
  <si>
    <t>SGD</t>
  </si>
  <si>
    <t>CIF Hai Phong / Japan/Singapore (Mak</t>
  </si>
  <si>
    <t>$209,335</t>
  </si>
  <si>
    <t>33,386,790.00</t>
  </si>
  <si>
    <t>JPY</t>
  </si>
  <si>
    <r>
      <rPr>
        <sz val="10"/>
        <rFont val="맑은 고딕"/>
        <family val="3"/>
        <charset val="129"/>
      </rPr>
      <t xml:space="preserve">CIF Hai Phong / Japan (METI </t>
    </r>
    <r>
      <rPr>
        <sz val="10"/>
        <rFont val="DejaVu Sans"/>
        <family val="2"/>
      </rPr>
      <t>승인 필요</t>
    </r>
    <r>
      <rPr>
        <sz val="10"/>
        <rFont val="맑은 고딕"/>
        <family val="3"/>
        <charset val="129"/>
      </rPr>
      <t>)</t>
    </r>
  </si>
  <si>
    <t>DVF5000</t>
  </si>
  <si>
    <t>$225,990</t>
  </si>
  <si>
    <r>
      <rPr>
        <sz val="10"/>
        <rFont val="맑은 고딕"/>
        <family val="3"/>
        <charset val="129"/>
      </rPr>
      <t>DDP (</t>
    </r>
    <r>
      <rPr>
        <sz val="10"/>
        <rFont val="DejaVu Sans"/>
        <family val="2"/>
      </rPr>
      <t>베트남 현지 운송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설치 포함</t>
    </r>
    <r>
      <rPr>
        <sz val="10"/>
        <rFont val="맑은 고딕"/>
        <family val="3"/>
        <charset val="129"/>
      </rPr>
      <t>) / Korea (DN Solutions)</t>
    </r>
  </si>
  <si>
    <t>UX650L</t>
  </si>
  <si>
    <t>$260,000</t>
  </si>
  <si>
    <t>FOB Japan / Japan</t>
  </si>
  <si>
    <t>$285,000</t>
  </si>
  <si>
    <r>
      <rPr>
        <sz val="10"/>
        <rFont val="맑은 고딕"/>
        <family val="3"/>
        <charset val="129"/>
      </rPr>
      <t xml:space="preserve">FOB (GF Korea </t>
    </r>
    <r>
      <rPr>
        <sz val="10"/>
        <rFont val="DejaVu Sans"/>
        <family val="2"/>
      </rPr>
      <t>경유</t>
    </r>
    <r>
      <rPr>
        <sz val="10"/>
        <rFont val="맑은 고딕"/>
        <family val="3"/>
        <charset val="129"/>
      </rPr>
      <t>) / Switzerland (GF Mach</t>
    </r>
  </si>
  <si>
    <t>▶ 방전기</t>
  </si>
  <si>
    <t>$126,624</t>
  </si>
  <si>
    <t>162,338.60</t>
  </si>
  <si>
    <t>CIF Hai Phong / Japan/Singapore (MET</t>
  </si>
  <si>
    <t>$138,000</t>
  </si>
  <si>
    <t>FOB Thailand / Thailand</t>
  </si>
  <si>
    <t>$149,000</t>
  </si>
  <si>
    <t>$310,000</t>
  </si>
  <si>
    <t>$620,000</t>
  </si>
  <si>
    <t>▶ 와이어커팅기</t>
  </si>
  <si>
    <t>$76,000</t>
  </si>
  <si>
    <t>FOB Korea / Republic of Korea</t>
  </si>
  <si>
    <t>$96,552</t>
  </si>
  <si>
    <t>₩140,000,000</t>
  </si>
  <si>
    <t>KRW</t>
  </si>
  <si>
    <r>
      <rPr>
        <sz val="10"/>
        <rFont val="DejaVu Sans"/>
        <family val="2"/>
      </rPr>
      <t xml:space="preserve">한국화낙 경유 </t>
    </r>
    <r>
      <rPr>
        <sz val="10"/>
        <rFont val="맑은 고딕"/>
        <family val="3"/>
        <charset val="129"/>
      </rPr>
      <t>/ Japan</t>
    </r>
  </si>
  <si>
    <t>$98,000</t>
  </si>
  <si>
    <t>$124,623</t>
  </si>
  <si>
    <t>159,773.00</t>
  </si>
  <si>
    <t>$127,000</t>
  </si>
  <si>
    <t>$130,000</t>
  </si>
  <si>
    <t>$131,034</t>
  </si>
  <si>
    <t>₩190,000,000</t>
  </si>
  <si>
    <t>$135,000</t>
  </si>
  <si>
    <t>179,487.00</t>
  </si>
  <si>
    <t>CIF Hai Phong / Singapore</t>
  </si>
  <si>
    <t>$145,000</t>
  </si>
  <si>
    <r>
      <rPr>
        <sz val="10"/>
        <rFont val="맑은 고딕"/>
        <family val="3"/>
        <charset val="129"/>
      </rPr>
      <t xml:space="preserve">FOB (GF Korea </t>
    </r>
    <r>
      <rPr>
        <sz val="10"/>
        <rFont val="DejaVu Sans"/>
        <family val="2"/>
      </rPr>
      <t>경유</t>
    </r>
    <r>
      <rPr>
        <sz val="10"/>
        <rFont val="맑은 고딕"/>
        <family val="3"/>
        <charset val="129"/>
      </rPr>
      <t>) / China</t>
    </r>
  </si>
  <si>
    <t>거래조건 비교</t>
  </si>
  <si>
    <r>
      <rPr>
        <sz val="10"/>
        <color rgb="FF666666"/>
        <rFont val="맑은 고딕"/>
        <family val="3"/>
        <charset val="129"/>
      </rPr>
      <t>5</t>
    </r>
    <r>
      <rPr>
        <sz val="10"/>
        <color rgb="FF666666"/>
        <rFont val="DejaVu Sans"/>
        <family val="2"/>
      </rPr>
      <t>개 제조사 전체 — 견적서 원문 기준</t>
    </r>
  </si>
  <si>
    <t>결제조건</t>
  </si>
  <si>
    <t>납기</t>
  </si>
  <si>
    <t>보증</t>
  </si>
  <si>
    <r>
      <rPr>
        <b/>
        <sz val="11"/>
        <color rgb="FFFFFFFF"/>
        <rFont val="DejaVu Sans"/>
        <family val="2"/>
      </rPr>
      <t xml:space="preserve">출하조건 </t>
    </r>
    <r>
      <rPr>
        <b/>
        <sz val="11"/>
        <color rgb="FFFFFFFF"/>
        <rFont val="DejaVu Sans"/>
        <family val="2"/>
        <charset val="1"/>
      </rPr>
      <t>(Incoterms)</t>
    </r>
  </si>
  <si>
    <r>
      <rPr>
        <sz val="10"/>
        <rFont val="맑은 고딕"/>
        <family val="3"/>
        <charset val="129"/>
      </rPr>
      <t xml:space="preserve">30% </t>
    </r>
    <r>
      <rPr>
        <sz val="10"/>
        <rFont val="DejaVu Sans"/>
        <family val="2"/>
      </rPr>
      <t>선급</t>
    </r>
    <r>
      <rPr>
        <sz val="10"/>
        <rFont val="맑은 고딕"/>
        <family val="3"/>
        <charset val="129"/>
      </rPr>
      <t xml:space="preserve">, 70% </t>
    </r>
    <r>
      <rPr>
        <sz val="10"/>
        <rFont val="DejaVu Sans"/>
        <family val="2"/>
      </rPr>
      <t>선적 전</t>
    </r>
  </si>
  <si>
    <r>
      <rPr>
        <sz val="10"/>
        <rFont val="맑은 고딕"/>
        <family val="3"/>
        <charset val="129"/>
      </rPr>
      <t>4~5</t>
    </r>
    <r>
      <rPr>
        <sz val="10"/>
        <rFont val="DejaVu Sans"/>
        <family val="2"/>
      </rPr>
      <t xml:space="preserve">개월 </t>
    </r>
    <r>
      <rPr>
        <sz val="10"/>
        <rFont val="맑은 고딕"/>
        <family val="3"/>
        <charset val="129"/>
      </rPr>
      <t xml:space="preserve">(P/O </t>
    </r>
    <r>
      <rPr>
        <sz val="10"/>
        <rFont val="DejaVu Sans"/>
        <family val="2"/>
      </rPr>
      <t>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</si>
  <si>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1</t>
    </r>
    <r>
      <rPr>
        <sz val="10"/>
        <rFont val="DejaVu Sans"/>
        <family val="2"/>
      </rPr>
      <t>년</t>
    </r>
  </si>
  <si>
    <r>
      <rPr>
        <sz val="10"/>
        <rFont val="맑은 고딕"/>
        <family val="3"/>
        <charset val="129"/>
      </rPr>
      <t>6~7</t>
    </r>
    <r>
      <rPr>
        <sz val="10"/>
        <rFont val="DejaVu Sans"/>
        <family val="2"/>
      </rPr>
      <t xml:space="preserve">개월 </t>
    </r>
    <r>
      <rPr>
        <sz val="10"/>
        <rFont val="맑은 고딕"/>
        <family val="3"/>
        <charset val="129"/>
      </rPr>
      <t xml:space="preserve">(P/O </t>
    </r>
    <r>
      <rPr>
        <sz val="10"/>
        <rFont val="DejaVu Sans"/>
        <family val="2"/>
      </rPr>
      <t>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</si>
  <si>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20% </t>
    </r>
    <r>
      <rPr>
        <sz val="10"/>
        <rFont val="DejaVu Sans"/>
        <family val="2"/>
      </rPr>
      <t>선급</t>
    </r>
    <r>
      <rPr>
        <sz val="10"/>
        <rFont val="맑은 고딕"/>
        <family val="3"/>
        <charset val="129"/>
      </rPr>
      <t xml:space="preserve">, 70% </t>
    </r>
    <r>
      <rPr>
        <sz val="10"/>
        <rFont val="DejaVu Sans"/>
        <family val="2"/>
      </rPr>
      <t>선적 전</t>
    </r>
    <r>
      <rPr>
        <sz val="10"/>
        <rFont val="맑은 고딕"/>
        <family val="3"/>
        <charset val="129"/>
      </rPr>
      <t xml:space="preserve">, 10% FAC </t>
    </r>
    <r>
      <rPr>
        <sz val="10"/>
        <rFont val="DejaVu Sans"/>
        <family val="2"/>
      </rPr>
      <t>후</t>
    </r>
  </si>
  <si>
    <r>
      <rPr>
        <sz val="10"/>
        <rFont val="맑은 고딕"/>
        <family val="3"/>
        <charset val="129"/>
      </rPr>
      <t>5</t>
    </r>
    <r>
      <rPr>
        <sz val="10"/>
        <rFont val="DejaVu Sans"/>
        <family val="2"/>
      </rPr>
      <t xml:space="preserve">개월 </t>
    </r>
    <r>
      <rPr>
        <sz val="10"/>
        <rFont val="맑은 고딕"/>
        <family val="3"/>
        <charset val="129"/>
      </rPr>
      <t xml:space="preserve">(P/O </t>
    </r>
    <r>
      <rPr>
        <sz val="10"/>
        <rFont val="DejaVu Sans"/>
        <family val="2"/>
      </rPr>
      <t>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</si>
  <si>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12</t>
    </r>
    <r>
      <rPr>
        <sz val="10"/>
        <rFont val="DejaVu Sans"/>
        <family val="2"/>
      </rPr>
      <t xml:space="preserve">개월 </t>
    </r>
    <r>
      <rPr>
        <sz val="10"/>
        <rFont val="맑은 고딕"/>
        <family val="3"/>
        <charset val="129"/>
      </rPr>
      <t>(Fanuc 24</t>
    </r>
    <r>
      <rPr>
        <sz val="10"/>
        <rFont val="DejaVu Sans"/>
        <family val="2"/>
      </rPr>
      <t>개월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</si>
  <si>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20% </t>
    </r>
    <r>
      <rPr>
        <sz val="10"/>
        <rFont val="DejaVu Sans"/>
        <family val="2"/>
      </rPr>
      <t>선급</t>
    </r>
    <r>
      <rPr>
        <sz val="10"/>
        <rFont val="맑은 고딕"/>
        <family val="3"/>
        <charset val="129"/>
      </rPr>
      <t xml:space="preserve">, 80% </t>
    </r>
    <r>
      <rPr>
        <sz val="10"/>
        <rFont val="DejaVu Sans"/>
        <family val="2"/>
      </rPr>
      <t>선적 전</t>
    </r>
  </si>
  <si>
    <r>
      <rPr>
        <sz val="10"/>
        <rFont val="맑은 고딕"/>
        <family val="3"/>
        <charset val="129"/>
      </rPr>
      <t>12~16</t>
    </r>
    <r>
      <rPr>
        <sz val="10"/>
        <rFont val="DejaVu Sans"/>
        <family val="2"/>
      </rPr>
      <t xml:space="preserve">주 </t>
    </r>
    <r>
      <rPr>
        <sz val="10"/>
        <rFont val="맑은 고딕"/>
        <family val="3"/>
        <charset val="129"/>
      </rPr>
      <t xml:space="preserve">(P/O </t>
    </r>
    <r>
      <rPr>
        <sz val="10"/>
        <rFont val="DejaVu Sans"/>
        <family val="2"/>
      </rPr>
      <t>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</si>
  <si>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12</t>
    </r>
    <r>
      <rPr>
        <sz val="10"/>
        <rFont val="DejaVu Sans"/>
        <family val="2"/>
      </rPr>
      <t xml:space="preserve">개월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커미셔닝 후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 xml:space="preserve">또는 </t>
    </r>
    <r>
      <rPr>
        <sz val="10"/>
        <rFont val="맑은 고딕"/>
        <family val="3"/>
        <charset val="129"/>
      </rPr>
      <t>13</t>
    </r>
    <r>
      <rPr>
        <sz val="10"/>
        <rFont val="DejaVu Sans"/>
        <family val="2"/>
      </rPr>
      <t xml:space="preserve">개월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선적 후</t>
    </r>
    <r>
      <rPr>
        <sz val="10"/>
        <rFont val="맑은 고딕"/>
        <family val="3"/>
        <charset val="129"/>
      </rPr>
      <t>)</t>
    </r>
  </si>
  <si>
    <t>TBD</t>
  </si>
  <si>
    <t>Bronze CSP (Recover fast)</t>
  </si>
  <si>
    <r>
      <rPr>
        <sz val="10"/>
        <rFont val="맑은 고딕"/>
        <family val="3"/>
        <charset val="129"/>
      </rPr>
      <t>3</t>
    </r>
    <r>
      <rPr>
        <sz val="10"/>
        <rFont val="DejaVu Sans"/>
        <family val="2"/>
      </rPr>
      <t xml:space="preserve">개월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주문 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</si>
  <si>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4~5</t>
    </r>
    <r>
      <rPr>
        <sz val="10"/>
        <rFont val="DejaVu Sans"/>
        <family val="2"/>
      </rPr>
      <t xml:space="preserve">개월 </t>
    </r>
    <r>
      <rPr>
        <sz val="10"/>
        <rFont val="맑은 고딕"/>
        <family val="3"/>
        <charset val="129"/>
      </rPr>
      <t xml:space="preserve">(P/O </t>
    </r>
    <r>
      <rPr>
        <sz val="10"/>
        <rFont val="DejaVu Sans"/>
        <family val="2"/>
      </rPr>
      <t>후</t>
    </r>
    <r>
      <rPr>
        <sz val="10"/>
        <rFont val="맑은 고딕"/>
        <family val="3"/>
        <charset val="129"/>
      </rPr>
      <t>, METI)</t>
    </r>
  </si>
  <si>
    <t>Standard</t>
  </si>
  <si>
    <r>
      <rPr>
        <sz val="10"/>
        <rFont val="맑은 고딕"/>
        <family val="3"/>
        <charset val="129"/>
      </rPr>
      <t xml:space="preserve">30% </t>
    </r>
    <r>
      <rPr>
        <sz val="10"/>
        <rFont val="DejaVu Sans"/>
        <family val="2"/>
      </rPr>
      <t>선급</t>
    </r>
    <r>
      <rPr>
        <sz val="10"/>
        <rFont val="맑은 고딕"/>
        <family val="3"/>
        <charset val="129"/>
      </rPr>
      <t xml:space="preserve">, 50% </t>
    </r>
    <r>
      <rPr>
        <sz val="10"/>
        <rFont val="DejaVu Sans"/>
        <family val="2"/>
      </rPr>
      <t>선적 전</t>
    </r>
    <r>
      <rPr>
        <sz val="10"/>
        <rFont val="맑은 고딕"/>
        <family val="3"/>
        <charset val="129"/>
      </rPr>
      <t xml:space="preserve">, 20% </t>
    </r>
    <r>
      <rPr>
        <sz val="10"/>
        <rFont val="DejaVu Sans"/>
        <family val="2"/>
      </rPr>
      <t>설치 후</t>
    </r>
  </si>
  <si>
    <r>
      <rPr>
        <sz val="10"/>
        <rFont val="맑은 고딕"/>
        <family val="3"/>
        <charset val="129"/>
      </rPr>
      <t>4~4.5</t>
    </r>
    <r>
      <rPr>
        <sz val="10"/>
        <rFont val="DejaVu Sans"/>
        <family val="2"/>
      </rPr>
      <t xml:space="preserve">개월 </t>
    </r>
    <r>
      <rPr>
        <sz val="10"/>
        <rFont val="맑은 고딕"/>
        <family val="3"/>
        <charset val="129"/>
      </rPr>
      <t xml:space="preserve">(P/O </t>
    </r>
    <r>
      <rPr>
        <sz val="10"/>
        <rFont val="DejaVu Sans"/>
        <family val="2"/>
      </rPr>
      <t>후</t>
    </r>
    <r>
      <rPr>
        <sz val="10"/>
        <rFont val="맑은 고딕"/>
        <family val="3"/>
        <charset val="129"/>
      </rPr>
      <t>)</t>
    </r>
  </si>
  <si>
    <r>
      <rPr>
        <sz val="10"/>
        <rFont val="DejaVu Sans"/>
        <family val="2"/>
      </rPr>
      <t xml:space="preserve">기계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년</t>
    </r>
    <r>
      <rPr>
        <sz val="10"/>
        <rFont val="DejaVu Sans"/>
        <family val="2"/>
        <charset val="1"/>
      </rPr>
      <t>, Fanuc 2</t>
    </r>
    <r>
      <rPr>
        <sz val="10"/>
        <rFont val="DejaVu Sans"/>
        <family val="2"/>
      </rPr>
      <t>년</t>
    </r>
  </si>
  <si>
    <r>
      <rPr>
        <sz val="10"/>
        <rFont val="맑은 고딕"/>
        <family val="3"/>
        <charset val="129"/>
      </rPr>
      <t xml:space="preserve">30% </t>
    </r>
    <r>
      <rPr>
        <sz val="10"/>
        <rFont val="DejaVu Sans"/>
        <family val="2"/>
      </rPr>
      <t>계약금</t>
    </r>
    <r>
      <rPr>
        <sz val="10"/>
        <rFont val="맑은 고딕"/>
        <family val="3"/>
        <charset val="129"/>
      </rPr>
      <t xml:space="preserve">, 70% </t>
    </r>
    <r>
      <rPr>
        <sz val="10"/>
        <rFont val="DejaVu Sans"/>
        <family val="2"/>
      </rPr>
      <t>출고 전 완불</t>
    </r>
  </si>
  <si>
    <r>
      <rPr>
        <sz val="10"/>
        <rFont val="맑은 고딕"/>
        <family val="3"/>
        <charset val="129"/>
      </rPr>
      <t>3</t>
    </r>
    <r>
      <rPr>
        <sz val="10"/>
        <rFont val="DejaVu Sans"/>
        <family val="2"/>
      </rPr>
      <t xml:space="preserve">개월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계약금 지불 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</si>
  <si>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1</t>
    </r>
    <r>
      <rPr>
        <sz val="10"/>
        <rFont val="DejaVu Sans"/>
        <family val="2"/>
      </rPr>
      <t xml:space="preserve">년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 xml:space="preserve">설치 시운전 후 </t>
    </r>
    <r>
      <rPr>
        <sz val="10"/>
        <rFont val="맑은 고딕"/>
        <family val="3"/>
        <charset val="129"/>
      </rPr>
      <t>12</t>
    </r>
    <r>
      <rPr>
        <sz val="10"/>
        <rFont val="DejaVu Sans"/>
        <family val="2"/>
      </rPr>
      <t>개월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</si>
  <si>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30% </t>
    </r>
    <r>
      <rPr>
        <sz val="10"/>
        <rFont val="DejaVu Sans"/>
        <family val="2"/>
      </rPr>
      <t>계약 시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잔금 납품 후 현금</t>
    </r>
  </si>
  <si>
    <r>
      <rPr>
        <sz val="10"/>
        <rFont val="맑은 고딕"/>
        <family val="3"/>
        <charset val="129"/>
      </rPr>
      <t>3</t>
    </r>
    <r>
      <rPr>
        <sz val="10"/>
        <rFont val="DejaVu Sans"/>
        <family val="2"/>
      </rPr>
      <t xml:space="preserve">개월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계약일로 부터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</si>
  <si>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2</t>
    </r>
    <r>
      <rPr>
        <sz val="10"/>
        <rFont val="DejaVu Sans"/>
        <family val="2"/>
      </rPr>
      <t xml:space="preserve">년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설치 후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국내기준</t>
    </r>
    <r>
      <rPr>
        <sz val="10"/>
        <rFont val="맑은 고딕"/>
        <family val="3"/>
        <charset val="129"/>
      </rPr>
      <t>)</t>
    </r>
  </si>
  <si>
    <t>※ 참고사항</t>
  </si>
  <si>
    <r>
      <rPr>
        <i/>
        <sz val="9"/>
        <color rgb="FF888888"/>
        <rFont val="맑은 고딕"/>
        <family val="3"/>
        <charset val="129"/>
      </rPr>
      <t xml:space="preserve">• Sodick AL40G/AL60G/AL400G/AL600G: </t>
    </r>
    <r>
      <rPr>
        <i/>
        <sz val="9"/>
        <color rgb="FF888888"/>
        <rFont val="DejaVu Sans"/>
        <family val="2"/>
      </rPr>
      <t xml:space="preserve">견적서상 </t>
    </r>
    <r>
      <rPr>
        <i/>
        <sz val="9"/>
        <color rgb="FF888888"/>
        <rFont val="맑은 고딕"/>
        <family val="3"/>
        <charset val="129"/>
      </rPr>
      <t>FOB Thailand (</t>
    </r>
    <r>
      <rPr>
        <i/>
        <sz val="9"/>
        <color rgb="FF888888"/>
        <rFont val="DejaVu Sans"/>
        <family val="2"/>
      </rPr>
      <t>태국 공장 출하</t>
    </r>
    <r>
      <rPr>
        <i/>
        <sz val="9"/>
        <color rgb="FF888888"/>
        <rFont val="맑은 고딕"/>
        <family val="3"/>
        <charset val="129"/>
      </rPr>
      <t xml:space="preserve">), Sodick Korea </t>
    </r>
    <r>
      <rPr>
        <i/>
        <sz val="9"/>
        <color rgb="FF888888"/>
        <rFont val="DejaVu Sans"/>
        <family val="2"/>
      </rPr>
      <t>경유</t>
    </r>
  </si>
  <si>
    <r>
      <rPr>
        <i/>
        <sz val="9"/>
        <color rgb="FF888888"/>
        <rFont val="맑은 고딕"/>
        <family val="3"/>
        <charset val="129"/>
      </rPr>
      <t xml:space="preserve">• Sodick UX650L: </t>
    </r>
    <r>
      <rPr>
        <i/>
        <sz val="9"/>
        <color rgb="FF888888"/>
        <rFont val="DejaVu Sans"/>
        <family val="2"/>
      </rPr>
      <t xml:space="preserve">견적서상 </t>
    </r>
    <r>
      <rPr>
        <i/>
        <sz val="9"/>
        <color rgb="FF888888"/>
        <rFont val="맑은 고딕"/>
        <family val="3"/>
        <charset val="129"/>
      </rPr>
      <t>FOB Japan (</t>
    </r>
    <r>
      <rPr>
        <i/>
        <sz val="9"/>
        <color rgb="FF888888"/>
        <rFont val="DejaVu Sans"/>
        <family val="2"/>
      </rPr>
      <t>일본 출하</t>
    </r>
    <r>
      <rPr>
        <i/>
        <sz val="9"/>
        <color rgb="FF888888"/>
        <rFont val="맑은 고딕"/>
        <family val="3"/>
        <charset val="129"/>
      </rPr>
      <t xml:space="preserve">), </t>
    </r>
    <r>
      <rPr>
        <i/>
        <sz val="9"/>
        <color rgb="FF888888"/>
        <rFont val="DejaVu Sans"/>
        <family val="2"/>
      </rPr>
      <t xml:space="preserve">납기 </t>
    </r>
    <r>
      <rPr>
        <i/>
        <sz val="9"/>
        <color rgb="FF888888"/>
        <rFont val="맑은 고딕"/>
        <family val="3"/>
        <charset val="129"/>
      </rPr>
      <t>6~7</t>
    </r>
    <r>
      <rPr>
        <i/>
        <sz val="9"/>
        <color rgb="FF888888"/>
        <rFont val="DejaVu Sans"/>
        <family val="2"/>
      </rPr>
      <t>개월</t>
    </r>
  </si>
  <si>
    <r>
      <rPr>
        <i/>
        <sz val="9"/>
        <color rgb="FF888888"/>
        <rFont val="맑은 고딕"/>
        <family val="3"/>
        <charset val="129"/>
      </rPr>
      <t xml:space="preserve">• Sodick GS540L+: </t>
    </r>
    <r>
      <rPr>
        <i/>
        <sz val="9"/>
        <color rgb="FF888888"/>
        <rFont val="DejaVu Sans"/>
        <family val="2"/>
      </rPr>
      <t xml:space="preserve">견적서상 출하지 미명시 </t>
    </r>
    <r>
      <rPr>
        <i/>
        <sz val="9"/>
        <color rgb="FF888888"/>
        <rFont val="맑은 고딕"/>
        <family val="3"/>
        <charset val="129"/>
      </rPr>
      <t xml:space="preserve">(Sodick Korea </t>
    </r>
    <r>
      <rPr>
        <i/>
        <sz val="9"/>
        <color rgb="FF888888"/>
        <rFont val="DejaVu Sans"/>
        <family val="2"/>
      </rPr>
      <t>발행</t>
    </r>
    <r>
      <rPr>
        <i/>
        <sz val="9"/>
        <color rgb="FF888888"/>
        <rFont val="맑은 고딕"/>
        <family val="3"/>
        <charset val="129"/>
      </rPr>
      <t>)</t>
    </r>
  </si>
  <si>
    <r>
      <rPr>
        <i/>
        <sz val="9"/>
        <color rgb="FF888888"/>
        <rFont val="맑은 고딕"/>
        <family val="3"/>
        <charset val="129"/>
      </rPr>
      <t xml:space="preserve">• Makino </t>
    </r>
    <r>
      <rPr>
        <i/>
        <sz val="9"/>
        <color rgb="FF888888"/>
        <rFont val="DejaVu Sans"/>
        <family val="2"/>
      </rPr>
      <t>전모델</t>
    </r>
    <r>
      <rPr>
        <i/>
        <sz val="9"/>
        <color rgb="FF888888"/>
        <rFont val="맑은 고딕"/>
        <family val="3"/>
        <charset val="129"/>
      </rPr>
      <t xml:space="preserve">: CIF Hai Phong </t>
    </r>
    <r>
      <rPr>
        <i/>
        <sz val="9"/>
        <color rgb="FF888888"/>
        <rFont val="DejaVu Sans"/>
        <family val="2"/>
      </rPr>
      <t xml:space="preserve">조건 </t>
    </r>
    <r>
      <rPr>
        <i/>
        <sz val="9"/>
        <color rgb="FF888888"/>
        <rFont val="맑은 고딕"/>
        <family val="3"/>
        <charset val="129"/>
      </rPr>
      <t>(</t>
    </r>
    <r>
      <rPr>
        <i/>
        <sz val="9"/>
        <color rgb="FF888888"/>
        <rFont val="DejaVu Sans"/>
        <family val="2"/>
      </rPr>
      <t>운임</t>
    </r>
    <r>
      <rPr>
        <i/>
        <sz val="9"/>
        <color rgb="FF888888"/>
        <rFont val="맑은 고딕"/>
        <family val="3"/>
        <charset val="129"/>
      </rPr>
      <t>/</t>
    </r>
    <r>
      <rPr>
        <i/>
        <sz val="9"/>
        <color rgb="FF888888"/>
        <rFont val="DejaVu Sans"/>
        <family val="2"/>
      </rPr>
      <t>보험 포함가</t>
    </r>
    <r>
      <rPr>
        <i/>
        <sz val="9"/>
        <color rgb="FF888888"/>
        <rFont val="맑은 고딕"/>
        <family val="3"/>
        <charset val="129"/>
      </rPr>
      <t xml:space="preserve">), Makino Asia (Singapore) </t>
    </r>
    <r>
      <rPr>
        <i/>
        <sz val="9"/>
        <color rgb="FF888888"/>
        <rFont val="DejaVu Sans"/>
        <family val="2"/>
      </rPr>
      <t>경유</t>
    </r>
    <r>
      <rPr>
        <i/>
        <sz val="9"/>
        <color rgb="FF888888"/>
        <rFont val="맑은 고딕"/>
        <family val="3"/>
        <charset val="129"/>
      </rPr>
      <t xml:space="preserve">, METI/TSC </t>
    </r>
    <r>
      <rPr>
        <i/>
        <sz val="9"/>
        <color rgb="FF888888"/>
        <rFont val="DejaVu Sans"/>
        <family val="2"/>
      </rPr>
      <t>승인 필요</t>
    </r>
  </si>
  <si>
    <r>
      <rPr>
        <i/>
        <sz val="9"/>
        <color rgb="FF888888"/>
        <rFont val="맑은 고딕"/>
        <family val="3"/>
        <charset val="129"/>
      </rPr>
      <t xml:space="preserve">• DN Solutions DVF5000: DDP </t>
    </r>
    <r>
      <rPr>
        <i/>
        <sz val="9"/>
        <color rgb="FF888888"/>
        <rFont val="DejaVu Sans"/>
        <family val="2"/>
      </rPr>
      <t xml:space="preserve">조건 </t>
    </r>
    <r>
      <rPr>
        <i/>
        <sz val="9"/>
        <color rgb="FF888888"/>
        <rFont val="맑은 고딕"/>
        <family val="3"/>
        <charset val="129"/>
      </rPr>
      <t>(</t>
    </r>
    <r>
      <rPr>
        <i/>
        <sz val="9"/>
        <color rgb="FF888888"/>
        <rFont val="DejaVu Sans"/>
        <family val="2"/>
      </rPr>
      <t>베트남 현지법인 발행</t>
    </r>
    <r>
      <rPr>
        <i/>
        <sz val="9"/>
        <color rgb="FF888888"/>
        <rFont val="맑은 고딕"/>
        <family val="3"/>
        <charset val="129"/>
      </rPr>
      <t xml:space="preserve">, </t>
    </r>
    <r>
      <rPr>
        <i/>
        <sz val="9"/>
        <color rgb="FF888888"/>
        <rFont val="DejaVu Sans"/>
        <family val="2"/>
      </rPr>
      <t>통관</t>
    </r>
    <r>
      <rPr>
        <i/>
        <sz val="9"/>
        <color rgb="FF888888"/>
        <rFont val="맑은 고딕"/>
        <family val="3"/>
        <charset val="129"/>
      </rPr>
      <t>/</t>
    </r>
    <r>
      <rPr>
        <i/>
        <sz val="9"/>
        <color rgb="FF888888"/>
        <rFont val="DejaVu Sans"/>
        <family val="2"/>
      </rPr>
      <t>운송</t>
    </r>
    <r>
      <rPr>
        <i/>
        <sz val="9"/>
        <color rgb="FF888888"/>
        <rFont val="맑은 고딕"/>
        <family val="3"/>
        <charset val="129"/>
      </rPr>
      <t>/</t>
    </r>
    <r>
      <rPr>
        <i/>
        <sz val="9"/>
        <color rgb="FF888888"/>
        <rFont val="DejaVu Sans"/>
        <family val="2"/>
      </rPr>
      <t>설치비 포함</t>
    </r>
    <r>
      <rPr>
        <i/>
        <sz val="9"/>
        <color rgb="FF888888"/>
        <rFont val="맑은 고딕"/>
        <family val="3"/>
        <charset val="129"/>
      </rPr>
      <t xml:space="preserve">), </t>
    </r>
    <r>
      <rPr>
        <i/>
        <sz val="9"/>
        <color rgb="FF888888"/>
        <rFont val="DejaVu Sans"/>
        <family val="2"/>
      </rPr>
      <t xml:space="preserve">결제 </t>
    </r>
    <r>
      <rPr>
        <i/>
        <sz val="9"/>
        <color rgb="FF888888"/>
        <rFont val="맑은 고딕"/>
        <family val="3"/>
        <charset val="129"/>
      </rPr>
      <t>20%+70%+10%(FAC)</t>
    </r>
  </si>
  <si>
    <r>
      <rPr>
        <i/>
        <sz val="9"/>
        <color rgb="FF888888"/>
        <rFont val="맑은 고딕"/>
        <family val="3"/>
        <charset val="129"/>
      </rPr>
      <t xml:space="preserve">• GF </t>
    </r>
    <r>
      <rPr>
        <i/>
        <sz val="9"/>
        <color rgb="FF888888"/>
        <rFont val="DejaVu Sans"/>
        <family val="2"/>
      </rPr>
      <t>전모델</t>
    </r>
    <r>
      <rPr>
        <i/>
        <sz val="9"/>
        <color rgb="FF888888"/>
        <rFont val="맑은 고딕"/>
        <family val="3"/>
        <charset val="129"/>
      </rPr>
      <t xml:space="preserve">: FOB </t>
    </r>
    <r>
      <rPr>
        <i/>
        <sz val="9"/>
        <color rgb="FF888888"/>
        <rFont val="DejaVu Sans"/>
        <family val="2"/>
      </rPr>
      <t xml:space="preserve">기준 </t>
    </r>
    <r>
      <rPr>
        <i/>
        <sz val="9"/>
        <color rgb="FF888888"/>
        <rFont val="맑은 고딕"/>
        <family val="3"/>
        <charset val="129"/>
      </rPr>
      <t xml:space="preserve">(GF Korea </t>
    </r>
    <r>
      <rPr>
        <i/>
        <sz val="9"/>
        <color rgb="FF888888"/>
        <rFont val="DejaVu Sans"/>
        <family val="2"/>
      </rPr>
      <t>경유</t>
    </r>
    <r>
      <rPr>
        <i/>
        <sz val="9"/>
        <color rgb="FF888888"/>
        <rFont val="맑은 고딕"/>
        <family val="3"/>
        <charset val="129"/>
      </rPr>
      <t xml:space="preserve">, </t>
    </r>
    <r>
      <rPr>
        <i/>
        <sz val="9"/>
        <color rgb="FF888888"/>
        <rFont val="DejaVu Sans"/>
        <family val="2"/>
      </rPr>
      <t>스위스 제조</t>
    </r>
    <r>
      <rPr>
        <i/>
        <sz val="9"/>
        <color rgb="FF888888"/>
        <rFont val="맑은 고딕"/>
        <family val="3"/>
        <charset val="129"/>
      </rPr>
      <t>)</t>
    </r>
  </si>
  <si>
    <r>
      <rPr>
        <i/>
        <sz val="9"/>
        <color rgb="FF888888"/>
        <rFont val="DejaVu Sans"/>
        <family val="2"/>
      </rPr>
      <t>• 코마텍</t>
    </r>
    <r>
      <rPr>
        <i/>
        <sz val="9"/>
        <color rgb="FF888888"/>
        <rFont val="DejaVu Sans"/>
        <family val="2"/>
        <charset val="1"/>
      </rPr>
      <t>: FOB Busan (</t>
    </r>
    <r>
      <rPr>
        <i/>
        <sz val="9"/>
        <color rgb="FF888888"/>
        <rFont val="DejaVu Sans"/>
        <family val="2"/>
      </rPr>
      <t>한국 제조</t>
    </r>
    <r>
      <rPr>
        <i/>
        <sz val="9"/>
        <color rgb="FF888888"/>
        <rFont val="DejaVu Sans"/>
        <family val="2"/>
        <charset val="1"/>
      </rPr>
      <t>)</t>
    </r>
  </si>
  <si>
    <r>
      <rPr>
        <sz val="11"/>
        <color theme="1"/>
        <rFont val="DejaVu Sans"/>
        <family val="2"/>
      </rPr>
      <t>• 화천</t>
    </r>
    <r>
      <rPr>
        <sz val="11"/>
        <color theme="1"/>
        <rFont val="DejaVu Sans"/>
        <family val="2"/>
        <charset val="1"/>
      </rPr>
      <t xml:space="preserve">: DDP </t>
    </r>
    <r>
      <rPr>
        <sz val="11"/>
        <color theme="1"/>
        <rFont val="DejaVu Sans"/>
        <family val="2"/>
      </rPr>
      <t xml:space="preserve">조건 </t>
    </r>
    <r>
      <rPr>
        <sz val="11"/>
        <color theme="1"/>
        <rFont val="DejaVu Sans"/>
        <family val="2"/>
        <charset val="1"/>
      </rPr>
      <t>(</t>
    </r>
    <r>
      <rPr>
        <sz val="11"/>
        <color theme="1"/>
        <rFont val="DejaVu Sans"/>
        <family val="2"/>
      </rPr>
      <t>화천베트남법인 발행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>운송</t>
    </r>
    <r>
      <rPr>
        <sz val="11"/>
        <color theme="1"/>
        <rFont val="DejaVu Sans"/>
        <family val="2"/>
        <charset val="1"/>
      </rPr>
      <t>/</t>
    </r>
    <r>
      <rPr>
        <sz val="11"/>
        <color theme="1"/>
        <rFont val="DejaVu Sans"/>
        <family val="2"/>
      </rPr>
      <t>설치</t>
    </r>
    <r>
      <rPr>
        <sz val="11"/>
        <color theme="1"/>
        <rFont val="DejaVu Sans"/>
        <family val="2"/>
        <charset val="1"/>
      </rPr>
      <t>/</t>
    </r>
    <r>
      <rPr>
        <sz val="11"/>
        <color theme="1"/>
        <rFont val="DejaVu Sans"/>
        <family val="2"/>
      </rPr>
      <t>시운전 포함</t>
    </r>
    <r>
      <rPr>
        <sz val="11"/>
        <color theme="1"/>
        <rFont val="DejaVu Sans"/>
        <family val="2"/>
        <charset val="1"/>
      </rPr>
      <t xml:space="preserve">), </t>
    </r>
    <r>
      <rPr>
        <sz val="11"/>
        <color theme="1"/>
        <rFont val="DejaVu Sans"/>
        <family val="2"/>
      </rPr>
      <t xml:space="preserve">결제 </t>
    </r>
    <r>
      <rPr>
        <sz val="11"/>
        <color theme="1"/>
        <rFont val="DejaVu Sans"/>
        <family val="2"/>
        <charset val="1"/>
      </rPr>
      <t>30%+50%+20%</t>
    </r>
  </si>
  <si>
    <r>
      <rPr>
        <b/>
        <sz val="10"/>
        <color rgb="FFFF0000"/>
        <rFont val="맑은 고딕"/>
        <family val="3"/>
        <charset val="129"/>
      </rPr>
      <t>• SPM: FOB Korea (</t>
    </r>
    <r>
      <rPr>
        <b/>
        <sz val="10"/>
        <color rgb="FFFF0000"/>
        <rFont val="DejaVu Sans"/>
        <family val="2"/>
      </rPr>
      <t>한국 안산 제조</t>
    </r>
    <r>
      <rPr>
        <b/>
        <sz val="10"/>
        <color rgb="FFFF0000"/>
        <rFont val="맑은 고딕"/>
        <family val="3"/>
        <charset val="129"/>
      </rPr>
      <t xml:space="preserve">), </t>
    </r>
    <r>
      <rPr>
        <b/>
        <sz val="10"/>
        <color rgb="FFFF0000"/>
        <rFont val="DejaVu Sans"/>
        <family val="2"/>
      </rPr>
      <t xml:space="preserve">결제 </t>
    </r>
    <r>
      <rPr>
        <b/>
        <sz val="10"/>
        <color rgb="FFFF0000"/>
        <rFont val="맑은 고딕"/>
        <family val="3"/>
        <charset val="129"/>
      </rPr>
      <t xml:space="preserve">30%+70%, </t>
    </r>
    <r>
      <rPr>
        <b/>
        <sz val="10"/>
        <color rgb="FFFF0000"/>
        <rFont val="DejaVu Sans"/>
        <family val="2"/>
      </rPr>
      <t xml:space="preserve">납기 </t>
    </r>
    <r>
      <rPr>
        <b/>
        <sz val="10"/>
        <color rgb="FFFF0000"/>
        <rFont val="맑은 고딕"/>
        <family val="3"/>
        <charset val="129"/>
      </rPr>
      <t>3</t>
    </r>
    <r>
      <rPr>
        <b/>
        <sz val="10"/>
        <color rgb="FFFF0000"/>
        <rFont val="DejaVu Sans"/>
        <family val="2"/>
      </rPr>
      <t>개월</t>
    </r>
  </si>
  <si>
    <r>
      <rPr>
        <sz val="11"/>
        <color theme="1"/>
        <rFont val="맑은 고딕"/>
        <family val="2"/>
        <charset val="1"/>
      </rPr>
      <t xml:space="preserve">• FANUC: </t>
    </r>
    <r>
      <rPr>
        <sz val="11"/>
        <color theme="1"/>
        <rFont val="DejaVu Sans"/>
        <family val="2"/>
      </rPr>
      <t xml:space="preserve">한국화낙 경유 </t>
    </r>
    <r>
      <rPr>
        <sz val="11"/>
        <color theme="1"/>
        <rFont val="맑은 고딕"/>
        <family val="2"/>
        <charset val="1"/>
      </rPr>
      <t>(</t>
    </r>
    <r>
      <rPr>
        <sz val="11"/>
        <color theme="1"/>
        <rFont val="DejaVu Sans"/>
        <family val="2"/>
      </rPr>
      <t>일본 제조</t>
    </r>
    <r>
      <rPr>
        <sz val="11"/>
        <color theme="1"/>
        <rFont val="맑은 고딕"/>
        <family val="2"/>
        <charset val="1"/>
      </rPr>
      <t xml:space="preserve">), </t>
    </r>
    <r>
      <rPr>
        <sz val="11"/>
        <color theme="1"/>
        <rFont val="DejaVu Sans"/>
        <family val="2"/>
      </rPr>
      <t xml:space="preserve">결제 </t>
    </r>
    <r>
      <rPr>
        <sz val="11"/>
        <color theme="1"/>
        <rFont val="맑은 고딕"/>
        <family val="2"/>
        <charset val="1"/>
      </rPr>
      <t>30%+</t>
    </r>
    <r>
      <rPr>
        <sz val="11"/>
        <color theme="1"/>
        <rFont val="DejaVu Sans"/>
        <family val="2"/>
      </rPr>
      <t>잔금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납기 </t>
    </r>
    <r>
      <rPr>
        <sz val="11"/>
        <color theme="1"/>
        <rFont val="맑은 고딕"/>
        <family val="2"/>
        <charset val="1"/>
      </rPr>
      <t>3</t>
    </r>
    <r>
      <rPr>
        <sz val="11"/>
        <color theme="1"/>
        <rFont val="DejaVu Sans"/>
        <family val="2"/>
      </rPr>
      <t>개월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보증 </t>
    </r>
    <r>
      <rPr>
        <sz val="11"/>
        <color theme="1"/>
        <rFont val="맑은 고딕"/>
        <family val="2"/>
        <charset val="1"/>
      </rPr>
      <t>2</t>
    </r>
    <r>
      <rPr>
        <sz val="11"/>
        <color theme="1"/>
        <rFont val="DejaVu Sans"/>
        <family val="2"/>
      </rPr>
      <t>년</t>
    </r>
  </si>
  <si>
    <r>
      <rPr>
        <sz val="11"/>
        <color theme="1"/>
        <rFont val="맑은 고딕"/>
        <family val="2"/>
        <charset val="1"/>
      </rPr>
      <t xml:space="preserve">GF </t>
    </r>
    <r>
      <rPr>
        <sz val="11"/>
        <color theme="1"/>
        <rFont val="DejaVu Sans"/>
        <family val="2"/>
      </rPr>
      <t>자동화</t>
    </r>
  </si>
  <si>
    <t>System 3R</t>
  </si>
  <si>
    <r>
      <rPr>
        <sz val="11"/>
        <color theme="1"/>
        <rFont val="맑은 고딕"/>
        <family val="2"/>
        <charset val="1"/>
      </rPr>
      <t>$472,000 (</t>
    </r>
    <r>
      <rPr>
        <sz val="11"/>
        <color theme="1"/>
        <rFont val="DejaVu Sans"/>
        <family val="2"/>
      </rPr>
      <t>턴키 솔루션</t>
    </r>
    <r>
      <rPr>
        <sz val="11"/>
        <color theme="1"/>
        <rFont val="맑은 고딕"/>
        <family val="2"/>
        <charset val="1"/>
      </rPr>
      <t>)</t>
    </r>
  </si>
  <si>
    <r>
      <rPr>
        <b/>
        <sz val="14"/>
        <color rgb="FF1F4E79"/>
        <rFont val="맑은 고딕"/>
        <family val="3"/>
        <charset val="129"/>
      </rPr>
      <t xml:space="preserve">GF </t>
    </r>
    <r>
      <rPr>
        <b/>
        <sz val="14"/>
        <color rgb="FF1F4E79"/>
        <rFont val="DejaVu Sans"/>
        <family val="2"/>
      </rPr>
      <t>자동화 턴키 솔루션 상세</t>
    </r>
  </si>
  <si>
    <r>
      <rPr>
        <sz val="10"/>
        <color rgb="FF666666"/>
        <rFont val="맑은 고딕"/>
        <family val="3"/>
        <charset val="129"/>
      </rPr>
      <t xml:space="preserve">GFMS </t>
    </r>
    <r>
      <rPr>
        <sz val="10"/>
        <color rgb="FF666666"/>
        <rFont val="DejaVu Sans"/>
        <family val="2"/>
      </rPr>
      <t xml:space="preserve">견적서 기준 </t>
    </r>
    <r>
      <rPr>
        <sz val="10"/>
        <color rgb="FF666666"/>
        <rFont val="맑은 고딕"/>
        <family val="3"/>
        <charset val="129"/>
      </rPr>
      <t>| M&amp;C Electronics Vina | FOB/USD</t>
    </r>
  </si>
  <si>
    <t>기계타입</t>
  </si>
  <si>
    <t>기계명</t>
  </si>
  <si>
    <r>
      <rPr>
        <b/>
        <sz val="11"/>
        <color rgb="FFFFFFFF"/>
        <rFont val="DejaVu Sans"/>
        <family val="2"/>
      </rPr>
      <t xml:space="preserve">스트로크 </t>
    </r>
    <r>
      <rPr>
        <b/>
        <sz val="11"/>
        <color rgb="FFFFFFFF"/>
        <rFont val="DejaVu Sans"/>
        <family val="2"/>
        <charset val="1"/>
      </rPr>
      <t>(mm)</t>
    </r>
  </si>
  <si>
    <r>
      <rPr>
        <b/>
        <sz val="11"/>
        <color rgb="FFFFFFFF"/>
        <rFont val="DejaVu Sans"/>
        <family val="2"/>
      </rPr>
      <t xml:space="preserve">가격 </t>
    </r>
    <r>
      <rPr>
        <b/>
        <sz val="11"/>
        <color rgb="FFFFFFFF"/>
        <rFont val="DejaVu Sans"/>
        <family val="2"/>
        <charset val="1"/>
      </rPr>
      <t>(USD)</t>
    </r>
  </si>
  <si>
    <t>Form P 350</t>
  </si>
  <si>
    <t>350 x 250 x 300</t>
  </si>
  <si>
    <r>
      <rPr>
        <sz val="10"/>
        <rFont val="맑은 고딕"/>
        <family val="3"/>
        <charset val="129"/>
      </rPr>
      <t>C</t>
    </r>
    <r>
      <rPr>
        <sz val="10"/>
        <rFont val="DejaVu Sans"/>
        <family val="2"/>
      </rPr>
      <t>축</t>
    </r>
    <r>
      <rPr>
        <sz val="10"/>
        <rFont val="맑은 고딕"/>
        <family val="3"/>
        <charset val="129"/>
      </rPr>
      <t xml:space="preserve">, Erowa ITS </t>
    </r>
    <r>
      <rPr>
        <sz val="10"/>
        <rFont val="DejaVu Sans"/>
        <family val="2"/>
      </rPr>
      <t>척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오토메이션 키트</t>
    </r>
  </si>
  <si>
    <t>와이어 방전기</t>
  </si>
  <si>
    <t>350 x 250 x 250</t>
  </si>
  <si>
    <r>
      <rPr>
        <sz val="10"/>
        <rFont val="맑은 고딕"/>
        <family val="3"/>
        <charset val="129"/>
      </rPr>
      <t xml:space="preserve">D 0.25 </t>
    </r>
    <r>
      <rPr>
        <sz val="10"/>
        <rFont val="DejaVu Sans"/>
        <family val="2"/>
      </rPr>
      <t>와이어 가이드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자동 결선 유닛</t>
    </r>
  </si>
  <si>
    <r>
      <rPr>
        <sz val="10"/>
        <rFont val="DejaVu Sans"/>
        <family val="2"/>
      </rPr>
      <t xml:space="preserve">밀링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고속</t>
    </r>
    <r>
      <rPr>
        <sz val="10"/>
        <rFont val="DejaVu Sans"/>
        <family val="2"/>
        <charset val="1"/>
      </rPr>
      <t>)</t>
    </r>
  </si>
  <si>
    <t>500 x 450 x 350</t>
  </si>
  <si>
    <r>
      <rPr>
        <sz val="10"/>
        <rFont val="맑은 고딕"/>
        <family val="3"/>
        <charset val="129"/>
      </rPr>
      <t xml:space="preserve">42,000 rpm, 36 ATC, HSK E40, </t>
    </r>
    <r>
      <rPr>
        <sz val="10"/>
        <rFont val="DejaVu Sans"/>
        <family val="2"/>
      </rPr>
      <t>레이저 메저링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로봇 인터페이스</t>
    </r>
  </si>
  <si>
    <t>자동화</t>
  </si>
  <si>
    <t>System 3R Automation</t>
  </si>
  <si>
    <t>$472,000</t>
  </si>
  <si>
    <r>
      <rPr>
        <sz val="10"/>
        <rFont val="맑은 고딕"/>
        <family val="3"/>
        <charset val="129"/>
      </rPr>
      <t xml:space="preserve">Fanuc R-2000iC </t>
    </r>
    <r>
      <rPr>
        <sz val="10"/>
        <rFont val="DejaVu Sans"/>
        <family val="2"/>
      </rPr>
      <t>로봇</t>
    </r>
    <r>
      <rPr>
        <sz val="10"/>
        <rFont val="맑은 고딕"/>
        <family val="3"/>
        <charset val="129"/>
      </rPr>
      <t xml:space="preserve">, S3R WSM </t>
    </r>
    <r>
      <rPr>
        <sz val="10"/>
        <rFont val="DejaVu Sans"/>
        <family val="2"/>
      </rPr>
      <t>소프트웨어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 xml:space="preserve">다이나픽스 척 </t>
    </r>
    <r>
      <rPr>
        <sz val="10"/>
        <rFont val="맑은 고딕"/>
        <family val="3"/>
        <charset val="129"/>
      </rPr>
      <t xml:space="preserve">4ea, </t>
    </r>
    <r>
      <rPr>
        <sz val="10"/>
        <rFont val="DejaVu Sans"/>
        <family val="2"/>
      </rPr>
      <t xml:space="preserve">다이나픽스 팔레트 </t>
    </r>
    <r>
      <rPr>
        <sz val="10"/>
        <rFont val="맑은 고딕"/>
        <family val="3"/>
        <charset val="129"/>
      </rPr>
      <t xml:space="preserve">10ea, Erowa ITS </t>
    </r>
    <r>
      <rPr>
        <sz val="10"/>
        <rFont val="DejaVu Sans"/>
        <family val="2"/>
      </rPr>
      <t xml:space="preserve">홀더 </t>
    </r>
    <r>
      <rPr>
        <sz val="10"/>
        <rFont val="맑은 고딕"/>
        <family val="3"/>
        <charset val="129"/>
      </rPr>
      <t>100ea</t>
    </r>
  </si>
  <si>
    <t>TOTAL</t>
  </si>
  <si>
    <t>$1,194,000</t>
  </si>
  <si>
    <r>
      <rPr>
        <i/>
        <sz val="9"/>
        <color rgb="FF888888"/>
        <rFont val="맑은 고딕"/>
        <family val="3"/>
        <charset val="129"/>
      </rPr>
      <t xml:space="preserve">※ GF </t>
    </r>
    <r>
      <rPr>
        <i/>
        <sz val="9"/>
        <color rgb="FF888888"/>
        <rFont val="DejaVu Sans"/>
        <family val="2"/>
      </rPr>
      <t>자동화 턴키 솔루션</t>
    </r>
    <r>
      <rPr>
        <i/>
        <sz val="9"/>
        <color rgb="FF888888"/>
        <rFont val="맑은 고딕"/>
        <family val="3"/>
        <charset val="129"/>
      </rPr>
      <t xml:space="preserve">: </t>
    </r>
    <r>
      <rPr>
        <i/>
        <sz val="9"/>
        <color rgb="FF888888"/>
        <rFont val="DejaVu Sans"/>
        <family val="2"/>
      </rPr>
      <t xml:space="preserve">방전기 </t>
    </r>
    <r>
      <rPr>
        <i/>
        <sz val="9"/>
        <color rgb="FF888888"/>
        <rFont val="맑은 고딕"/>
        <family val="3"/>
        <charset val="129"/>
      </rPr>
      <t>2</t>
    </r>
    <r>
      <rPr>
        <i/>
        <sz val="9"/>
        <color rgb="FF888888"/>
        <rFont val="DejaVu Sans"/>
        <family val="2"/>
      </rPr>
      <t xml:space="preserve">대 </t>
    </r>
    <r>
      <rPr>
        <i/>
        <sz val="9"/>
        <color rgb="FF888888"/>
        <rFont val="맑은 고딕"/>
        <family val="3"/>
        <charset val="129"/>
      </rPr>
      <t xml:space="preserve">+ </t>
    </r>
    <r>
      <rPr>
        <i/>
        <sz val="9"/>
        <color rgb="FF888888"/>
        <rFont val="DejaVu Sans"/>
        <family val="2"/>
      </rPr>
      <t xml:space="preserve">와이어커팅기 </t>
    </r>
    <r>
      <rPr>
        <i/>
        <sz val="9"/>
        <color rgb="FF888888"/>
        <rFont val="맑은 고딕"/>
        <family val="3"/>
        <charset val="129"/>
      </rPr>
      <t>1</t>
    </r>
    <r>
      <rPr>
        <i/>
        <sz val="9"/>
        <color rgb="FF888888"/>
        <rFont val="DejaVu Sans"/>
        <family val="2"/>
      </rPr>
      <t xml:space="preserve">대 </t>
    </r>
    <r>
      <rPr>
        <i/>
        <sz val="9"/>
        <color rgb="FF888888"/>
        <rFont val="맑은 고딕"/>
        <family val="3"/>
        <charset val="129"/>
      </rPr>
      <t xml:space="preserve">+ </t>
    </r>
    <r>
      <rPr>
        <i/>
        <sz val="9"/>
        <color rgb="FF888888"/>
        <rFont val="DejaVu Sans"/>
        <family val="2"/>
      </rPr>
      <t xml:space="preserve">밀링 </t>
    </r>
    <r>
      <rPr>
        <i/>
        <sz val="9"/>
        <color rgb="FF888888"/>
        <rFont val="맑은 고딕"/>
        <family val="3"/>
        <charset val="129"/>
      </rPr>
      <t>1</t>
    </r>
    <r>
      <rPr>
        <i/>
        <sz val="9"/>
        <color rgb="FF888888"/>
        <rFont val="DejaVu Sans"/>
        <family val="2"/>
      </rPr>
      <t xml:space="preserve">대 </t>
    </r>
    <r>
      <rPr>
        <i/>
        <sz val="9"/>
        <color rgb="FF888888"/>
        <rFont val="맑은 고딕"/>
        <family val="3"/>
        <charset val="129"/>
      </rPr>
      <t xml:space="preserve">+ </t>
    </r>
    <r>
      <rPr>
        <i/>
        <sz val="9"/>
        <color rgb="FF888888"/>
        <rFont val="DejaVu Sans"/>
        <family val="2"/>
      </rPr>
      <t>자동화 시스템 통합 패키지</t>
    </r>
  </si>
  <si>
    <r>
      <rPr>
        <i/>
        <sz val="9"/>
        <color rgb="FF888888"/>
        <rFont val="DejaVu Sans"/>
        <family val="2"/>
      </rPr>
      <t>※ 자동화 시스템 구성</t>
    </r>
    <r>
      <rPr>
        <i/>
        <sz val="9"/>
        <color rgb="FF888888"/>
        <rFont val="DejaVu Sans"/>
        <family val="2"/>
        <charset val="1"/>
      </rPr>
      <t xml:space="preserve">: Fanuc </t>
    </r>
    <r>
      <rPr>
        <i/>
        <sz val="9"/>
        <color rgb="FF888888"/>
        <rFont val="DejaVu Sans"/>
        <family val="2"/>
      </rPr>
      <t xml:space="preserve">로봇 </t>
    </r>
    <r>
      <rPr>
        <i/>
        <sz val="9"/>
        <color rgb="FF888888"/>
        <rFont val="DejaVu Sans"/>
        <family val="2"/>
        <charset val="1"/>
      </rPr>
      <t xml:space="preserve">+ S3R </t>
    </r>
    <r>
      <rPr>
        <i/>
        <sz val="9"/>
        <color rgb="FF888888"/>
        <rFont val="DejaVu Sans"/>
        <family val="2"/>
      </rPr>
      <t>워크숍 매니저</t>
    </r>
    <r>
      <rPr>
        <i/>
        <sz val="9"/>
        <color rgb="FF888888"/>
        <rFont val="DejaVu Sans"/>
        <family val="2"/>
        <charset val="1"/>
      </rPr>
      <t>(</t>
    </r>
    <r>
      <rPr>
        <i/>
        <sz val="9"/>
        <color rgb="FF888888"/>
        <rFont val="DejaVu Sans"/>
        <family val="2"/>
      </rPr>
      <t>소프트웨어</t>
    </r>
    <r>
      <rPr>
        <i/>
        <sz val="9"/>
        <color rgb="FF888888"/>
        <rFont val="DejaVu Sans"/>
        <family val="2"/>
        <charset val="1"/>
      </rPr>
      <t xml:space="preserve">) + </t>
    </r>
    <r>
      <rPr>
        <i/>
        <sz val="9"/>
        <color rgb="FF888888"/>
        <rFont val="DejaVu Sans"/>
        <family val="2"/>
      </rPr>
      <t>매거진</t>
    </r>
    <r>
      <rPr>
        <i/>
        <sz val="9"/>
        <color rgb="FF888888"/>
        <rFont val="DejaVu Sans"/>
        <family val="2"/>
        <charset val="1"/>
      </rPr>
      <t>(</t>
    </r>
    <r>
      <rPr>
        <i/>
        <sz val="9"/>
        <color rgb="FF888888"/>
        <rFont val="DejaVu Sans"/>
        <family val="2"/>
      </rPr>
      <t>공작물</t>
    </r>
    <r>
      <rPr>
        <i/>
        <sz val="9"/>
        <color rgb="FF888888"/>
        <rFont val="DejaVu Sans"/>
        <family val="2"/>
        <charset val="1"/>
      </rPr>
      <t>/</t>
    </r>
    <r>
      <rPr>
        <i/>
        <sz val="9"/>
        <color rgb="FF888888"/>
        <rFont val="DejaVu Sans"/>
        <family val="2"/>
      </rPr>
      <t>전극 자동 로딩</t>
    </r>
    <r>
      <rPr>
        <i/>
        <sz val="9"/>
        <color rgb="FF888888"/>
        <rFont val="DejaVu Sans"/>
        <family val="2"/>
        <charset val="1"/>
      </rPr>
      <t>)</t>
    </r>
  </si>
  <si>
    <r>
      <rPr>
        <i/>
        <sz val="9"/>
        <color rgb="FF888888"/>
        <rFont val="DejaVu Sans"/>
        <family val="2"/>
      </rPr>
      <t>※ 원산지</t>
    </r>
    <r>
      <rPr>
        <i/>
        <sz val="9"/>
        <color rgb="FF888888"/>
        <rFont val="DejaVu Sans"/>
        <family val="2"/>
        <charset val="1"/>
      </rPr>
      <t xml:space="preserve">: Switzerland (GF Machining Solutions), GF Korea </t>
    </r>
    <r>
      <rPr>
        <i/>
        <sz val="9"/>
        <color rgb="FF888888"/>
        <rFont val="DejaVu Sans"/>
        <family val="2"/>
      </rPr>
      <t>경유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</si>
</sst>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\-_-;_-@_-"/>
    <numFmt numFmtId="177" formatCode="_-[$$-409]* #,##0_ ;_-[$$-409]* \-#,##0\ ;_-[$$-409]* \-??_ ;_-@_ "/>
    <numFmt numFmtId="178" formatCode="&quot;US$&quot;#,##0_);&quot;(US$&quot;#,##0\)"/>
  </numFmts>
  <fonts count="29" x14ac:knownFonts="1">
    <font>
      <sz val="11"/>
      <color theme="1"/>
      <name val="맑은 고딕"/>
      <family val="2"/>
      <charset val="1"/>
    </font>
    <font>
      <b/>
      <sz val="14"/>
      <color rgb="FF1F4E79"/>
      <name val="DejaVu Sans"/>
      <family val="2"/>
    </font>
    <font>
      <sz val="10"/>
      <color rgb="FF666666"/>
      <name val="맑은 고딕"/>
      <family val="3"/>
      <charset val="129"/>
    </font>
    <font>
      <sz val="10"/>
      <color rgb="FF666666"/>
      <name val="DejaVu Sans"/>
      <family val="2"/>
    </font>
    <font>
      <b/>
      <sz val="11"/>
      <color rgb="FFFFFFFF"/>
      <name val="맑은 고딕"/>
      <family val="3"/>
      <charset val="129"/>
    </font>
    <font>
      <b/>
      <sz val="11"/>
      <color rgb="FFFFFFFF"/>
      <name val="DejaVu Sans"/>
      <family val="2"/>
    </font>
    <font>
      <b/>
      <sz val="11"/>
      <color rgb="FFFFFFFF"/>
      <name val="DejaVu Sans"/>
      <family val="2"/>
      <charset val="1"/>
    </font>
    <font>
      <sz val="10"/>
      <name val="맑은 고딕"/>
      <family val="3"/>
      <charset val="129"/>
    </font>
    <font>
      <sz val="10"/>
      <name val="DejaVu Sans"/>
      <family val="2"/>
    </font>
    <font>
      <b/>
      <sz val="10"/>
      <name val="맑은 고딕"/>
      <family val="3"/>
      <charset val="129"/>
    </font>
    <font>
      <b/>
      <sz val="14"/>
      <color rgb="FF1F4E79"/>
      <name val="DejaVu Sans"/>
      <family val="2"/>
      <charset val="1"/>
    </font>
    <font>
      <sz val="10"/>
      <color rgb="FF666666"/>
      <name val="DejaVu Sans"/>
      <family val="2"/>
      <charset val="1"/>
    </font>
    <font>
      <b/>
      <sz val="10"/>
      <name val="DejaVu Sans"/>
      <family val="2"/>
    </font>
    <font>
      <sz val="10"/>
      <name val="DejaVu Sans"/>
      <family val="2"/>
      <charset val="1"/>
    </font>
    <font>
      <b/>
      <sz val="10"/>
      <name val="DejaVu Sans"/>
      <family val="2"/>
      <charset val="1"/>
    </font>
    <font>
      <b/>
      <sz val="11"/>
      <name val="DejaVu Sans"/>
      <family val="2"/>
    </font>
    <font>
      <sz val="11"/>
      <color theme="1"/>
      <name val="맑은 고딕"/>
      <family val="3"/>
      <charset val="129"/>
    </font>
    <font>
      <b/>
      <sz val="14"/>
      <color rgb="FF1F4E79"/>
      <name val="맑은 고딕"/>
      <family val="3"/>
      <charset val="129"/>
    </font>
    <font>
      <b/>
      <sz val="11"/>
      <color rgb="FF1F4E79"/>
      <name val="DejaVu Sans"/>
      <family val="2"/>
    </font>
    <font>
      <i/>
      <sz val="9"/>
      <color rgb="FF888888"/>
      <name val="맑은 고딕"/>
      <family val="3"/>
      <charset val="129"/>
    </font>
    <font>
      <i/>
      <sz val="9"/>
      <color rgb="FF888888"/>
      <name val="DejaVu Sans"/>
      <family val="2"/>
    </font>
    <font>
      <i/>
      <sz val="9"/>
      <color rgb="FF888888"/>
      <name val="DejaVu Sans"/>
      <family val="2"/>
      <charset val="1"/>
    </font>
    <font>
      <sz val="11"/>
      <color theme="1"/>
      <name val="DejaVu Sans"/>
      <family val="2"/>
    </font>
    <font>
      <sz val="11"/>
      <color theme="1"/>
      <name val="DejaVu Sans"/>
      <family val="2"/>
      <charset val="1"/>
    </font>
    <font>
      <b/>
      <sz val="10"/>
      <color rgb="FFFF0000"/>
      <name val="맑은 고딕"/>
      <family val="3"/>
      <charset val="129"/>
    </font>
    <font>
      <b/>
      <sz val="10"/>
      <color rgb="FFFF0000"/>
      <name val="DejaVu Sans"/>
      <family val="2"/>
    </font>
    <font>
      <b/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AF8"/>
        <bgColor rgb="FFD5F5E3"/>
      </patternFill>
    </fill>
    <fill>
      <patternFill patternType="solid">
        <fgColor rgb="FFFADBD8"/>
        <bgColor rgb="FFD7E4BD"/>
      </patternFill>
    </fill>
    <fill>
      <patternFill patternType="solid">
        <fgColor rgb="FFD5F5E3"/>
        <bgColor rgb="FFD6EAF8"/>
      </patternFill>
    </fill>
    <fill>
      <patternFill patternType="solid">
        <fgColor rgb="FFFFFF00"/>
        <bgColor rgb="FFFFFF00"/>
      </patternFill>
    </fill>
    <fill>
      <patternFill patternType="solid">
        <fgColor theme="6" tint="0.59987182226020086"/>
        <bgColor rgb="FFD5F5E3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D7E4BD"/>
      </patternFill>
    </fill>
    <fill>
      <patternFill patternType="solid">
        <fgColor rgb="FFCD7F32"/>
        <bgColor rgb="FFFF8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176" fontId="7" fillId="3" borderId="1" xfId="0" applyNumberFormat="1" applyFont="1" applyFill="1" applyBorder="1" applyAlignment="1">
      <alignment horizontal="right" vertical="center"/>
    </xf>
    <xf numFmtId="176" fontId="9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176" fontId="7" fillId="4" borderId="1" xfId="0" applyNumberFormat="1" applyFont="1" applyFill="1" applyBorder="1" applyAlignment="1">
      <alignment horizontal="right" vertical="center"/>
    </xf>
    <xf numFmtId="176" fontId="9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176" fontId="7" fillId="5" borderId="1" xfId="0" applyNumberFormat="1" applyFont="1" applyFill="1" applyBorder="1" applyAlignment="1">
      <alignment horizontal="right" vertical="center"/>
    </xf>
    <xf numFmtId="176" fontId="9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0" fontId="3" fillId="0" borderId="0" xfId="0" applyFont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77" fontId="7" fillId="0" borderId="1" xfId="0" applyNumberFormat="1" applyFont="1" applyBorder="1" applyAlignment="1">
      <alignment horizontal="left" vertical="center" wrapText="1"/>
    </xf>
    <xf numFmtId="177" fontId="8" fillId="0" borderId="1" xfId="0" applyNumberFormat="1" applyFont="1" applyBorder="1" applyAlignment="1">
      <alignment horizontal="left" vertical="center" wrapText="1"/>
    </xf>
    <xf numFmtId="177" fontId="7" fillId="0" borderId="1" xfId="0" applyNumberFormat="1" applyFont="1" applyBorder="1" applyAlignment="1">
      <alignment vertical="center" wrapText="1"/>
    </xf>
    <xf numFmtId="177" fontId="8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178" fontId="7" fillId="0" borderId="1" xfId="0" applyNumberFormat="1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178" fontId="8" fillId="0" borderId="1" xfId="0" applyNumberFormat="1" applyFont="1" applyBorder="1" applyAlignment="1">
      <alignment horizontal="left" vertical="center" wrapText="1"/>
    </xf>
    <xf numFmtId="0" fontId="12" fillId="4" borderId="1" xfId="0" applyFont="1" applyFill="1" applyBorder="1"/>
    <xf numFmtId="0" fontId="9" fillId="4" borderId="1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2" fillId="5" borderId="1" xfId="0" applyFont="1" applyFill="1" applyBorder="1"/>
    <xf numFmtId="0" fontId="9" fillId="5" borderId="1" xfId="0" applyFont="1" applyFill="1" applyBorder="1"/>
    <xf numFmtId="0" fontId="17" fillId="0" borderId="0" xfId="0" applyFont="1"/>
    <xf numFmtId="0" fontId="7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right" vertical="center"/>
    </xf>
    <xf numFmtId="0" fontId="7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right" vertical="center"/>
    </xf>
    <xf numFmtId="0" fontId="7" fillId="10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18" fillId="4" borderId="0" xfId="0" applyFont="1" applyFill="1"/>
    <xf numFmtId="0" fontId="18" fillId="5" borderId="0" xfId="0" applyFont="1" applyFill="1"/>
    <xf numFmtId="0" fontId="12" fillId="0" borderId="0" xfId="0" applyFont="1"/>
    <xf numFmtId="0" fontId="19" fillId="0" borderId="0" xfId="0" applyFont="1"/>
    <xf numFmtId="0" fontId="20" fillId="0" borderId="0" xfId="0" applyFont="1"/>
    <xf numFmtId="0" fontId="22" fillId="0" borderId="0" xfId="0" applyFont="1"/>
    <xf numFmtId="0" fontId="24" fillId="0" borderId="0" xfId="0" applyFont="1"/>
    <xf numFmtId="0" fontId="7" fillId="0" borderId="0" xfId="0" applyFont="1"/>
    <xf numFmtId="0" fontId="26" fillId="0" borderId="0" xfId="0" applyFont="1"/>
    <xf numFmtId="0" fontId="27" fillId="0" borderId="1" xfId="0" applyFont="1" applyBorder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2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12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15" fillId="7" borderId="3" xfId="0" applyFont="1" applyFill="1" applyBorder="1" applyAlignment="1">
      <alignment vertical="center"/>
    </xf>
    <xf numFmtId="177" fontId="16" fillId="7" borderId="0" xfId="0" applyNumberFormat="1" applyFont="1" applyFill="1" applyAlignment="1">
      <alignment vertical="center"/>
    </xf>
    <xf numFmtId="0" fontId="18" fillId="3" borderId="0" xfId="0" applyFont="1" applyFill="1"/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D6EAF8"/>
      <rgbColor rgb="FF660066"/>
      <rgbColor rgb="FFFF8080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D700"/>
      <rgbColor rgb="FFFF9900"/>
      <rgbColor rgb="FFCD7F32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Normal="100" workbookViewId="0">
      <selection activeCell="G9" sqref="G9:G10"/>
    </sheetView>
  </sheetViews>
  <sheetFormatPr defaultColWidth="8.5" defaultRowHeight="17.25" customHeight="1" x14ac:dyDescent="0.3"/>
  <cols>
    <col min="1" max="1" width="5" customWidth="1"/>
    <col min="2" max="2" width="12" customWidth="1"/>
    <col min="3" max="3" width="16" customWidth="1"/>
    <col min="4" max="4" width="12" customWidth="1"/>
    <col min="5" max="5" width="22" customWidth="1"/>
    <col min="6" max="6" width="15" customWidth="1"/>
    <col min="7" max="7" width="16.5" customWidth="1"/>
    <col min="8" max="8" width="8" customWidth="1"/>
    <col min="9" max="9" width="16" customWidth="1"/>
    <col min="10" max="10" width="27.5" customWidth="1"/>
  </cols>
  <sheetData>
    <row r="1" spans="1:10" ht="21" customHeight="1" x14ac:dyDescent="0.3">
      <c r="A1" s="1" t="s">
        <v>0</v>
      </c>
    </row>
    <row r="2" spans="1:10" ht="17.25" customHeight="1" x14ac:dyDescent="0.3">
      <c r="A2" s="2" t="s">
        <v>1</v>
      </c>
    </row>
    <row r="3" spans="1:10" ht="17.25" customHeight="1" x14ac:dyDescent="0.3">
      <c r="I3" t="s">
        <v>2</v>
      </c>
    </row>
    <row r="4" spans="1:10" ht="28.5" customHeight="1" x14ac:dyDescent="0.3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 spans="1:10" ht="17.25" customHeight="1" x14ac:dyDescent="0.3">
      <c r="A5" s="5">
        <v>1</v>
      </c>
      <c r="B5" s="5" t="s">
        <v>13</v>
      </c>
      <c r="C5" s="5" t="s">
        <v>14</v>
      </c>
      <c r="D5" s="6" t="s">
        <v>15</v>
      </c>
      <c r="E5" s="5" t="s">
        <v>16</v>
      </c>
      <c r="F5" s="7">
        <v>140000</v>
      </c>
      <c r="G5" s="8">
        <f>F5+'가공기 비교'!B34</f>
        <v>160000</v>
      </c>
      <c r="H5" s="9">
        <v>1</v>
      </c>
      <c r="I5" s="5" t="s">
        <v>17</v>
      </c>
      <c r="J5" s="5" t="s">
        <v>18</v>
      </c>
    </row>
    <row r="6" spans="1:10" ht="17.25" customHeight="1" x14ac:dyDescent="0.3">
      <c r="A6" s="5">
        <v>2</v>
      </c>
      <c r="B6" s="5" t="s">
        <v>13</v>
      </c>
      <c r="C6" s="5" t="s">
        <v>19</v>
      </c>
      <c r="D6" s="6" t="s">
        <v>15</v>
      </c>
      <c r="E6" s="5" t="s">
        <v>20</v>
      </c>
      <c r="F6" s="7">
        <v>260000</v>
      </c>
      <c r="G6" s="8">
        <f>F6+'가공기 비교'!C34</f>
        <v>275000</v>
      </c>
      <c r="H6" s="9">
        <v>1</v>
      </c>
      <c r="I6" s="5" t="s">
        <v>21</v>
      </c>
      <c r="J6" s="5" t="s">
        <v>22</v>
      </c>
    </row>
    <row r="7" spans="1:10" ht="17.25" customHeight="1" x14ac:dyDescent="0.3">
      <c r="A7" s="5">
        <v>3</v>
      </c>
      <c r="B7" s="5" t="s">
        <v>23</v>
      </c>
      <c r="C7" s="5" t="s">
        <v>24</v>
      </c>
      <c r="D7" s="6" t="s">
        <v>15</v>
      </c>
      <c r="E7" s="5" t="s">
        <v>25</v>
      </c>
      <c r="F7" s="7">
        <v>52730</v>
      </c>
      <c r="G7" s="8">
        <f>F7+'가공기 비교'!D34</f>
        <v>84730</v>
      </c>
      <c r="H7" s="9">
        <v>1</v>
      </c>
      <c r="I7" s="5" t="s">
        <v>26</v>
      </c>
      <c r="J7" s="5" t="s">
        <v>27</v>
      </c>
    </row>
    <row r="8" spans="1:10" ht="17.25" customHeight="1" x14ac:dyDescent="0.3">
      <c r="A8" s="5">
        <v>4</v>
      </c>
      <c r="B8" s="5" t="s">
        <v>28</v>
      </c>
      <c r="C8" s="5" t="s">
        <v>29</v>
      </c>
      <c r="D8" s="6" t="s">
        <v>15</v>
      </c>
      <c r="E8" s="5" t="s">
        <v>30</v>
      </c>
      <c r="F8" s="7">
        <v>75400</v>
      </c>
      <c r="G8" s="8">
        <f>F8+'가공기 비교'!E34</f>
        <v>110400</v>
      </c>
      <c r="H8" s="9"/>
      <c r="I8" s="5" t="s">
        <v>26</v>
      </c>
      <c r="J8" s="5" t="s">
        <v>27</v>
      </c>
    </row>
    <row r="9" spans="1:10" ht="17.25" customHeight="1" x14ac:dyDescent="0.3">
      <c r="A9" s="5">
        <v>5</v>
      </c>
      <c r="B9" s="5" t="s">
        <v>31</v>
      </c>
      <c r="C9" s="5" t="s">
        <v>32</v>
      </c>
      <c r="D9" s="6" t="s">
        <v>15</v>
      </c>
      <c r="E9" s="5" t="s">
        <v>33</v>
      </c>
      <c r="F9" s="7">
        <v>195174</v>
      </c>
      <c r="G9" s="8"/>
      <c r="H9" s="9">
        <v>1</v>
      </c>
      <c r="I9" s="5" t="s">
        <v>34</v>
      </c>
      <c r="J9" s="5" t="s">
        <v>35</v>
      </c>
    </row>
    <row r="10" spans="1:10" ht="17.25" customHeight="1" x14ac:dyDescent="0.3">
      <c r="A10" s="5">
        <v>6</v>
      </c>
      <c r="B10" s="5" t="s">
        <v>31</v>
      </c>
      <c r="C10" s="5" t="s">
        <v>36</v>
      </c>
      <c r="D10" s="6" t="s">
        <v>15</v>
      </c>
      <c r="E10" s="5" t="s">
        <v>33</v>
      </c>
      <c r="F10" s="7">
        <v>209335</v>
      </c>
      <c r="G10" s="8"/>
      <c r="H10" s="9">
        <v>1</v>
      </c>
      <c r="I10" s="5" t="s">
        <v>34</v>
      </c>
      <c r="J10" s="5" t="s">
        <v>22</v>
      </c>
    </row>
    <row r="11" spans="1:10" ht="17.25" customHeight="1" x14ac:dyDescent="0.3">
      <c r="A11" s="5">
        <v>7</v>
      </c>
      <c r="B11" s="5" t="s">
        <v>37</v>
      </c>
      <c r="C11" s="5" t="s">
        <v>38</v>
      </c>
      <c r="D11" s="6" t="s">
        <v>15</v>
      </c>
      <c r="E11" s="5" t="s">
        <v>39</v>
      </c>
      <c r="F11" s="7">
        <v>285000</v>
      </c>
      <c r="G11" s="8">
        <f>F11+'가공기 비교'!H34</f>
        <v>320000</v>
      </c>
      <c r="H11" s="9">
        <v>1</v>
      </c>
      <c r="I11" s="5" t="s">
        <v>17</v>
      </c>
      <c r="J11" s="5" t="s">
        <v>18</v>
      </c>
    </row>
    <row r="12" spans="1:10" ht="17.25" customHeight="1" x14ac:dyDescent="0.3">
      <c r="A12" s="5">
        <v>8</v>
      </c>
      <c r="B12" s="6" t="s">
        <v>40</v>
      </c>
      <c r="C12" s="5" t="s">
        <v>41</v>
      </c>
      <c r="D12" s="6" t="s">
        <v>15</v>
      </c>
      <c r="E12" s="5" t="s">
        <v>42</v>
      </c>
      <c r="F12" s="7">
        <v>43500</v>
      </c>
      <c r="G12" s="8">
        <f>F12+'가공기 비교'!I34</f>
        <v>58000</v>
      </c>
      <c r="H12" s="9">
        <v>1</v>
      </c>
      <c r="I12" s="5" t="s">
        <v>43</v>
      </c>
      <c r="J12" s="5" t="s">
        <v>27</v>
      </c>
    </row>
    <row r="13" spans="1:10" ht="17.25" customHeight="1" x14ac:dyDescent="0.3">
      <c r="A13" s="5">
        <v>9</v>
      </c>
      <c r="B13" s="6" t="s">
        <v>40</v>
      </c>
      <c r="C13" s="5" t="s">
        <v>44</v>
      </c>
      <c r="D13" s="6" t="s">
        <v>15</v>
      </c>
      <c r="E13" s="5" t="s">
        <v>45</v>
      </c>
      <c r="F13" s="7">
        <v>46700</v>
      </c>
      <c r="G13" s="8">
        <f>F13+'가공기 비교'!J34</f>
        <v>61200</v>
      </c>
      <c r="H13" s="9">
        <v>1</v>
      </c>
      <c r="I13" s="5" t="s">
        <v>43</v>
      </c>
      <c r="J13" s="5" t="s">
        <v>27</v>
      </c>
    </row>
    <row r="14" spans="1:10" ht="17.25" customHeight="1" x14ac:dyDescent="0.3">
      <c r="A14" s="5">
        <v>10</v>
      </c>
      <c r="B14" s="6" t="s">
        <v>67</v>
      </c>
      <c r="C14" s="5" t="s">
        <v>68</v>
      </c>
      <c r="D14" s="6" t="s">
        <v>15</v>
      </c>
      <c r="E14" s="5" t="s">
        <v>69</v>
      </c>
      <c r="F14" s="7">
        <v>137770</v>
      </c>
      <c r="G14" s="8">
        <f>F14</f>
        <v>137770</v>
      </c>
      <c r="H14" s="9">
        <v>1</v>
      </c>
      <c r="I14" s="5" t="s">
        <v>70</v>
      </c>
      <c r="J14" s="5" t="s">
        <v>27</v>
      </c>
    </row>
    <row r="15" spans="1:10" ht="17.25" customHeight="1" x14ac:dyDescent="0.3">
      <c r="A15" s="10">
        <v>11</v>
      </c>
      <c r="B15" s="10" t="s">
        <v>13</v>
      </c>
      <c r="C15" s="10" t="s">
        <v>46</v>
      </c>
      <c r="D15" s="11" t="s">
        <v>47</v>
      </c>
      <c r="E15" s="10" t="s">
        <v>48</v>
      </c>
      <c r="F15" s="12">
        <v>138000</v>
      </c>
      <c r="G15" s="13">
        <f t="shared" ref="G15:G28" si="0">F15</f>
        <v>138000</v>
      </c>
      <c r="H15" s="14">
        <v>1</v>
      </c>
      <c r="I15" s="10" t="s">
        <v>49</v>
      </c>
      <c r="J15" s="10" t="s">
        <v>50</v>
      </c>
    </row>
    <row r="16" spans="1:10" ht="17.25" customHeight="1" x14ac:dyDescent="0.3">
      <c r="A16" s="10">
        <v>12</v>
      </c>
      <c r="B16" s="10" t="s">
        <v>13</v>
      </c>
      <c r="C16" s="10" t="s">
        <v>51</v>
      </c>
      <c r="D16" s="11" t="s">
        <v>47</v>
      </c>
      <c r="E16" s="10" t="s">
        <v>52</v>
      </c>
      <c r="F16" s="12">
        <v>149000</v>
      </c>
      <c r="G16" s="13">
        <f t="shared" si="0"/>
        <v>149000</v>
      </c>
      <c r="H16" s="14">
        <v>1</v>
      </c>
      <c r="I16" s="10" t="s">
        <v>49</v>
      </c>
      <c r="J16" s="10" t="s">
        <v>50</v>
      </c>
    </row>
    <row r="17" spans="1:10" ht="17.25" customHeight="1" x14ac:dyDescent="0.3">
      <c r="A17" s="10">
        <v>13</v>
      </c>
      <c r="B17" s="10" t="s">
        <v>31</v>
      </c>
      <c r="C17" s="10" t="s">
        <v>53</v>
      </c>
      <c r="D17" s="11" t="s">
        <v>47</v>
      </c>
      <c r="E17" s="10" t="s">
        <v>54</v>
      </c>
      <c r="F17" s="12">
        <v>126624</v>
      </c>
      <c r="G17" s="13">
        <f t="shared" si="0"/>
        <v>126624</v>
      </c>
      <c r="H17" s="14">
        <v>1</v>
      </c>
      <c r="I17" s="10" t="s">
        <v>34</v>
      </c>
      <c r="J17" s="10" t="s">
        <v>18</v>
      </c>
    </row>
    <row r="18" spans="1:10" ht="17.25" customHeight="1" x14ac:dyDescent="0.3">
      <c r="A18" s="10">
        <v>14</v>
      </c>
      <c r="B18" s="10" t="s">
        <v>37</v>
      </c>
      <c r="C18" s="10" t="s">
        <v>55</v>
      </c>
      <c r="D18" s="11" t="s">
        <v>47</v>
      </c>
      <c r="E18" s="10" t="s">
        <v>56</v>
      </c>
      <c r="F18" s="12">
        <v>145000</v>
      </c>
      <c r="G18" s="13">
        <f t="shared" si="0"/>
        <v>145000</v>
      </c>
      <c r="H18" s="14">
        <v>1</v>
      </c>
      <c r="I18" s="10" t="s">
        <v>17</v>
      </c>
      <c r="J18" s="10" t="s">
        <v>18</v>
      </c>
    </row>
    <row r="19" spans="1:10" ht="17.25" customHeight="1" x14ac:dyDescent="0.3">
      <c r="A19" s="15">
        <v>15</v>
      </c>
      <c r="B19" s="15" t="s">
        <v>13</v>
      </c>
      <c r="C19" s="15" t="s">
        <v>57</v>
      </c>
      <c r="D19" s="16" t="s">
        <v>58</v>
      </c>
      <c r="E19" s="15" t="s">
        <v>59</v>
      </c>
      <c r="F19" s="17">
        <v>130000</v>
      </c>
      <c r="G19" s="18">
        <f t="shared" si="0"/>
        <v>130000</v>
      </c>
      <c r="H19" s="19">
        <v>1</v>
      </c>
      <c r="I19" s="15" t="s">
        <v>49</v>
      </c>
      <c r="J19" s="15" t="s">
        <v>50</v>
      </c>
    </row>
    <row r="20" spans="1:10" ht="17.25" customHeight="1" x14ac:dyDescent="0.3">
      <c r="A20" s="15">
        <v>16</v>
      </c>
      <c r="B20" s="15" t="s">
        <v>13</v>
      </c>
      <c r="C20" s="15" t="s">
        <v>60</v>
      </c>
      <c r="D20" s="16" t="s">
        <v>58</v>
      </c>
      <c r="E20" s="15" t="s">
        <v>61</v>
      </c>
      <c r="F20" s="17">
        <v>135000</v>
      </c>
      <c r="G20" s="18">
        <f t="shared" si="0"/>
        <v>135000</v>
      </c>
      <c r="H20" s="19">
        <v>1</v>
      </c>
      <c r="I20" s="15" t="s">
        <v>49</v>
      </c>
      <c r="J20" s="15" t="s">
        <v>50</v>
      </c>
    </row>
    <row r="21" spans="1:10" ht="17.25" customHeight="1" x14ac:dyDescent="0.3">
      <c r="A21" s="15">
        <v>17</v>
      </c>
      <c r="B21" s="15" t="s">
        <v>31</v>
      </c>
      <c r="C21" s="15" t="s">
        <v>62</v>
      </c>
      <c r="D21" s="16" t="s">
        <v>58</v>
      </c>
      <c r="E21" s="15" t="s">
        <v>61</v>
      </c>
      <c r="F21" s="17">
        <v>140000</v>
      </c>
      <c r="G21" s="18">
        <f t="shared" si="0"/>
        <v>140000</v>
      </c>
      <c r="H21" s="19">
        <v>1</v>
      </c>
      <c r="I21" s="15" t="s">
        <v>34</v>
      </c>
      <c r="J21" s="15" t="s">
        <v>35</v>
      </c>
    </row>
    <row r="22" spans="1:10" ht="17.25" customHeight="1" x14ac:dyDescent="0.3">
      <c r="A22" s="15">
        <v>18</v>
      </c>
      <c r="B22" s="15" t="s">
        <v>31</v>
      </c>
      <c r="C22" s="15" t="s">
        <v>63</v>
      </c>
      <c r="D22" s="16" t="s">
        <v>58</v>
      </c>
      <c r="E22" s="15" t="s">
        <v>64</v>
      </c>
      <c r="F22" s="17">
        <v>125000</v>
      </c>
      <c r="G22" s="18">
        <f t="shared" si="0"/>
        <v>125000</v>
      </c>
      <c r="H22" s="19">
        <v>1</v>
      </c>
      <c r="I22" s="15" t="s">
        <v>34</v>
      </c>
      <c r="J22" s="15" t="s">
        <v>35</v>
      </c>
    </row>
    <row r="23" spans="1:10" ht="18" customHeight="1" x14ac:dyDescent="0.3">
      <c r="A23" s="15">
        <v>19</v>
      </c>
      <c r="B23" s="15" t="s">
        <v>37</v>
      </c>
      <c r="C23" s="15" t="s">
        <v>65</v>
      </c>
      <c r="D23" s="16" t="s">
        <v>58</v>
      </c>
      <c r="E23" s="15" t="s">
        <v>54</v>
      </c>
      <c r="F23" s="17">
        <v>127000</v>
      </c>
      <c r="G23" s="18">
        <f t="shared" si="0"/>
        <v>127000</v>
      </c>
      <c r="H23" s="19">
        <v>1</v>
      </c>
      <c r="I23" s="15" t="s">
        <v>17</v>
      </c>
      <c r="J23" s="15" t="s">
        <v>18</v>
      </c>
    </row>
    <row r="24" spans="1:10" ht="17.25" customHeight="1" x14ac:dyDescent="0.3">
      <c r="A24" s="15">
        <v>20</v>
      </c>
      <c r="B24" s="15" t="s">
        <v>37</v>
      </c>
      <c r="C24" s="15" t="s">
        <v>66</v>
      </c>
      <c r="D24" s="16" t="s">
        <v>58</v>
      </c>
      <c r="E24" s="15" t="s">
        <v>61</v>
      </c>
      <c r="F24" s="17">
        <v>145000</v>
      </c>
      <c r="G24" s="18">
        <f t="shared" si="0"/>
        <v>145000</v>
      </c>
      <c r="H24" s="19">
        <v>1</v>
      </c>
      <c r="I24" s="15" t="s">
        <v>17</v>
      </c>
      <c r="J24" s="15" t="s">
        <v>18</v>
      </c>
    </row>
    <row r="25" spans="1:10" ht="17.25" customHeight="1" x14ac:dyDescent="0.3">
      <c r="A25" s="15">
        <v>21</v>
      </c>
      <c r="B25" s="15" t="s">
        <v>71</v>
      </c>
      <c r="C25" s="15" t="s">
        <v>72</v>
      </c>
      <c r="D25" s="16" t="s">
        <v>58</v>
      </c>
      <c r="E25" s="15" t="s">
        <v>59</v>
      </c>
      <c r="F25" s="17">
        <v>76000</v>
      </c>
      <c r="G25" s="18">
        <f t="shared" si="0"/>
        <v>76000</v>
      </c>
      <c r="H25" s="19">
        <v>1</v>
      </c>
      <c r="I25" s="15" t="s">
        <v>73</v>
      </c>
      <c r="J25" s="15" t="s">
        <v>27</v>
      </c>
    </row>
    <row r="26" spans="1:10" ht="17.25" customHeight="1" x14ac:dyDescent="0.3">
      <c r="A26" s="15">
        <v>22</v>
      </c>
      <c r="B26" s="15" t="s">
        <v>71</v>
      </c>
      <c r="C26" s="15" t="s">
        <v>74</v>
      </c>
      <c r="D26" s="16" t="s">
        <v>58</v>
      </c>
      <c r="E26" s="15" t="s">
        <v>61</v>
      </c>
      <c r="F26" s="17">
        <v>98000</v>
      </c>
      <c r="G26" s="18">
        <f t="shared" si="0"/>
        <v>98000</v>
      </c>
      <c r="H26" s="19">
        <v>1</v>
      </c>
      <c r="I26" s="15" t="s">
        <v>73</v>
      </c>
      <c r="J26" s="15" t="s">
        <v>27</v>
      </c>
    </row>
    <row r="27" spans="1:10" ht="17.25" customHeight="1" x14ac:dyDescent="0.3">
      <c r="A27" s="15">
        <v>23</v>
      </c>
      <c r="B27" s="15" t="s">
        <v>75</v>
      </c>
      <c r="C27" s="15" t="s">
        <v>76</v>
      </c>
      <c r="D27" s="16" t="s">
        <v>58</v>
      </c>
      <c r="E27" s="15" t="s">
        <v>77</v>
      </c>
      <c r="F27" s="17">
        <v>96552</v>
      </c>
      <c r="G27" s="18">
        <f t="shared" si="0"/>
        <v>96552</v>
      </c>
      <c r="H27" s="19">
        <v>1</v>
      </c>
      <c r="I27" s="15" t="s">
        <v>78</v>
      </c>
      <c r="J27" s="15" t="s">
        <v>22</v>
      </c>
    </row>
    <row r="28" spans="1:10" ht="17.25" customHeight="1" x14ac:dyDescent="0.3">
      <c r="A28" s="15">
        <v>24</v>
      </c>
      <c r="B28" s="15" t="s">
        <v>75</v>
      </c>
      <c r="C28" s="15" t="s">
        <v>79</v>
      </c>
      <c r="D28" s="16" t="s">
        <v>58</v>
      </c>
      <c r="E28" s="15" t="s">
        <v>80</v>
      </c>
      <c r="F28" s="17">
        <v>131034</v>
      </c>
      <c r="G28" s="18">
        <f t="shared" si="0"/>
        <v>131034</v>
      </c>
      <c r="H28" s="19">
        <v>1</v>
      </c>
      <c r="I28" s="15" t="s">
        <v>78</v>
      </c>
      <c r="J28" s="15" t="s">
        <v>22</v>
      </c>
    </row>
  </sheetData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8.5" defaultRowHeight="16.5" x14ac:dyDescent="0.3"/>
  <cols>
    <col min="1" max="1" width="27.25" style="59" customWidth="1"/>
    <col min="2" max="11" width="21.75" style="59" customWidth="1"/>
    <col min="12" max="16384" width="8.5" style="59"/>
  </cols>
  <sheetData>
    <row r="1" spans="1:11" ht="18" x14ac:dyDescent="0.3">
      <c r="A1" s="58" t="s">
        <v>81</v>
      </c>
    </row>
    <row r="2" spans="1:11" x14ac:dyDescent="0.3">
      <c r="A2" s="60" t="s">
        <v>82</v>
      </c>
    </row>
    <row r="4" spans="1:11" ht="33" x14ac:dyDescent="0.3">
      <c r="A4" s="4" t="s">
        <v>83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88</v>
      </c>
      <c r="G4" s="3" t="s">
        <v>89</v>
      </c>
      <c r="H4" s="3" t="s">
        <v>90</v>
      </c>
      <c r="I4" s="4" t="s">
        <v>91</v>
      </c>
      <c r="J4" s="4" t="s">
        <v>92</v>
      </c>
      <c r="K4" s="4" t="s">
        <v>93</v>
      </c>
    </row>
    <row r="5" spans="1:11" x14ac:dyDescent="0.3">
      <c r="A5" s="61" t="s">
        <v>94</v>
      </c>
      <c r="B5" s="21" t="s">
        <v>95</v>
      </c>
      <c r="C5" s="21" t="s">
        <v>95</v>
      </c>
      <c r="D5" s="22" t="s">
        <v>96</v>
      </c>
      <c r="E5" s="22" t="s">
        <v>97</v>
      </c>
      <c r="F5" s="21" t="s">
        <v>98</v>
      </c>
      <c r="G5" s="21" t="s">
        <v>98</v>
      </c>
      <c r="H5" s="22" t="s">
        <v>99</v>
      </c>
      <c r="I5" s="21" t="s">
        <v>100</v>
      </c>
      <c r="J5" s="21" t="s">
        <v>100</v>
      </c>
      <c r="K5" s="21" t="s">
        <v>101</v>
      </c>
    </row>
    <row r="6" spans="1:11" x14ac:dyDescent="0.3">
      <c r="A6" s="61" t="s">
        <v>102</v>
      </c>
      <c r="B6" s="23" t="s">
        <v>16</v>
      </c>
      <c r="C6" s="23" t="s">
        <v>20</v>
      </c>
      <c r="D6" s="23" t="s">
        <v>103</v>
      </c>
      <c r="E6" s="23" t="s">
        <v>104</v>
      </c>
      <c r="F6" s="23" t="s">
        <v>33</v>
      </c>
      <c r="G6" s="23" t="s">
        <v>33</v>
      </c>
      <c r="H6" s="23" t="s">
        <v>39</v>
      </c>
      <c r="I6" s="23" t="s">
        <v>42</v>
      </c>
      <c r="J6" s="23" t="s">
        <v>45</v>
      </c>
      <c r="K6" s="23" t="s">
        <v>69</v>
      </c>
    </row>
    <row r="7" spans="1:11" x14ac:dyDescent="0.3">
      <c r="A7" s="61" t="s">
        <v>105</v>
      </c>
      <c r="B7" s="23" t="s">
        <v>106</v>
      </c>
      <c r="C7" s="23" t="s">
        <v>107</v>
      </c>
      <c r="D7" s="23" t="s">
        <v>108</v>
      </c>
      <c r="E7" s="23" t="s">
        <v>108</v>
      </c>
      <c r="F7" s="23" t="s">
        <v>109</v>
      </c>
      <c r="G7" s="23" t="s">
        <v>110</v>
      </c>
      <c r="H7" s="23" t="s">
        <v>111</v>
      </c>
      <c r="I7" s="23" t="s">
        <v>112</v>
      </c>
      <c r="J7" s="23" t="s">
        <v>112</v>
      </c>
      <c r="K7" s="23" t="s">
        <v>107</v>
      </c>
    </row>
    <row r="8" spans="1:11" ht="27" x14ac:dyDescent="0.3">
      <c r="A8" s="61" t="s">
        <v>113</v>
      </c>
      <c r="B8" s="23" t="s">
        <v>114</v>
      </c>
      <c r="C8" s="23" t="s">
        <v>115</v>
      </c>
      <c r="D8" s="23" t="s">
        <v>116</v>
      </c>
      <c r="E8" s="23" t="s">
        <v>117</v>
      </c>
      <c r="F8" s="23" t="s">
        <v>115</v>
      </c>
      <c r="G8" s="23" t="s">
        <v>115</v>
      </c>
      <c r="H8" s="23" t="s">
        <v>118</v>
      </c>
      <c r="I8" s="23" t="s">
        <v>119</v>
      </c>
      <c r="J8" s="23" t="s">
        <v>119</v>
      </c>
      <c r="K8" s="23" t="s">
        <v>120</v>
      </c>
    </row>
    <row r="9" spans="1:11" ht="27" x14ac:dyDescent="0.3">
      <c r="A9" s="61" t="s">
        <v>121</v>
      </c>
      <c r="B9" s="23" t="s">
        <v>122</v>
      </c>
      <c r="C9" s="23" t="s">
        <v>123</v>
      </c>
      <c r="D9" s="23" t="s">
        <v>124</v>
      </c>
      <c r="E9" s="23" t="s">
        <v>125</v>
      </c>
      <c r="F9" s="23" t="s">
        <v>123</v>
      </c>
      <c r="G9" s="23" t="s">
        <v>123</v>
      </c>
      <c r="H9" s="23" t="s">
        <v>126</v>
      </c>
      <c r="I9" s="23" t="s">
        <v>127</v>
      </c>
      <c r="J9" s="23" t="s">
        <v>128</v>
      </c>
      <c r="K9" s="23" t="s">
        <v>129</v>
      </c>
    </row>
    <row r="10" spans="1:11" x14ac:dyDescent="0.3">
      <c r="A10" s="62" t="s">
        <v>130</v>
      </c>
      <c r="B10" s="23" t="s">
        <v>131</v>
      </c>
      <c r="C10" s="23" t="s">
        <v>13</v>
      </c>
      <c r="D10" s="23" t="s">
        <v>132</v>
      </c>
      <c r="E10" s="23" t="s">
        <v>132</v>
      </c>
      <c r="F10" s="23" t="s">
        <v>133</v>
      </c>
      <c r="G10" s="23" t="s">
        <v>133</v>
      </c>
      <c r="H10" s="23" t="s">
        <v>134</v>
      </c>
      <c r="I10" s="23" t="s">
        <v>135</v>
      </c>
      <c r="J10" s="23" t="s">
        <v>135</v>
      </c>
      <c r="K10" s="23" t="s">
        <v>136</v>
      </c>
    </row>
    <row r="11" spans="1:11" ht="27" x14ac:dyDescent="0.3">
      <c r="A11" s="61" t="s">
        <v>137</v>
      </c>
      <c r="B11" s="23" t="s">
        <v>138</v>
      </c>
      <c r="C11" s="23" t="s">
        <v>22</v>
      </c>
      <c r="D11" s="23" t="s">
        <v>139</v>
      </c>
      <c r="E11" s="23" t="s">
        <v>139</v>
      </c>
      <c r="F11" s="23" t="s">
        <v>140</v>
      </c>
      <c r="G11" s="23" t="s">
        <v>141</v>
      </c>
      <c r="H11" s="23" t="s">
        <v>142</v>
      </c>
      <c r="I11" s="23" t="s">
        <v>27</v>
      </c>
      <c r="J11" s="23" t="s">
        <v>27</v>
      </c>
      <c r="K11" s="23" t="s">
        <v>143</v>
      </c>
    </row>
    <row r="12" spans="1:11" ht="27" x14ac:dyDescent="0.3">
      <c r="A12" s="61" t="s">
        <v>144</v>
      </c>
      <c r="B12" s="23" t="s">
        <v>145</v>
      </c>
      <c r="C12" s="23" t="s">
        <v>21</v>
      </c>
      <c r="D12" s="23" t="s">
        <v>146</v>
      </c>
      <c r="E12" s="23" t="s">
        <v>146</v>
      </c>
      <c r="F12" s="23" t="s">
        <v>34</v>
      </c>
      <c r="G12" s="23" t="s">
        <v>34</v>
      </c>
      <c r="H12" s="23" t="s">
        <v>147</v>
      </c>
      <c r="I12" s="23" t="s">
        <v>43</v>
      </c>
      <c r="J12" s="23" t="s">
        <v>43</v>
      </c>
      <c r="K12" s="23" t="s">
        <v>148</v>
      </c>
    </row>
    <row r="13" spans="1:11" x14ac:dyDescent="0.3">
      <c r="A13" s="61" t="s">
        <v>149</v>
      </c>
      <c r="B13" s="24">
        <v>5000</v>
      </c>
      <c r="C13" s="25" t="s">
        <v>150</v>
      </c>
      <c r="D13" s="26">
        <v>4870</v>
      </c>
      <c r="E13" s="26">
        <v>5770</v>
      </c>
      <c r="F13" s="26"/>
      <c r="G13" s="26"/>
      <c r="H13" s="27" t="s">
        <v>151</v>
      </c>
      <c r="I13" s="26">
        <v>2800</v>
      </c>
      <c r="J13" s="26">
        <v>2800</v>
      </c>
      <c r="K13" s="24">
        <v>3400</v>
      </c>
    </row>
    <row r="14" spans="1:11" x14ac:dyDescent="0.3">
      <c r="A14" s="61" t="s">
        <v>152</v>
      </c>
      <c r="B14" s="28" t="s">
        <v>153</v>
      </c>
      <c r="C14" s="28" t="s">
        <v>153</v>
      </c>
      <c r="D14" s="29" t="s">
        <v>153</v>
      </c>
      <c r="E14" s="29" t="s">
        <v>153</v>
      </c>
      <c r="F14" s="23"/>
      <c r="G14" s="23"/>
      <c r="H14" s="29" t="s">
        <v>153</v>
      </c>
      <c r="I14" s="28" t="s">
        <v>153</v>
      </c>
      <c r="J14" s="28" t="s">
        <v>153</v>
      </c>
      <c r="K14" s="28" t="s">
        <v>153</v>
      </c>
    </row>
    <row r="15" spans="1:11" x14ac:dyDescent="0.3">
      <c r="A15" s="61" t="s">
        <v>154</v>
      </c>
      <c r="B15" s="28" t="s">
        <v>153</v>
      </c>
      <c r="C15" s="28" t="s">
        <v>153</v>
      </c>
      <c r="D15" s="29" t="s">
        <v>155</v>
      </c>
      <c r="E15" s="29" t="s">
        <v>155</v>
      </c>
      <c r="F15" s="23"/>
      <c r="G15" s="23"/>
      <c r="H15" s="29" t="s">
        <v>151</v>
      </c>
      <c r="I15" s="23"/>
      <c r="J15" s="23"/>
      <c r="K15" s="28" t="s">
        <v>153</v>
      </c>
    </row>
    <row r="16" spans="1:11" x14ac:dyDescent="0.3">
      <c r="A16" s="61" t="s">
        <v>156</v>
      </c>
      <c r="B16" s="28" t="s">
        <v>157</v>
      </c>
      <c r="C16" s="30">
        <v>4000</v>
      </c>
      <c r="D16" s="29" t="s">
        <v>151</v>
      </c>
      <c r="E16" s="29" t="s">
        <v>151</v>
      </c>
      <c r="F16" s="23"/>
      <c r="G16" s="23"/>
      <c r="H16" s="29" t="s">
        <v>153</v>
      </c>
      <c r="I16" s="28" t="s">
        <v>153</v>
      </c>
      <c r="J16" s="28" t="s">
        <v>153</v>
      </c>
      <c r="K16" s="28">
        <v>800</v>
      </c>
    </row>
    <row r="17" spans="1:11" ht="27" x14ac:dyDescent="0.3">
      <c r="A17" s="61" t="s">
        <v>158</v>
      </c>
      <c r="B17" s="28" t="s">
        <v>153</v>
      </c>
      <c r="C17" s="28" t="s">
        <v>153</v>
      </c>
      <c r="D17" s="23" t="s">
        <v>159</v>
      </c>
      <c r="E17" s="23" t="s">
        <v>160</v>
      </c>
      <c r="F17" s="23"/>
      <c r="G17" s="23"/>
      <c r="H17" s="29" t="s">
        <v>153</v>
      </c>
      <c r="I17" s="23"/>
      <c r="J17" s="23"/>
      <c r="K17" s="28">
        <v>1800</v>
      </c>
    </row>
    <row r="18" spans="1:11" ht="49.5" x14ac:dyDescent="0.3">
      <c r="A18" s="61" t="s">
        <v>161</v>
      </c>
      <c r="B18" s="29" t="s">
        <v>153</v>
      </c>
      <c r="C18" s="29" t="s">
        <v>153</v>
      </c>
      <c r="D18" s="63" t="s">
        <v>162</v>
      </c>
      <c r="E18" s="63" t="s">
        <v>162</v>
      </c>
      <c r="F18" s="23"/>
      <c r="G18" s="23"/>
      <c r="H18" s="29" t="s">
        <v>151</v>
      </c>
      <c r="I18" s="28" t="s">
        <v>153</v>
      </c>
      <c r="J18" s="28" t="s">
        <v>153</v>
      </c>
      <c r="K18" s="23">
        <v>570</v>
      </c>
    </row>
    <row r="19" spans="1:11" ht="40.5" x14ac:dyDescent="0.3">
      <c r="A19" s="61" t="s">
        <v>163</v>
      </c>
      <c r="B19" s="29" t="s">
        <v>153</v>
      </c>
      <c r="C19" s="29" t="s">
        <v>153</v>
      </c>
      <c r="D19" s="23" t="s">
        <v>164</v>
      </c>
      <c r="E19" s="23" t="s">
        <v>164</v>
      </c>
      <c r="F19" s="23"/>
      <c r="G19" s="23"/>
      <c r="H19" s="29" t="s">
        <v>151</v>
      </c>
      <c r="I19" s="29" t="s">
        <v>151</v>
      </c>
      <c r="J19" s="29" t="s">
        <v>151</v>
      </c>
      <c r="K19" s="29" t="s">
        <v>165</v>
      </c>
    </row>
    <row r="20" spans="1:11" x14ac:dyDescent="0.3">
      <c r="A20" s="61" t="s">
        <v>166</v>
      </c>
      <c r="B20" s="29" t="s">
        <v>153</v>
      </c>
      <c r="C20" s="29" t="s">
        <v>153</v>
      </c>
      <c r="D20" s="31" t="s">
        <v>167</v>
      </c>
      <c r="E20" s="31" t="s">
        <v>167</v>
      </c>
      <c r="F20" s="23"/>
      <c r="G20" s="23"/>
      <c r="H20" s="23" t="s">
        <v>168</v>
      </c>
      <c r="I20" s="23" t="s">
        <v>169</v>
      </c>
      <c r="J20" s="23" t="s">
        <v>169</v>
      </c>
      <c r="K20" s="23" t="s">
        <v>170</v>
      </c>
    </row>
    <row r="21" spans="1:11" ht="25.5" x14ac:dyDescent="0.3">
      <c r="A21" s="61" t="s">
        <v>171</v>
      </c>
      <c r="B21" s="29" t="s">
        <v>153</v>
      </c>
      <c r="C21" s="29" t="s">
        <v>153</v>
      </c>
      <c r="D21" s="31" t="s">
        <v>167</v>
      </c>
      <c r="E21" s="31" t="s">
        <v>167</v>
      </c>
      <c r="F21" s="23"/>
      <c r="G21" s="23"/>
      <c r="H21" s="23" t="s">
        <v>168</v>
      </c>
      <c r="I21" s="23" t="s">
        <v>169</v>
      </c>
      <c r="J21" s="23" t="s">
        <v>169</v>
      </c>
      <c r="K21" s="29" t="s">
        <v>172</v>
      </c>
    </row>
    <row r="22" spans="1:11" x14ac:dyDescent="0.3">
      <c r="A22" s="61" t="s">
        <v>173</v>
      </c>
      <c r="B22" s="29" t="s">
        <v>153</v>
      </c>
      <c r="C22" s="29" t="s">
        <v>153</v>
      </c>
      <c r="D22" s="63" t="s">
        <v>174</v>
      </c>
      <c r="E22" s="63" t="s">
        <v>174</v>
      </c>
      <c r="F22" s="23"/>
      <c r="G22" s="23"/>
      <c r="H22" s="23" t="s">
        <v>175</v>
      </c>
      <c r="I22" s="23" t="s">
        <v>176</v>
      </c>
      <c r="J22" s="23" t="s">
        <v>176</v>
      </c>
      <c r="K22" s="23" t="s">
        <v>177</v>
      </c>
    </row>
    <row r="23" spans="1:11" ht="25.5" x14ac:dyDescent="0.3">
      <c r="A23" s="61" t="s">
        <v>178</v>
      </c>
      <c r="B23" s="29" t="s">
        <v>153</v>
      </c>
      <c r="C23" s="29" t="s">
        <v>153</v>
      </c>
      <c r="D23" s="23" t="s">
        <v>179</v>
      </c>
      <c r="E23" s="23" t="s">
        <v>179</v>
      </c>
      <c r="F23" s="23"/>
      <c r="G23" s="23"/>
      <c r="H23" s="23" t="s">
        <v>168</v>
      </c>
      <c r="I23" s="28" t="s">
        <v>153</v>
      </c>
      <c r="J23" s="28" t="s">
        <v>153</v>
      </c>
      <c r="K23" s="29" t="s">
        <v>172</v>
      </c>
    </row>
    <row r="24" spans="1:11" ht="27" x14ac:dyDescent="0.3">
      <c r="A24" s="61" t="s">
        <v>180</v>
      </c>
      <c r="B24" s="29" t="s">
        <v>153</v>
      </c>
      <c r="C24" s="29" t="s">
        <v>153</v>
      </c>
      <c r="D24" s="29" t="s">
        <v>181</v>
      </c>
      <c r="E24" s="29" t="s">
        <v>153</v>
      </c>
      <c r="F24" s="23"/>
      <c r="G24" s="23"/>
      <c r="H24" s="29" t="s">
        <v>153</v>
      </c>
      <c r="I24" s="29" t="s">
        <v>153</v>
      </c>
      <c r="J24" s="29" t="s">
        <v>153</v>
      </c>
      <c r="K24" s="23" t="s">
        <v>182</v>
      </c>
    </row>
    <row r="25" spans="1:11" x14ac:dyDescent="0.3">
      <c r="A25" s="64" t="s">
        <v>183</v>
      </c>
      <c r="B25" s="23" t="s">
        <v>184</v>
      </c>
      <c r="C25" s="23" t="s">
        <v>184</v>
      </c>
      <c r="D25" s="23" t="s">
        <v>185</v>
      </c>
      <c r="E25" s="23" t="s">
        <v>186</v>
      </c>
      <c r="F25" s="23"/>
      <c r="G25" s="23"/>
      <c r="H25" s="23" t="s">
        <v>187</v>
      </c>
      <c r="I25" s="23" t="s">
        <v>184</v>
      </c>
      <c r="J25" s="23" t="s">
        <v>184</v>
      </c>
      <c r="K25" s="23" t="s">
        <v>188</v>
      </c>
    </row>
    <row r="26" spans="1:11" x14ac:dyDescent="0.3">
      <c r="A26" s="64" t="s">
        <v>189</v>
      </c>
      <c r="B26" s="23" t="s">
        <v>190</v>
      </c>
      <c r="C26" s="23" t="s">
        <v>191</v>
      </c>
      <c r="D26" s="23" t="s">
        <v>190</v>
      </c>
      <c r="E26" s="23" t="s">
        <v>190</v>
      </c>
      <c r="F26" s="23"/>
      <c r="G26" s="23"/>
      <c r="H26" s="23" t="s">
        <v>192</v>
      </c>
      <c r="I26" s="23" t="s">
        <v>193</v>
      </c>
      <c r="J26" s="23" t="s">
        <v>193</v>
      </c>
      <c r="K26" s="23" t="s">
        <v>194</v>
      </c>
    </row>
    <row r="27" spans="1:11" ht="27" x14ac:dyDescent="0.3">
      <c r="A27" s="64" t="s">
        <v>195</v>
      </c>
      <c r="B27" s="23" t="s">
        <v>196</v>
      </c>
      <c r="C27" s="23" t="s">
        <v>197</v>
      </c>
      <c r="D27" s="23" t="s">
        <v>198</v>
      </c>
      <c r="E27" s="23" t="s">
        <v>199</v>
      </c>
      <c r="F27" s="23"/>
      <c r="G27" s="23"/>
      <c r="H27" s="23" t="s">
        <v>200</v>
      </c>
      <c r="I27" s="23" t="s">
        <v>201</v>
      </c>
      <c r="J27" s="23" t="s">
        <v>201</v>
      </c>
      <c r="K27" s="23" t="s">
        <v>202</v>
      </c>
    </row>
    <row r="28" spans="1:11" x14ac:dyDescent="0.3">
      <c r="A28" s="65" t="s">
        <v>203</v>
      </c>
      <c r="B28" s="23" t="s">
        <v>204</v>
      </c>
      <c r="C28" s="23" t="s">
        <v>205</v>
      </c>
      <c r="D28" s="23" t="s">
        <v>206</v>
      </c>
      <c r="E28" s="23" t="s">
        <v>207</v>
      </c>
      <c r="F28" s="23"/>
      <c r="G28" s="23"/>
      <c r="H28" s="23" t="s">
        <v>208</v>
      </c>
      <c r="I28" s="23" t="s">
        <v>209</v>
      </c>
      <c r="J28" s="23" t="s">
        <v>209</v>
      </c>
      <c r="K28" s="23" t="s">
        <v>210</v>
      </c>
    </row>
    <row r="29" spans="1:11" x14ac:dyDescent="0.3">
      <c r="A29" s="61" t="s">
        <v>211</v>
      </c>
      <c r="B29" s="30">
        <v>15000</v>
      </c>
      <c r="C29" s="30">
        <v>15000</v>
      </c>
      <c r="D29" s="23" t="s">
        <v>212</v>
      </c>
      <c r="E29" s="23" t="s">
        <v>212</v>
      </c>
      <c r="F29" s="23"/>
      <c r="G29" s="23"/>
      <c r="H29" s="29" t="s">
        <v>153</v>
      </c>
      <c r="I29" s="29" t="s">
        <v>151</v>
      </c>
      <c r="J29" s="29" t="s">
        <v>151</v>
      </c>
      <c r="K29" s="32" t="s">
        <v>213</v>
      </c>
    </row>
    <row r="30" spans="1:11" x14ac:dyDescent="0.3">
      <c r="A30" s="61" t="s">
        <v>214</v>
      </c>
      <c r="B30" s="29" t="s">
        <v>153</v>
      </c>
      <c r="C30" s="29" t="s">
        <v>153</v>
      </c>
      <c r="D30" s="23" t="s">
        <v>215</v>
      </c>
      <c r="E30" s="23" t="s">
        <v>215</v>
      </c>
      <c r="F30" s="23"/>
      <c r="G30" s="23"/>
      <c r="H30" s="29" t="s">
        <v>216</v>
      </c>
      <c r="I30" s="29" t="s">
        <v>151</v>
      </c>
      <c r="J30" s="29" t="s">
        <v>151</v>
      </c>
      <c r="K30" s="23">
        <v>1700</v>
      </c>
    </row>
    <row r="31" spans="1:11" x14ac:dyDescent="0.3">
      <c r="A31" s="61" t="s">
        <v>217</v>
      </c>
      <c r="B31" s="29" t="s">
        <v>153</v>
      </c>
      <c r="C31" s="29" t="s">
        <v>153</v>
      </c>
      <c r="D31" s="29" t="s">
        <v>153</v>
      </c>
      <c r="E31" s="29" t="s">
        <v>153</v>
      </c>
      <c r="F31" s="23"/>
      <c r="G31" s="23"/>
      <c r="H31" s="29" t="s">
        <v>153</v>
      </c>
      <c r="I31" s="29" t="s">
        <v>151</v>
      </c>
      <c r="J31" s="29" t="s">
        <v>151</v>
      </c>
      <c r="K31" s="29" t="s">
        <v>153</v>
      </c>
    </row>
    <row r="32" spans="1:11" x14ac:dyDescent="0.3">
      <c r="A32" s="61" t="s">
        <v>218</v>
      </c>
      <c r="B32" s="29" t="s">
        <v>153</v>
      </c>
      <c r="C32" s="29" t="s">
        <v>153</v>
      </c>
      <c r="D32" s="29" t="s">
        <v>153</v>
      </c>
      <c r="E32" s="29" t="s">
        <v>153</v>
      </c>
      <c r="F32" s="23"/>
      <c r="G32" s="23"/>
      <c r="H32" s="29" t="s">
        <v>153</v>
      </c>
      <c r="I32" s="28" t="s">
        <v>153</v>
      </c>
      <c r="J32" s="28" t="s">
        <v>153</v>
      </c>
      <c r="K32" s="29" t="s">
        <v>153</v>
      </c>
    </row>
    <row r="33" spans="1:11" x14ac:dyDescent="0.3">
      <c r="A33" s="64" t="s">
        <v>219</v>
      </c>
      <c r="B33" s="23" t="s">
        <v>220</v>
      </c>
      <c r="C33" s="23" t="s">
        <v>220</v>
      </c>
      <c r="D33" s="23" t="s">
        <v>221</v>
      </c>
      <c r="E33" s="23" t="s">
        <v>221</v>
      </c>
      <c r="F33" s="23"/>
      <c r="G33" s="23"/>
      <c r="H33" s="23" t="s">
        <v>222</v>
      </c>
      <c r="I33" s="23" t="s">
        <v>223</v>
      </c>
      <c r="J33" s="23" t="s">
        <v>223</v>
      </c>
      <c r="K33" s="23" t="s">
        <v>224</v>
      </c>
    </row>
    <row r="34" spans="1:11" x14ac:dyDescent="0.3">
      <c r="A34" s="66" t="s">
        <v>225</v>
      </c>
      <c r="B34" s="67">
        <v>20000</v>
      </c>
      <c r="C34" s="67">
        <v>15000</v>
      </c>
      <c r="D34" s="67">
        <v>32000</v>
      </c>
      <c r="E34" s="67">
        <v>35000</v>
      </c>
      <c r="F34" s="67"/>
      <c r="G34" s="67"/>
      <c r="H34" s="67">
        <v>35000</v>
      </c>
      <c r="I34" s="67">
        <v>14500</v>
      </c>
      <c r="J34" s="67">
        <v>14500</v>
      </c>
      <c r="K34" s="67">
        <v>17440</v>
      </c>
    </row>
  </sheetData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zoomScaleNormal="100" workbookViewId="0">
      <selection activeCell="B17" sqref="B17"/>
    </sheetView>
  </sheetViews>
  <sheetFormatPr defaultColWidth="8.5" defaultRowHeight="17.25" customHeight="1" x14ac:dyDescent="0.3"/>
  <cols>
    <col min="1" max="1" width="20.25" customWidth="1"/>
    <col min="2" max="5" width="23.125" customWidth="1"/>
  </cols>
  <sheetData>
    <row r="1" spans="1:5" ht="21" customHeight="1" x14ac:dyDescent="0.3">
      <c r="A1" s="1" t="s">
        <v>226</v>
      </c>
    </row>
    <row r="2" spans="1:5" ht="17.25" customHeight="1" x14ac:dyDescent="0.3">
      <c r="A2" s="20" t="s">
        <v>227</v>
      </c>
    </row>
    <row r="4" spans="1:5" ht="34.5" customHeight="1" x14ac:dyDescent="0.3">
      <c r="A4" s="4" t="s">
        <v>83</v>
      </c>
      <c r="B4" s="3" t="s">
        <v>228</v>
      </c>
      <c r="C4" s="3" t="s">
        <v>229</v>
      </c>
      <c r="D4" s="3" t="s">
        <v>230</v>
      </c>
      <c r="E4" s="3" t="s">
        <v>231</v>
      </c>
    </row>
    <row r="5" spans="1:5" ht="17.25" customHeight="1" x14ac:dyDescent="0.3">
      <c r="A5" s="33" t="s">
        <v>94</v>
      </c>
      <c r="B5" s="23" t="s">
        <v>232</v>
      </c>
      <c r="C5" s="23" t="s">
        <v>232</v>
      </c>
      <c r="D5" s="23" t="s">
        <v>232</v>
      </c>
      <c r="E5" s="23" t="s">
        <v>232</v>
      </c>
    </row>
    <row r="6" spans="1:5" ht="17.25" customHeight="1" x14ac:dyDescent="0.3">
      <c r="A6" s="33" t="s">
        <v>102</v>
      </c>
      <c r="B6" s="23" t="s">
        <v>48</v>
      </c>
      <c r="C6" s="23" t="s">
        <v>52</v>
      </c>
      <c r="D6" s="23" t="s">
        <v>54</v>
      </c>
      <c r="E6" s="23" t="s">
        <v>56</v>
      </c>
    </row>
    <row r="7" spans="1:5" ht="17.25" customHeight="1" x14ac:dyDescent="0.3">
      <c r="A7" s="33" t="s">
        <v>105</v>
      </c>
      <c r="B7" s="23" t="s">
        <v>233</v>
      </c>
      <c r="C7" s="23" t="s">
        <v>234</v>
      </c>
      <c r="D7" s="23" t="s">
        <v>235</v>
      </c>
      <c r="E7" s="23" t="s">
        <v>109</v>
      </c>
    </row>
    <row r="8" spans="1:5" ht="17.25" customHeight="1" x14ac:dyDescent="0.3">
      <c r="A8" s="33" t="s">
        <v>113</v>
      </c>
      <c r="B8" s="23" t="s">
        <v>236</v>
      </c>
      <c r="C8" s="23" t="s">
        <v>236</v>
      </c>
      <c r="D8" s="23" t="s">
        <v>236</v>
      </c>
      <c r="E8" s="23" t="s">
        <v>236</v>
      </c>
    </row>
    <row r="9" spans="1:5" ht="17.25" customHeight="1" x14ac:dyDescent="0.3">
      <c r="A9" s="33" t="s">
        <v>121</v>
      </c>
      <c r="B9" s="23" t="s">
        <v>236</v>
      </c>
      <c r="C9" s="23" t="s">
        <v>236</v>
      </c>
      <c r="D9" s="23" t="s">
        <v>237</v>
      </c>
      <c r="E9" s="23" t="s">
        <v>236</v>
      </c>
    </row>
    <row r="10" spans="1:5" ht="17.25" customHeight="1" x14ac:dyDescent="0.3">
      <c r="A10" s="34" t="s">
        <v>130</v>
      </c>
      <c r="B10" s="23" t="s">
        <v>238</v>
      </c>
      <c r="C10" s="23" t="s">
        <v>238</v>
      </c>
      <c r="D10" s="23" t="s">
        <v>239</v>
      </c>
      <c r="E10" s="23" t="s">
        <v>240</v>
      </c>
    </row>
    <row r="11" spans="1:5" ht="17.25" customHeight="1" x14ac:dyDescent="0.3">
      <c r="A11" s="33" t="s">
        <v>137</v>
      </c>
      <c r="B11" s="23" t="s">
        <v>50</v>
      </c>
      <c r="C11" s="23" t="s">
        <v>50</v>
      </c>
      <c r="D11" s="23" t="s">
        <v>18</v>
      </c>
      <c r="E11" s="23" t="s">
        <v>18</v>
      </c>
    </row>
    <row r="12" spans="1:5" ht="17.25" customHeight="1" x14ac:dyDescent="0.3">
      <c r="A12" s="33" t="s">
        <v>144</v>
      </c>
      <c r="B12" s="23" t="s">
        <v>49</v>
      </c>
      <c r="C12" s="23" t="s">
        <v>49</v>
      </c>
      <c r="D12" s="23" t="s">
        <v>34</v>
      </c>
      <c r="E12" s="23" t="s">
        <v>147</v>
      </c>
    </row>
    <row r="13" spans="1:5" ht="17.25" customHeight="1" x14ac:dyDescent="0.3">
      <c r="A13" s="33" t="s">
        <v>241</v>
      </c>
      <c r="B13" s="23" t="s">
        <v>242</v>
      </c>
      <c r="C13" s="23" t="s">
        <v>242</v>
      </c>
      <c r="D13" s="23" t="s">
        <v>242</v>
      </c>
      <c r="E13" s="35" t="s">
        <v>243</v>
      </c>
    </row>
    <row r="14" spans="1:5" ht="17.25" customHeight="1" x14ac:dyDescent="0.3">
      <c r="A14" s="33" t="s">
        <v>244</v>
      </c>
      <c r="B14" s="23" t="s">
        <v>245</v>
      </c>
      <c r="C14" s="23" t="s">
        <v>245</v>
      </c>
      <c r="D14" s="23" t="s">
        <v>246</v>
      </c>
      <c r="E14" s="29" t="s">
        <v>247</v>
      </c>
    </row>
    <row r="15" spans="1:5" ht="17.25" customHeight="1" x14ac:dyDescent="0.3">
      <c r="A15" s="34" t="s">
        <v>248</v>
      </c>
      <c r="B15" s="23" t="s">
        <v>249</v>
      </c>
      <c r="C15" s="23" t="s">
        <v>249</v>
      </c>
      <c r="D15" s="23" t="s">
        <v>250</v>
      </c>
      <c r="E15" s="35" t="s">
        <v>251</v>
      </c>
    </row>
    <row r="16" spans="1:5" ht="17.25" customHeight="1" x14ac:dyDescent="0.3">
      <c r="A16" s="33" t="s">
        <v>252</v>
      </c>
      <c r="B16" s="23" t="s">
        <v>253</v>
      </c>
      <c r="C16" s="23" t="s">
        <v>253</v>
      </c>
      <c r="D16" s="23" t="s">
        <v>254</v>
      </c>
      <c r="E16" s="28" t="s">
        <v>255</v>
      </c>
    </row>
    <row r="17" spans="1:5" ht="17.25" customHeight="1" x14ac:dyDescent="0.3">
      <c r="A17" s="33" t="s">
        <v>256</v>
      </c>
      <c r="B17" s="23" t="s">
        <v>257</v>
      </c>
      <c r="C17" s="23" t="s">
        <v>257</v>
      </c>
      <c r="D17" s="23" t="s">
        <v>257</v>
      </c>
      <c r="E17" s="35" t="s">
        <v>258</v>
      </c>
    </row>
    <row r="18" spans="1:5" ht="17.25" customHeight="1" x14ac:dyDescent="0.3">
      <c r="A18" s="33" t="s">
        <v>259</v>
      </c>
      <c r="B18" s="29" t="s">
        <v>260</v>
      </c>
      <c r="C18" s="29" t="s">
        <v>260</v>
      </c>
      <c r="D18" s="23" t="s">
        <v>261</v>
      </c>
      <c r="E18" s="35" t="s">
        <v>262</v>
      </c>
    </row>
    <row r="19" spans="1:5" ht="17.25" customHeight="1" x14ac:dyDescent="0.3">
      <c r="A19" s="34" t="s">
        <v>263</v>
      </c>
      <c r="B19" s="23" t="s">
        <v>264</v>
      </c>
      <c r="C19" s="23" t="s">
        <v>265</v>
      </c>
      <c r="D19" s="35">
        <v>32</v>
      </c>
      <c r="E19" s="35">
        <v>32</v>
      </c>
    </row>
    <row r="20" spans="1:5" ht="17.25" customHeight="1" x14ac:dyDescent="0.3">
      <c r="A20" s="33" t="s">
        <v>266</v>
      </c>
      <c r="B20" s="29" t="s">
        <v>267</v>
      </c>
      <c r="C20" s="29" t="s">
        <v>267</v>
      </c>
      <c r="D20" s="23" t="s">
        <v>261</v>
      </c>
      <c r="E20" s="35" t="s">
        <v>262</v>
      </c>
    </row>
  </sheetData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zoomScaleNormal="100" workbookViewId="0">
      <selection activeCell="G4" sqref="G4:J19"/>
    </sheetView>
  </sheetViews>
  <sheetFormatPr defaultColWidth="8.5" defaultRowHeight="17.25" customHeight="1" x14ac:dyDescent="0.3"/>
  <cols>
    <col min="1" max="1" width="21.5" customWidth="1"/>
    <col min="2" max="6" width="20" customWidth="1"/>
    <col min="7" max="10" width="22" customWidth="1"/>
  </cols>
  <sheetData>
    <row r="1" spans="1:10" ht="21" customHeight="1" x14ac:dyDescent="0.3">
      <c r="A1" s="1" t="s">
        <v>268</v>
      </c>
    </row>
    <row r="2" spans="1:10" ht="17.25" customHeight="1" x14ac:dyDescent="0.3">
      <c r="A2" s="20" t="s">
        <v>82</v>
      </c>
    </row>
    <row r="4" spans="1:10" ht="34.5" customHeight="1" x14ac:dyDescent="0.3">
      <c r="A4" s="4" t="s">
        <v>83</v>
      </c>
      <c r="B4" s="3" t="s">
        <v>269</v>
      </c>
      <c r="C4" s="3" t="s">
        <v>270</v>
      </c>
      <c r="D4" s="3" t="s">
        <v>271</v>
      </c>
      <c r="E4" s="3" t="s">
        <v>272</v>
      </c>
      <c r="F4" s="3" t="s">
        <v>273</v>
      </c>
      <c r="G4" s="3" t="s">
        <v>274</v>
      </c>
      <c r="H4" s="3" t="s">
        <v>275</v>
      </c>
      <c r="I4" s="3" t="s">
        <v>276</v>
      </c>
      <c r="J4" s="3" t="s">
        <v>277</v>
      </c>
    </row>
    <row r="5" spans="1:10" ht="17.25" customHeight="1" x14ac:dyDescent="0.3">
      <c r="A5" s="36" t="s">
        <v>94</v>
      </c>
      <c r="B5" s="23" t="s">
        <v>278</v>
      </c>
      <c r="C5" s="23" t="s">
        <v>278</v>
      </c>
      <c r="D5" s="23" t="s">
        <v>278</v>
      </c>
      <c r="E5" s="23" t="s">
        <v>278</v>
      </c>
      <c r="F5" s="23" t="s">
        <v>278</v>
      </c>
      <c r="G5" s="23" t="s">
        <v>279</v>
      </c>
      <c r="H5" s="23" t="s">
        <v>279</v>
      </c>
      <c r="I5" s="23" t="s">
        <v>278</v>
      </c>
      <c r="J5" s="23" t="s">
        <v>278</v>
      </c>
    </row>
    <row r="6" spans="1:10" ht="17.25" customHeight="1" x14ac:dyDescent="0.3">
      <c r="A6" s="36" t="s">
        <v>102</v>
      </c>
      <c r="B6" s="23" t="s">
        <v>59</v>
      </c>
      <c r="C6" s="23" t="s">
        <v>61</v>
      </c>
      <c r="D6" s="23" t="s">
        <v>64</v>
      </c>
      <c r="E6" s="23" t="s">
        <v>54</v>
      </c>
      <c r="F6" s="23" t="s">
        <v>280</v>
      </c>
      <c r="G6" s="23" t="s">
        <v>59</v>
      </c>
      <c r="H6" s="23" t="s">
        <v>61</v>
      </c>
      <c r="I6" s="23" t="s">
        <v>77</v>
      </c>
      <c r="J6" s="23" t="s">
        <v>80</v>
      </c>
    </row>
    <row r="7" spans="1:10" ht="17.25" customHeight="1" x14ac:dyDescent="0.3">
      <c r="A7" s="36" t="s">
        <v>105</v>
      </c>
      <c r="B7" s="23" t="s">
        <v>281</v>
      </c>
      <c r="C7" s="23" t="s">
        <v>282</v>
      </c>
      <c r="D7" s="23" t="s">
        <v>283</v>
      </c>
      <c r="E7" s="23" t="s">
        <v>284</v>
      </c>
      <c r="F7" s="23" t="s">
        <v>285</v>
      </c>
      <c r="G7" s="23" t="s">
        <v>286</v>
      </c>
      <c r="H7" s="23" t="s">
        <v>286</v>
      </c>
      <c r="I7" s="29" t="s">
        <v>287</v>
      </c>
      <c r="J7" s="29" t="s">
        <v>288</v>
      </c>
    </row>
    <row r="8" spans="1:10" ht="17.25" customHeight="1" x14ac:dyDescent="0.3">
      <c r="A8" s="36" t="s">
        <v>113</v>
      </c>
      <c r="B8" s="23" t="s">
        <v>236</v>
      </c>
      <c r="C8" s="23" t="s">
        <v>236</v>
      </c>
      <c r="D8" s="23" t="s">
        <v>236</v>
      </c>
      <c r="E8" s="23" t="s">
        <v>236</v>
      </c>
      <c r="F8" s="23" t="s">
        <v>236</v>
      </c>
      <c r="G8" s="23" t="s">
        <v>236</v>
      </c>
      <c r="H8" s="23" t="s">
        <v>236</v>
      </c>
      <c r="I8" s="23" t="s">
        <v>236</v>
      </c>
      <c r="J8" s="23" t="s">
        <v>236</v>
      </c>
    </row>
    <row r="9" spans="1:10" ht="17.25" customHeight="1" x14ac:dyDescent="0.3">
      <c r="A9" s="36" t="s">
        <v>121</v>
      </c>
      <c r="B9" s="23" t="s">
        <v>236</v>
      </c>
      <c r="C9" s="23" t="s">
        <v>236</v>
      </c>
      <c r="D9" s="23" t="s">
        <v>236</v>
      </c>
      <c r="E9" s="23" t="s">
        <v>236</v>
      </c>
      <c r="F9" s="23" t="s">
        <v>236</v>
      </c>
      <c r="G9" s="23" t="s">
        <v>236</v>
      </c>
      <c r="H9" s="23" t="s">
        <v>236</v>
      </c>
      <c r="I9" s="23" t="s">
        <v>236</v>
      </c>
      <c r="J9" s="23" t="s">
        <v>236</v>
      </c>
    </row>
    <row r="10" spans="1:10" ht="17.25" customHeight="1" x14ac:dyDescent="0.3">
      <c r="A10" s="37" t="s">
        <v>130</v>
      </c>
      <c r="B10" s="23" t="s">
        <v>238</v>
      </c>
      <c r="C10" s="23" t="s">
        <v>238</v>
      </c>
      <c r="D10" s="23" t="s">
        <v>239</v>
      </c>
      <c r="E10" s="23" t="s">
        <v>289</v>
      </c>
      <c r="F10" s="23" t="s">
        <v>289</v>
      </c>
      <c r="G10" s="23" t="s">
        <v>290</v>
      </c>
      <c r="H10" s="23" t="s">
        <v>290</v>
      </c>
      <c r="I10" s="23" t="s">
        <v>291</v>
      </c>
      <c r="J10" s="23" t="s">
        <v>291</v>
      </c>
    </row>
    <row r="11" spans="1:10" ht="17.25" customHeight="1" x14ac:dyDescent="0.3">
      <c r="A11" s="36" t="s">
        <v>137</v>
      </c>
      <c r="B11" s="23" t="s">
        <v>50</v>
      </c>
      <c r="C11" s="23" t="s">
        <v>50</v>
      </c>
      <c r="D11" s="23" t="s">
        <v>292</v>
      </c>
      <c r="E11" s="23" t="s">
        <v>18</v>
      </c>
      <c r="F11" s="23" t="s">
        <v>18</v>
      </c>
      <c r="G11" s="23" t="s">
        <v>293</v>
      </c>
      <c r="H11" s="23" t="s">
        <v>293</v>
      </c>
      <c r="I11" s="23" t="s">
        <v>294</v>
      </c>
      <c r="J11" s="23" t="s">
        <v>294</v>
      </c>
    </row>
    <row r="12" spans="1:10" ht="17.25" customHeight="1" x14ac:dyDescent="0.3">
      <c r="A12" s="36" t="s">
        <v>144</v>
      </c>
      <c r="B12" s="23" t="s">
        <v>49</v>
      </c>
      <c r="C12" s="23" t="s">
        <v>49</v>
      </c>
      <c r="D12" s="23" t="s">
        <v>34</v>
      </c>
      <c r="E12" s="23" t="s">
        <v>295</v>
      </c>
      <c r="F12" s="23" t="s">
        <v>295</v>
      </c>
      <c r="G12" s="23" t="s">
        <v>73</v>
      </c>
      <c r="H12" s="23" t="s">
        <v>73</v>
      </c>
      <c r="I12" s="29" t="s">
        <v>296</v>
      </c>
      <c r="J12" s="29" t="s">
        <v>296</v>
      </c>
    </row>
    <row r="13" spans="1:10" ht="17.25" customHeight="1" x14ac:dyDescent="0.3">
      <c r="A13" s="36" t="s">
        <v>241</v>
      </c>
      <c r="B13" s="23" t="s">
        <v>297</v>
      </c>
      <c r="C13" s="23" t="s">
        <v>297</v>
      </c>
      <c r="D13" s="23" t="s">
        <v>297</v>
      </c>
      <c r="E13" s="23" t="s">
        <v>298</v>
      </c>
      <c r="F13" s="23" t="s">
        <v>298</v>
      </c>
      <c r="G13" s="23" t="s">
        <v>236</v>
      </c>
      <c r="H13" s="23" t="s">
        <v>236</v>
      </c>
      <c r="I13" s="23" t="s">
        <v>299</v>
      </c>
      <c r="J13" s="23" t="s">
        <v>299</v>
      </c>
    </row>
    <row r="14" spans="1:10" ht="30.75" customHeight="1" x14ac:dyDescent="0.3">
      <c r="A14" s="36" t="s">
        <v>244</v>
      </c>
      <c r="B14" s="23" t="s">
        <v>300</v>
      </c>
      <c r="C14" s="23" t="s">
        <v>300</v>
      </c>
      <c r="D14" s="23" t="s">
        <v>246</v>
      </c>
      <c r="E14" s="29" t="s">
        <v>247</v>
      </c>
      <c r="F14" s="29" t="s">
        <v>247</v>
      </c>
      <c r="G14" s="29" t="s">
        <v>301</v>
      </c>
      <c r="H14" s="29" t="s">
        <v>301</v>
      </c>
      <c r="I14" s="23" t="s">
        <v>236</v>
      </c>
      <c r="J14" s="23" t="s">
        <v>236</v>
      </c>
    </row>
    <row r="15" spans="1:10" ht="17.25" customHeight="1" x14ac:dyDescent="0.3">
      <c r="A15" s="37" t="s">
        <v>248</v>
      </c>
      <c r="B15" s="23" t="s">
        <v>299</v>
      </c>
      <c r="C15" s="23" t="s">
        <v>299</v>
      </c>
      <c r="D15" s="23" t="s">
        <v>297</v>
      </c>
      <c r="E15" s="23" t="s">
        <v>297</v>
      </c>
      <c r="F15" s="23" t="s">
        <v>297</v>
      </c>
      <c r="G15" s="23" t="s">
        <v>236</v>
      </c>
      <c r="H15" s="23" t="s">
        <v>236</v>
      </c>
      <c r="I15" s="23" t="s">
        <v>236</v>
      </c>
      <c r="J15" s="23" t="s">
        <v>236</v>
      </c>
    </row>
    <row r="16" spans="1:10" ht="30.75" customHeight="1" x14ac:dyDescent="0.3">
      <c r="A16" s="36" t="s">
        <v>252</v>
      </c>
      <c r="B16" s="23" t="s">
        <v>253</v>
      </c>
      <c r="C16" s="23" t="s">
        <v>253</v>
      </c>
      <c r="D16" s="23" t="s">
        <v>253</v>
      </c>
      <c r="E16" s="23" t="s">
        <v>302</v>
      </c>
      <c r="F16" s="23" t="s">
        <v>302</v>
      </c>
      <c r="G16" s="23" t="s">
        <v>236</v>
      </c>
      <c r="H16" s="23" t="s">
        <v>236</v>
      </c>
      <c r="I16" s="23" t="s">
        <v>236</v>
      </c>
      <c r="J16" s="23" t="s">
        <v>236</v>
      </c>
    </row>
    <row r="17" spans="1:10" ht="23.25" customHeight="1" x14ac:dyDescent="0.3">
      <c r="A17" s="36" t="s">
        <v>256</v>
      </c>
      <c r="B17" s="23" t="s">
        <v>257</v>
      </c>
      <c r="C17" s="23" t="s">
        <v>257</v>
      </c>
      <c r="D17" s="23" t="s">
        <v>257</v>
      </c>
      <c r="E17" s="23" t="s">
        <v>303</v>
      </c>
      <c r="F17" s="23" t="s">
        <v>304</v>
      </c>
      <c r="G17" s="23" t="s">
        <v>305</v>
      </c>
      <c r="H17" s="23" t="s">
        <v>305</v>
      </c>
      <c r="I17" s="23" t="s">
        <v>306</v>
      </c>
      <c r="J17" s="23" t="s">
        <v>306</v>
      </c>
    </row>
    <row r="18" spans="1:10" ht="17.25" customHeight="1" x14ac:dyDescent="0.3">
      <c r="A18" s="36" t="s">
        <v>259</v>
      </c>
      <c r="B18" s="29" t="s">
        <v>267</v>
      </c>
      <c r="C18" s="29" t="s">
        <v>267</v>
      </c>
      <c r="D18" s="23" t="s">
        <v>261</v>
      </c>
      <c r="E18" s="23" t="s">
        <v>262</v>
      </c>
      <c r="F18" s="23" t="s">
        <v>262</v>
      </c>
      <c r="G18" s="29" t="s">
        <v>307</v>
      </c>
      <c r="H18" s="29" t="s">
        <v>307</v>
      </c>
      <c r="I18" s="23" t="s">
        <v>236</v>
      </c>
      <c r="J18" s="23" t="s">
        <v>236</v>
      </c>
    </row>
    <row r="19" spans="1:10" ht="17.25" customHeight="1" x14ac:dyDescent="0.3">
      <c r="A19" s="36" t="s">
        <v>308</v>
      </c>
      <c r="B19" s="23" t="s">
        <v>309</v>
      </c>
      <c r="C19" s="23" t="s">
        <v>309</v>
      </c>
      <c r="D19" s="23" t="s">
        <v>261</v>
      </c>
      <c r="E19" s="23" t="s">
        <v>262</v>
      </c>
      <c r="F19" s="23" t="s">
        <v>262</v>
      </c>
      <c r="G19" s="23" t="s">
        <v>310</v>
      </c>
      <c r="H19" s="23" t="s">
        <v>310</v>
      </c>
      <c r="I19" s="23" t="s">
        <v>310</v>
      </c>
      <c r="J19" s="23" t="s">
        <v>310</v>
      </c>
    </row>
  </sheetData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zoomScaleNormal="100" workbookViewId="0"/>
  </sheetViews>
  <sheetFormatPr defaultColWidth="8.5" defaultRowHeight="17.25" customHeight="1" x14ac:dyDescent="0.3"/>
  <cols>
    <col min="1" max="1" width="5" customWidth="1"/>
    <col min="2" max="2" width="12" customWidth="1"/>
    <col min="3" max="4" width="14" customWidth="1"/>
    <col min="5" max="5" width="16" customWidth="1"/>
    <col min="6" max="6" width="10" customWidth="1"/>
    <col min="7" max="7" width="8" customWidth="1"/>
    <col min="8" max="8" width="15" customWidth="1"/>
    <col min="9" max="9" width="20" customWidth="1"/>
  </cols>
  <sheetData>
    <row r="1" spans="1:9" ht="21" customHeight="1" x14ac:dyDescent="0.35">
      <c r="A1" s="38" t="s">
        <v>311</v>
      </c>
    </row>
    <row r="2" spans="1:9" ht="17.25" customHeight="1" x14ac:dyDescent="0.3">
      <c r="A2" s="20" t="s">
        <v>312</v>
      </c>
    </row>
    <row r="4" spans="1:9" ht="17.25" customHeight="1" x14ac:dyDescent="0.3">
      <c r="A4" s="68" t="s">
        <v>313</v>
      </c>
      <c r="B4" s="68"/>
      <c r="C4" s="68"/>
      <c r="D4" s="68"/>
      <c r="E4" s="68"/>
      <c r="F4" s="68"/>
      <c r="G4" s="68"/>
      <c r="H4" s="68"/>
      <c r="I4" s="68"/>
    </row>
    <row r="5" spans="1:9" ht="17.25" customHeight="1" x14ac:dyDescent="0.3">
      <c r="A5" s="4" t="s">
        <v>314</v>
      </c>
      <c r="B5" s="4" t="s">
        <v>4</v>
      </c>
      <c r="C5" s="4" t="s">
        <v>5</v>
      </c>
      <c r="D5" s="3" t="s">
        <v>8</v>
      </c>
      <c r="E5" s="4" t="s">
        <v>315</v>
      </c>
      <c r="F5" s="4" t="s">
        <v>316</v>
      </c>
      <c r="G5" s="4" t="s">
        <v>10</v>
      </c>
      <c r="H5" s="3" t="s">
        <v>317</v>
      </c>
      <c r="I5" s="4" t="s">
        <v>318</v>
      </c>
    </row>
    <row r="6" spans="1:9" ht="30.75" customHeight="1" x14ac:dyDescent="0.3">
      <c r="A6" s="39">
        <v>1</v>
      </c>
      <c r="B6" s="40" t="s">
        <v>40</v>
      </c>
      <c r="C6" s="39" t="s">
        <v>41</v>
      </c>
      <c r="D6" s="41" t="s">
        <v>319</v>
      </c>
      <c r="E6" s="41" t="s">
        <v>319</v>
      </c>
      <c r="F6" s="39" t="s">
        <v>320</v>
      </c>
      <c r="G6" s="41">
        <v>2</v>
      </c>
      <c r="H6" s="41" t="s">
        <v>321</v>
      </c>
      <c r="I6" s="39" t="s">
        <v>322</v>
      </c>
    </row>
    <row r="7" spans="1:9" ht="30.75" customHeight="1" x14ac:dyDescent="0.3">
      <c r="A7" s="42">
        <v>2</v>
      </c>
      <c r="B7" s="43" t="s">
        <v>40</v>
      </c>
      <c r="C7" s="42" t="s">
        <v>44</v>
      </c>
      <c r="D7" s="44" t="s">
        <v>323</v>
      </c>
      <c r="E7" s="44" t="s">
        <v>323</v>
      </c>
      <c r="F7" s="42" t="s">
        <v>320</v>
      </c>
      <c r="G7" s="44">
        <v>2</v>
      </c>
      <c r="H7" s="44" t="s">
        <v>324</v>
      </c>
      <c r="I7" s="42" t="s">
        <v>322</v>
      </c>
    </row>
    <row r="8" spans="1:9" ht="30.75" customHeight="1" x14ac:dyDescent="0.3">
      <c r="A8" s="42">
        <v>3</v>
      </c>
      <c r="B8" s="43" t="s">
        <v>67</v>
      </c>
      <c r="C8" s="42" t="s">
        <v>68</v>
      </c>
      <c r="D8" s="44" t="s">
        <v>325</v>
      </c>
      <c r="E8" s="44" t="s">
        <v>325</v>
      </c>
      <c r="F8" s="42" t="s">
        <v>320</v>
      </c>
      <c r="G8" s="44">
        <v>1</v>
      </c>
      <c r="H8" s="44" t="s">
        <v>325</v>
      </c>
      <c r="I8" s="42" t="s">
        <v>326</v>
      </c>
    </row>
    <row r="9" spans="1:9" ht="30.75" customHeight="1" x14ac:dyDescent="0.3">
      <c r="A9" s="45">
        <v>4</v>
      </c>
      <c r="B9" s="45" t="s">
        <v>13</v>
      </c>
      <c r="C9" s="45" t="s">
        <v>14</v>
      </c>
      <c r="D9" s="46" t="s">
        <v>327</v>
      </c>
      <c r="E9" s="46" t="s">
        <v>327</v>
      </c>
      <c r="F9" s="45" t="s">
        <v>320</v>
      </c>
      <c r="G9" s="46">
        <v>1</v>
      </c>
      <c r="H9" s="46" t="s">
        <v>327</v>
      </c>
      <c r="I9" s="45" t="s">
        <v>328</v>
      </c>
    </row>
    <row r="10" spans="1:9" ht="30.75" customHeight="1" x14ac:dyDescent="0.3">
      <c r="A10" s="23">
        <v>5</v>
      </c>
      <c r="B10" s="23" t="s">
        <v>31</v>
      </c>
      <c r="C10" s="23" t="s">
        <v>32</v>
      </c>
      <c r="D10" s="47" t="s">
        <v>329</v>
      </c>
      <c r="E10" s="47" t="s">
        <v>330</v>
      </c>
      <c r="F10" s="23" t="s">
        <v>331</v>
      </c>
      <c r="G10" s="47">
        <v>1</v>
      </c>
      <c r="H10" s="47" t="s">
        <v>329</v>
      </c>
      <c r="I10" s="23" t="s">
        <v>332</v>
      </c>
    </row>
    <row r="11" spans="1:9" ht="46.5" customHeight="1" x14ac:dyDescent="0.3">
      <c r="A11" s="23">
        <v>6</v>
      </c>
      <c r="B11" s="23" t="s">
        <v>31</v>
      </c>
      <c r="C11" s="23" t="s">
        <v>36</v>
      </c>
      <c r="D11" s="47" t="s">
        <v>333</v>
      </c>
      <c r="E11" s="47" t="s">
        <v>334</v>
      </c>
      <c r="F11" s="23" t="s">
        <v>335</v>
      </c>
      <c r="G11" s="47">
        <v>1</v>
      </c>
      <c r="H11" s="47" t="s">
        <v>333</v>
      </c>
      <c r="I11" s="23" t="s">
        <v>336</v>
      </c>
    </row>
    <row r="12" spans="1:9" ht="23.25" customHeight="1" x14ac:dyDescent="0.3">
      <c r="A12" s="23">
        <v>7</v>
      </c>
      <c r="B12" s="23" t="s">
        <v>23</v>
      </c>
      <c r="C12" s="23" t="s">
        <v>337</v>
      </c>
      <c r="D12" s="47" t="s">
        <v>338</v>
      </c>
      <c r="E12" s="47" t="s">
        <v>338</v>
      </c>
      <c r="F12" s="23" t="s">
        <v>320</v>
      </c>
      <c r="G12" s="47">
        <v>1</v>
      </c>
      <c r="H12" s="47" t="s">
        <v>338</v>
      </c>
      <c r="I12" s="23" t="s">
        <v>339</v>
      </c>
    </row>
    <row r="13" spans="1:9" ht="30.75" customHeight="1" x14ac:dyDescent="0.3">
      <c r="A13" s="23">
        <v>8</v>
      </c>
      <c r="B13" s="23" t="s">
        <v>13</v>
      </c>
      <c r="C13" s="23" t="s">
        <v>340</v>
      </c>
      <c r="D13" s="47" t="s">
        <v>341</v>
      </c>
      <c r="E13" s="47" t="s">
        <v>341</v>
      </c>
      <c r="F13" s="23" t="s">
        <v>320</v>
      </c>
      <c r="G13" s="47">
        <v>1</v>
      </c>
      <c r="H13" s="47" t="s">
        <v>341</v>
      </c>
      <c r="I13" s="23" t="s">
        <v>342</v>
      </c>
    </row>
    <row r="14" spans="1:9" ht="23.25" customHeight="1" x14ac:dyDescent="0.3">
      <c r="A14" s="23">
        <v>9</v>
      </c>
      <c r="B14" s="23" t="s">
        <v>37</v>
      </c>
      <c r="C14" s="23" t="s">
        <v>38</v>
      </c>
      <c r="D14" s="47" t="s">
        <v>343</v>
      </c>
      <c r="E14" s="47" t="s">
        <v>343</v>
      </c>
      <c r="F14" s="23" t="s">
        <v>320</v>
      </c>
      <c r="G14" s="47">
        <v>1</v>
      </c>
      <c r="H14" s="47" t="s">
        <v>343</v>
      </c>
      <c r="I14" s="23" t="s">
        <v>344</v>
      </c>
    </row>
    <row r="15" spans="1:9" ht="17.25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</row>
    <row r="16" spans="1:9" ht="17.25" customHeight="1" x14ac:dyDescent="0.3">
      <c r="A16" s="48" t="s">
        <v>345</v>
      </c>
    </row>
    <row r="17" spans="1:9" ht="30.75" customHeight="1" x14ac:dyDescent="0.3">
      <c r="A17" s="4" t="s">
        <v>314</v>
      </c>
      <c r="B17" s="4" t="s">
        <v>4</v>
      </c>
      <c r="C17" s="4" t="s">
        <v>5</v>
      </c>
      <c r="D17" s="3" t="s">
        <v>8</v>
      </c>
      <c r="E17" s="4" t="s">
        <v>315</v>
      </c>
      <c r="F17" s="4" t="s">
        <v>316</v>
      </c>
      <c r="G17" s="4" t="s">
        <v>10</v>
      </c>
      <c r="H17" s="3" t="s">
        <v>317</v>
      </c>
      <c r="I17" s="4" t="s">
        <v>318</v>
      </c>
    </row>
    <row r="18" spans="1:9" ht="23.25" customHeight="1" x14ac:dyDescent="0.3">
      <c r="A18" s="39">
        <v>1</v>
      </c>
      <c r="B18" s="39" t="s">
        <v>31</v>
      </c>
      <c r="C18" s="39" t="s">
        <v>53</v>
      </c>
      <c r="D18" s="41" t="s">
        <v>346</v>
      </c>
      <c r="E18" s="41" t="s">
        <v>347</v>
      </c>
      <c r="F18" s="39" t="s">
        <v>331</v>
      </c>
      <c r="G18" s="41">
        <v>1</v>
      </c>
      <c r="H18" s="41" t="s">
        <v>346</v>
      </c>
      <c r="I18" s="39" t="s">
        <v>348</v>
      </c>
    </row>
    <row r="19" spans="1:9" ht="17.25" customHeight="1" x14ac:dyDescent="0.3">
      <c r="A19" s="42">
        <v>2</v>
      </c>
      <c r="B19" s="42" t="s">
        <v>13</v>
      </c>
      <c r="C19" s="42" t="s">
        <v>46</v>
      </c>
      <c r="D19" s="44" t="s">
        <v>349</v>
      </c>
      <c r="E19" s="44" t="s">
        <v>349</v>
      </c>
      <c r="F19" s="42" t="s">
        <v>320</v>
      </c>
      <c r="G19" s="44">
        <v>1</v>
      </c>
      <c r="H19" s="44" t="s">
        <v>349</v>
      </c>
      <c r="I19" s="42" t="s">
        <v>350</v>
      </c>
    </row>
    <row r="20" spans="1:9" ht="30.75" customHeight="1" x14ac:dyDescent="0.3">
      <c r="A20" s="45">
        <v>3</v>
      </c>
      <c r="B20" s="45" t="s">
        <v>13</v>
      </c>
      <c r="C20" s="45" t="s">
        <v>51</v>
      </c>
      <c r="D20" s="46" t="s">
        <v>351</v>
      </c>
      <c r="E20" s="46" t="s">
        <v>351</v>
      </c>
      <c r="F20" s="45" t="s">
        <v>320</v>
      </c>
      <c r="G20" s="46">
        <v>1</v>
      </c>
      <c r="H20" s="46" t="s">
        <v>351</v>
      </c>
      <c r="I20" s="45" t="s">
        <v>350</v>
      </c>
    </row>
    <row r="21" spans="1:9" ht="23.25" customHeight="1" x14ac:dyDescent="0.3">
      <c r="A21" s="23">
        <v>4</v>
      </c>
      <c r="B21" s="23" t="s">
        <v>37</v>
      </c>
      <c r="C21" s="23" t="s">
        <v>55</v>
      </c>
      <c r="D21" s="47" t="s">
        <v>352</v>
      </c>
      <c r="E21" s="47" t="s">
        <v>352</v>
      </c>
      <c r="F21" s="23" t="s">
        <v>320</v>
      </c>
      <c r="G21" s="47">
        <v>2</v>
      </c>
      <c r="H21" s="47" t="s">
        <v>353</v>
      </c>
      <c r="I21" s="23" t="s">
        <v>344</v>
      </c>
    </row>
    <row r="22" spans="1:9" ht="17.25" customHeight="1" x14ac:dyDescent="0.3">
      <c r="A22" s="69"/>
      <c r="B22" s="69"/>
      <c r="C22" s="69"/>
      <c r="D22" s="69"/>
      <c r="E22" s="69"/>
      <c r="F22" s="69"/>
      <c r="G22" s="69"/>
      <c r="H22" s="69"/>
      <c r="I22" s="69"/>
    </row>
    <row r="23" spans="1:9" ht="17.25" customHeight="1" x14ac:dyDescent="0.3">
      <c r="A23" s="49" t="s">
        <v>354</v>
      </c>
    </row>
    <row r="24" spans="1:9" ht="30.75" customHeight="1" x14ac:dyDescent="0.3">
      <c r="A24" s="4" t="s">
        <v>314</v>
      </c>
      <c r="B24" s="4" t="s">
        <v>4</v>
      </c>
      <c r="C24" s="4" t="s">
        <v>5</v>
      </c>
      <c r="D24" s="3" t="s">
        <v>8</v>
      </c>
      <c r="E24" s="4" t="s">
        <v>315</v>
      </c>
      <c r="F24" s="4" t="s">
        <v>316</v>
      </c>
      <c r="G24" s="4" t="s">
        <v>10</v>
      </c>
      <c r="H24" s="3" t="s">
        <v>317</v>
      </c>
      <c r="I24" s="4" t="s">
        <v>318</v>
      </c>
    </row>
    <row r="25" spans="1:9" ht="30.75" customHeight="1" x14ac:dyDescent="0.3">
      <c r="A25" s="39">
        <v>1</v>
      </c>
      <c r="B25" s="39" t="s">
        <v>71</v>
      </c>
      <c r="C25" s="39" t="s">
        <v>72</v>
      </c>
      <c r="D25" s="41" t="s">
        <v>355</v>
      </c>
      <c r="E25" s="41" t="s">
        <v>355</v>
      </c>
      <c r="F25" s="39" t="s">
        <v>320</v>
      </c>
      <c r="G25" s="41">
        <v>1</v>
      </c>
      <c r="H25" s="41" t="s">
        <v>355</v>
      </c>
      <c r="I25" s="39" t="s">
        <v>356</v>
      </c>
    </row>
    <row r="26" spans="1:9" ht="17.25" customHeight="1" x14ac:dyDescent="0.3">
      <c r="A26" s="39">
        <v>2</v>
      </c>
      <c r="B26" s="39" t="s">
        <v>75</v>
      </c>
      <c r="C26" s="39" t="s">
        <v>76</v>
      </c>
      <c r="D26" s="41" t="s">
        <v>357</v>
      </c>
      <c r="E26" s="41" t="s">
        <v>358</v>
      </c>
      <c r="F26" s="39" t="s">
        <v>359</v>
      </c>
      <c r="G26" s="41">
        <v>1</v>
      </c>
      <c r="H26" s="41" t="s">
        <v>357</v>
      </c>
      <c r="I26" s="40" t="s">
        <v>360</v>
      </c>
    </row>
    <row r="27" spans="1:9" ht="23.25" customHeight="1" x14ac:dyDescent="0.3">
      <c r="A27" s="39">
        <v>3</v>
      </c>
      <c r="B27" s="39" t="s">
        <v>71</v>
      </c>
      <c r="C27" s="39" t="s">
        <v>74</v>
      </c>
      <c r="D27" s="41" t="s">
        <v>361</v>
      </c>
      <c r="E27" s="41" t="s">
        <v>361</v>
      </c>
      <c r="F27" s="39" t="s">
        <v>320</v>
      </c>
      <c r="G27" s="41">
        <v>1</v>
      </c>
      <c r="H27" s="41" t="s">
        <v>361</v>
      </c>
      <c r="I27" s="39" t="s">
        <v>356</v>
      </c>
    </row>
    <row r="28" spans="1:9" ht="23.25" customHeight="1" x14ac:dyDescent="0.3">
      <c r="A28" s="39">
        <v>4</v>
      </c>
      <c r="B28" s="39" t="s">
        <v>31</v>
      </c>
      <c r="C28" s="39" t="s">
        <v>63</v>
      </c>
      <c r="D28" s="41" t="s">
        <v>362</v>
      </c>
      <c r="E28" s="41" t="s">
        <v>363</v>
      </c>
      <c r="F28" s="39" t="s">
        <v>331</v>
      </c>
      <c r="G28" s="41">
        <v>1</v>
      </c>
      <c r="H28" s="41" t="s">
        <v>362</v>
      </c>
      <c r="I28" s="39" t="s">
        <v>348</v>
      </c>
    </row>
    <row r="29" spans="1:9" ht="23.25" customHeight="1" x14ac:dyDescent="0.3">
      <c r="A29" s="39">
        <v>5</v>
      </c>
      <c r="B29" s="39" t="s">
        <v>37</v>
      </c>
      <c r="C29" s="39" t="s">
        <v>65</v>
      </c>
      <c r="D29" s="41" t="s">
        <v>364</v>
      </c>
      <c r="E29" s="41" t="s">
        <v>364</v>
      </c>
      <c r="F29" s="39" t="s">
        <v>320</v>
      </c>
      <c r="G29" s="41">
        <v>1</v>
      </c>
      <c r="H29" s="41" t="s">
        <v>364</v>
      </c>
      <c r="I29" s="39" t="s">
        <v>344</v>
      </c>
    </row>
    <row r="30" spans="1:9" ht="17.25" customHeight="1" x14ac:dyDescent="0.3">
      <c r="A30" s="39">
        <v>6</v>
      </c>
      <c r="B30" s="39" t="s">
        <v>13</v>
      </c>
      <c r="C30" s="39" t="s">
        <v>57</v>
      </c>
      <c r="D30" s="41" t="s">
        <v>365</v>
      </c>
      <c r="E30" s="41" t="s">
        <v>365</v>
      </c>
      <c r="F30" s="39" t="s">
        <v>320</v>
      </c>
      <c r="G30" s="41">
        <v>1</v>
      </c>
      <c r="H30" s="41" t="s">
        <v>365</v>
      </c>
      <c r="I30" s="39" t="s">
        <v>350</v>
      </c>
    </row>
    <row r="31" spans="1:9" ht="17.25" customHeight="1" x14ac:dyDescent="0.3">
      <c r="A31" s="39">
        <v>7</v>
      </c>
      <c r="B31" s="39" t="s">
        <v>75</v>
      </c>
      <c r="C31" s="39" t="s">
        <v>79</v>
      </c>
      <c r="D31" s="41" t="s">
        <v>366</v>
      </c>
      <c r="E31" s="41" t="s">
        <v>367</v>
      </c>
      <c r="F31" s="39" t="s">
        <v>359</v>
      </c>
      <c r="G31" s="41">
        <v>1</v>
      </c>
      <c r="H31" s="41" t="s">
        <v>366</v>
      </c>
      <c r="I31" s="40" t="s">
        <v>360</v>
      </c>
    </row>
    <row r="32" spans="1:9" ht="17.25" customHeight="1" x14ac:dyDescent="0.3">
      <c r="A32" s="39">
        <v>8</v>
      </c>
      <c r="B32" s="39" t="s">
        <v>13</v>
      </c>
      <c r="C32" s="39" t="s">
        <v>60</v>
      </c>
      <c r="D32" s="41" t="s">
        <v>368</v>
      </c>
      <c r="E32" s="41" t="s">
        <v>368</v>
      </c>
      <c r="F32" s="39" t="s">
        <v>320</v>
      </c>
      <c r="G32" s="41">
        <v>1</v>
      </c>
      <c r="H32" s="41" t="s">
        <v>368</v>
      </c>
      <c r="I32" s="39" t="s">
        <v>350</v>
      </c>
    </row>
    <row r="33" spans="1:9" ht="27" x14ac:dyDescent="0.3">
      <c r="A33" s="39">
        <v>9</v>
      </c>
      <c r="B33" s="39" t="s">
        <v>31</v>
      </c>
      <c r="C33" s="39" t="s">
        <v>62</v>
      </c>
      <c r="D33" s="41" t="s">
        <v>327</v>
      </c>
      <c r="E33" s="41" t="s">
        <v>369</v>
      </c>
      <c r="F33" s="39" t="s">
        <v>331</v>
      </c>
      <c r="G33" s="41">
        <v>1</v>
      </c>
      <c r="H33" s="41" t="s">
        <v>327</v>
      </c>
      <c r="I33" s="39" t="s">
        <v>370</v>
      </c>
    </row>
    <row r="34" spans="1:9" ht="27" x14ac:dyDescent="0.3">
      <c r="A34" s="39">
        <v>10</v>
      </c>
      <c r="B34" s="39" t="s">
        <v>37</v>
      </c>
      <c r="C34" s="39" t="s">
        <v>66</v>
      </c>
      <c r="D34" s="41" t="s">
        <v>371</v>
      </c>
      <c r="E34" s="41" t="s">
        <v>371</v>
      </c>
      <c r="F34" s="39" t="s">
        <v>320</v>
      </c>
      <c r="G34" s="41">
        <v>1</v>
      </c>
      <c r="H34" s="41" t="s">
        <v>371</v>
      </c>
      <c r="I34" s="39" t="s">
        <v>372</v>
      </c>
    </row>
  </sheetData>
  <mergeCells count="3">
    <mergeCell ref="A4:I4"/>
    <mergeCell ref="A15:I15"/>
    <mergeCell ref="A22:I22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zoomScaleNormal="100" workbookViewId="0">
      <selection activeCell="H20" sqref="H20"/>
    </sheetView>
  </sheetViews>
  <sheetFormatPr defaultColWidth="8.5" defaultRowHeight="17.25" customHeight="1" x14ac:dyDescent="0.3"/>
  <cols>
    <col min="1" max="1" width="10" customWidth="1"/>
    <col min="2" max="2" width="12" customWidth="1"/>
    <col min="3" max="3" width="14" customWidth="1"/>
    <col min="4" max="4" width="28" customWidth="1"/>
    <col min="5" max="5" width="20" customWidth="1"/>
    <col min="6" max="6" width="30" customWidth="1"/>
    <col min="7" max="7" width="16" customWidth="1"/>
    <col min="8" max="8" width="28" customWidth="1"/>
  </cols>
  <sheetData>
    <row r="1" spans="1:8" ht="21" customHeight="1" x14ac:dyDescent="0.3">
      <c r="A1" s="1" t="s">
        <v>373</v>
      </c>
    </row>
    <row r="2" spans="1:8" ht="17.25" customHeight="1" x14ac:dyDescent="0.3">
      <c r="A2" s="2" t="s">
        <v>374</v>
      </c>
    </row>
    <row r="4" spans="1:8" ht="34.5" customHeight="1" x14ac:dyDescent="0.3">
      <c r="A4" s="4" t="s">
        <v>6</v>
      </c>
      <c r="B4" s="4" t="s">
        <v>4</v>
      </c>
      <c r="C4" s="4" t="s">
        <v>5</v>
      </c>
      <c r="D4" s="4" t="s">
        <v>375</v>
      </c>
      <c r="E4" s="4" t="s">
        <v>376</v>
      </c>
      <c r="F4" s="4" t="s">
        <v>377</v>
      </c>
      <c r="G4" s="4" t="s">
        <v>378</v>
      </c>
      <c r="H4" s="4" t="s">
        <v>12</v>
      </c>
    </row>
    <row r="5" spans="1:8" ht="30.75" customHeight="1" x14ac:dyDescent="0.3">
      <c r="A5" s="6" t="s">
        <v>15</v>
      </c>
      <c r="B5" s="5" t="s">
        <v>13</v>
      </c>
      <c r="C5" s="5" t="s">
        <v>14</v>
      </c>
      <c r="D5" s="5" t="s">
        <v>379</v>
      </c>
      <c r="E5" s="5" t="s">
        <v>380</v>
      </c>
      <c r="F5" s="5" t="s">
        <v>381</v>
      </c>
      <c r="G5" s="5" t="s">
        <v>145</v>
      </c>
      <c r="H5" s="5" t="s">
        <v>138</v>
      </c>
    </row>
    <row r="6" spans="1:8" ht="17.25" customHeight="1" x14ac:dyDescent="0.3">
      <c r="A6" s="6" t="s">
        <v>15</v>
      </c>
      <c r="B6" s="5" t="s">
        <v>13</v>
      </c>
      <c r="C6" s="5" t="s">
        <v>340</v>
      </c>
      <c r="D6" s="5" t="s">
        <v>379</v>
      </c>
      <c r="E6" s="5" t="s">
        <v>382</v>
      </c>
      <c r="F6" s="5" t="s">
        <v>381</v>
      </c>
      <c r="G6" s="5" t="s">
        <v>21</v>
      </c>
      <c r="H6" s="5" t="s">
        <v>22</v>
      </c>
    </row>
    <row r="7" spans="1:8" ht="30.75" customHeight="1" x14ac:dyDescent="0.3">
      <c r="A7" s="6" t="s">
        <v>15</v>
      </c>
      <c r="B7" s="5" t="s">
        <v>23</v>
      </c>
      <c r="C7" s="5" t="s">
        <v>337</v>
      </c>
      <c r="D7" s="5" t="s">
        <v>383</v>
      </c>
      <c r="E7" s="5" t="s">
        <v>384</v>
      </c>
      <c r="F7" s="5" t="s">
        <v>385</v>
      </c>
      <c r="G7" s="5" t="s">
        <v>146</v>
      </c>
      <c r="H7" s="5" t="s">
        <v>139</v>
      </c>
    </row>
    <row r="8" spans="1:8" ht="30.75" customHeight="1" x14ac:dyDescent="0.3">
      <c r="A8" s="6" t="s">
        <v>15</v>
      </c>
      <c r="B8" s="5" t="s">
        <v>31</v>
      </c>
      <c r="C8" s="5" t="s">
        <v>32</v>
      </c>
      <c r="D8" s="5" t="s">
        <v>386</v>
      </c>
      <c r="E8" s="5" t="s">
        <v>387</v>
      </c>
      <c r="F8" s="5" t="s">
        <v>388</v>
      </c>
      <c r="G8" s="5" t="s">
        <v>34</v>
      </c>
      <c r="H8" s="5" t="s">
        <v>292</v>
      </c>
    </row>
    <row r="9" spans="1:8" ht="30.75" customHeight="1" x14ac:dyDescent="0.3">
      <c r="A9" s="6" t="s">
        <v>15</v>
      </c>
      <c r="B9" s="5" t="s">
        <v>31</v>
      </c>
      <c r="C9" s="5" t="s">
        <v>36</v>
      </c>
      <c r="D9" s="5" t="s">
        <v>386</v>
      </c>
      <c r="E9" s="5" t="s">
        <v>387</v>
      </c>
      <c r="F9" s="5" t="s">
        <v>388</v>
      </c>
      <c r="G9" s="5" t="s">
        <v>34</v>
      </c>
      <c r="H9" s="5" t="s">
        <v>22</v>
      </c>
    </row>
    <row r="10" spans="1:8" ht="30.75" customHeight="1" x14ac:dyDescent="0.3">
      <c r="A10" s="6" t="s">
        <v>15</v>
      </c>
      <c r="B10" s="5" t="s">
        <v>37</v>
      </c>
      <c r="C10" s="5" t="s">
        <v>38</v>
      </c>
      <c r="D10" s="5" t="s">
        <v>389</v>
      </c>
      <c r="E10" s="5" t="s">
        <v>389</v>
      </c>
      <c r="F10" s="5" t="s">
        <v>390</v>
      </c>
      <c r="G10" s="5" t="s">
        <v>147</v>
      </c>
      <c r="H10" s="5" t="s">
        <v>142</v>
      </c>
    </row>
    <row r="11" spans="1:8" ht="17.25" customHeight="1" x14ac:dyDescent="0.3">
      <c r="A11" s="6" t="s">
        <v>15</v>
      </c>
      <c r="B11" s="6" t="s">
        <v>40</v>
      </c>
      <c r="C11" s="5" t="s">
        <v>41</v>
      </c>
      <c r="D11" s="5" t="s">
        <v>379</v>
      </c>
      <c r="E11" s="5" t="s">
        <v>391</v>
      </c>
      <c r="F11" s="5" t="s">
        <v>381</v>
      </c>
      <c r="G11" s="5" t="s">
        <v>43</v>
      </c>
      <c r="H11" s="5" t="s">
        <v>27</v>
      </c>
    </row>
    <row r="12" spans="1:8" ht="17.25" customHeight="1" x14ac:dyDescent="0.3">
      <c r="A12" s="6" t="s">
        <v>15</v>
      </c>
      <c r="B12" s="6" t="s">
        <v>40</v>
      </c>
      <c r="C12" s="5" t="s">
        <v>44</v>
      </c>
      <c r="D12" s="5" t="s">
        <v>379</v>
      </c>
      <c r="E12" s="5" t="s">
        <v>391</v>
      </c>
      <c r="F12" s="5" t="s">
        <v>381</v>
      </c>
      <c r="G12" s="5" t="s">
        <v>43</v>
      </c>
      <c r="H12" s="5" t="s">
        <v>27</v>
      </c>
    </row>
    <row r="13" spans="1:8" ht="17.25" customHeight="1" x14ac:dyDescent="0.3">
      <c r="A13" s="11" t="s">
        <v>47</v>
      </c>
      <c r="B13" s="10" t="s">
        <v>13</v>
      </c>
      <c r="C13" s="10" t="s">
        <v>46</v>
      </c>
      <c r="D13" s="10" t="s">
        <v>379</v>
      </c>
      <c r="E13" s="10" t="s">
        <v>392</v>
      </c>
      <c r="F13" s="10" t="s">
        <v>381</v>
      </c>
      <c r="G13" s="10" t="s">
        <v>49</v>
      </c>
      <c r="H13" s="10" t="s">
        <v>50</v>
      </c>
    </row>
    <row r="14" spans="1:8" ht="17.25" customHeight="1" x14ac:dyDescent="0.3">
      <c r="A14" s="11" t="s">
        <v>47</v>
      </c>
      <c r="B14" s="10" t="s">
        <v>13</v>
      </c>
      <c r="C14" s="10" t="s">
        <v>51</v>
      </c>
      <c r="D14" s="10" t="s">
        <v>379</v>
      </c>
      <c r="E14" s="10" t="s">
        <v>392</v>
      </c>
      <c r="F14" s="10" t="s">
        <v>381</v>
      </c>
      <c r="G14" s="10" t="s">
        <v>49</v>
      </c>
      <c r="H14" s="10" t="s">
        <v>50</v>
      </c>
    </row>
    <row r="15" spans="1:8" ht="30.75" customHeight="1" x14ac:dyDescent="0.3">
      <c r="A15" s="11" t="s">
        <v>47</v>
      </c>
      <c r="B15" s="10" t="s">
        <v>31</v>
      </c>
      <c r="C15" s="10" t="s">
        <v>53</v>
      </c>
      <c r="D15" s="10" t="s">
        <v>386</v>
      </c>
      <c r="E15" s="10" t="s">
        <v>387</v>
      </c>
      <c r="F15" s="10" t="s">
        <v>388</v>
      </c>
      <c r="G15" s="10" t="s">
        <v>34</v>
      </c>
      <c r="H15" s="10" t="s">
        <v>18</v>
      </c>
    </row>
    <row r="16" spans="1:8" ht="30.75" customHeight="1" x14ac:dyDescent="0.3">
      <c r="A16" s="11" t="s">
        <v>47</v>
      </c>
      <c r="B16" s="10" t="s">
        <v>37</v>
      </c>
      <c r="C16" s="10" t="s">
        <v>55</v>
      </c>
      <c r="D16" s="10" t="s">
        <v>389</v>
      </c>
      <c r="E16" s="10" t="s">
        <v>389</v>
      </c>
      <c r="F16" s="10" t="s">
        <v>390</v>
      </c>
      <c r="G16" s="10" t="s">
        <v>147</v>
      </c>
      <c r="H16" s="10" t="s">
        <v>142</v>
      </c>
    </row>
    <row r="17" spans="1:8" ht="30.75" customHeight="1" x14ac:dyDescent="0.3">
      <c r="A17" s="16" t="s">
        <v>58</v>
      </c>
      <c r="B17" s="15" t="s">
        <v>13</v>
      </c>
      <c r="C17" s="15" t="s">
        <v>57</v>
      </c>
      <c r="D17" s="15" t="s">
        <v>379</v>
      </c>
      <c r="E17" s="15" t="s">
        <v>392</v>
      </c>
      <c r="F17" s="15" t="s">
        <v>381</v>
      </c>
      <c r="G17" s="15" t="s">
        <v>49</v>
      </c>
      <c r="H17" s="15" t="s">
        <v>50</v>
      </c>
    </row>
    <row r="18" spans="1:8" ht="30.75" customHeight="1" x14ac:dyDescent="0.3">
      <c r="A18" s="16" t="s">
        <v>58</v>
      </c>
      <c r="B18" s="15" t="s">
        <v>13</v>
      </c>
      <c r="C18" s="15" t="s">
        <v>60</v>
      </c>
      <c r="D18" s="15" t="s">
        <v>379</v>
      </c>
      <c r="E18" s="15" t="s">
        <v>392</v>
      </c>
      <c r="F18" s="15" t="s">
        <v>381</v>
      </c>
      <c r="G18" s="15" t="s">
        <v>49</v>
      </c>
      <c r="H18" s="15" t="s">
        <v>50</v>
      </c>
    </row>
    <row r="19" spans="1:8" ht="30.75" customHeight="1" x14ac:dyDescent="0.3">
      <c r="A19" s="16" t="s">
        <v>58</v>
      </c>
      <c r="B19" s="15" t="s">
        <v>31</v>
      </c>
      <c r="C19" s="15" t="s">
        <v>63</v>
      </c>
      <c r="D19" s="15" t="s">
        <v>386</v>
      </c>
      <c r="E19" s="15" t="s">
        <v>387</v>
      </c>
      <c r="F19" s="15" t="s">
        <v>388</v>
      </c>
      <c r="G19" s="15" t="s">
        <v>34</v>
      </c>
      <c r="H19" s="15" t="s">
        <v>292</v>
      </c>
    </row>
    <row r="20" spans="1:8" ht="30.75" customHeight="1" x14ac:dyDescent="0.3">
      <c r="A20" s="16" t="s">
        <v>58</v>
      </c>
      <c r="B20" s="15" t="s">
        <v>37</v>
      </c>
      <c r="C20" s="15" t="s">
        <v>65</v>
      </c>
      <c r="D20" s="15" t="s">
        <v>389</v>
      </c>
      <c r="E20" s="15" t="s">
        <v>389</v>
      </c>
      <c r="F20" s="15" t="s">
        <v>393</v>
      </c>
      <c r="G20" s="15" t="s">
        <v>147</v>
      </c>
      <c r="H20" s="15" t="s">
        <v>142</v>
      </c>
    </row>
    <row r="21" spans="1:8" ht="17.25" customHeight="1" x14ac:dyDescent="0.3">
      <c r="A21" s="6" t="s">
        <v>15</v>
      </c>
      <c r="B21" s="6" t="s">
        <v>67</v>
      </c>
      <c r="C21" s="5" t="s">
        <v>68</v>
      </c>
      <c r="D21" s="5" t="s">
        <v>394</v>
      </c>
      <c r="E21" s="5" t="s">
        <v>395</v>
      </c>
      <c r="F21" s="6" t="s">
        <v>396</v>
      </c>
      <c r="G21" s="5" t="s">
        <v>148</v>
      </c>
      <c r="H21" s="5" t="s">
        <v>143</v>
      </c>
    </row>
    <row r="22" spans="1:8" ht="17.25" customHeight="1" x14ac:dyDescent="0.3">
      <c r="A22" s="6" t="s">
        <v>58</v>
      </c>
      <c r="B22" s="5" t="s">
        <v>71</v>
      </c>
      <c r="C22" s="5" t="s">
        <v>72</v>
      </c>
      <c r="D22" s="5" t="s">
        <v>397</v>
      </c>
      <c r="E22" s="5" t="s">
        <v>398</v>
      </c>
      <c r="F22" s="5" t="s">
        <v>399</v>
      </c>
      <c r="G22" s="5" t="s">
        <v>73</v>
      </c>
      <c r="H22" s="5" t="s">
        <v>293</v>
      </c>
    </row>
    <row r="23" spans="1:8" ht="17.25" customHeight="1" x14ac:dyDescent="0.3">
      <c r="A23" s="6" t="s">
        <v>58</v>
      </c>
      <c r="B23" s="5" t="s">
        <v>71</v>
      </c>
      <c r="C23" s="5" t="s">
        <v>74</v>
      </c>
      <c r="D23" s="5" t="s">
        <v>397</v>
      </c>
      <c r="E23" s="5" t="s">
        <v>398</v>
      </c>
      <c r="F23" s="5" t="s">
        <v>399</v>
      </c>
      <c r="G23" s="5" t="s">
        <v>73</v>
      </c>
      <c r="H23" s="5" t="s">
        <v>293</v>
      </c>
    </row>
    <row r="24" spans="1:8" ht="23.25" customHeight="1" x14ac:dyDescent="0.3">
      <c r="A24" s="6" t="s">
        <v>58</v>
      </c>
      <c r="B24" s="5" t="s">
        <v>75</v>
      </c>
      <c r="C24" s="5" t="s">
        <v>76</v>
      </c>
      <c r="D24" s="5" t="s">
        <v>400</v>
      </c>
      <c r="E24" s="5" t="s">
        <v>401</v>
      </c>
      <c r="F24" s="5" t="s">
        <v>402</v>
      </c>
      <c r="G24" s="6" t="s">
        <v>296</v>
      </c>
      <c r="H24" s="5" t="s">
        <v>294</v>
      </c>
    </row>
    <row r="25" spans="1:8" ht="23.25" customHeight="1" x14ac:dyDescent="0.3">
      <c r="A25" s="6" t="s">
        <v>58</v>
      </c>
      <c r="B25" s="5" t="s">
        <v>75</v>
      </c>
      <c r="C25" s="5" t="s">
        <v>79</v>
      </c>
      <c r="D25" s="5" t="s">
        <v>400</v>
      </c>
      <c r="E25" s="5" t="s">
        <v>401</v>
      </c>
      <c r="F25" s="5" t="s">
        <v>402</v>
      </c>
      <c r="G25" s="6" t="s">
        <v>296</v>
      </c>
      <c r="H25" s="5" t="s">
        <v>294</v>
      </c>
    </row>
    <row r="27" spans="1:8" ht="17.25" customHeight="1" x14ac:dyDescent="0.3">
      <c r="A27" s="50" t="s">
        <v>403</v>
      </c>
    </row>
    <row r="28" spans="1:8" ht="17.25" customHeight="1" x14ac:dyDescent="0.3">
      <c r="A28" s="51" t="s">
        <v>404</v>
      </c>
    </row>
    <row r="29" spans="1:8" ht="17.25" customHeight="1" x14ac:dyDescent="0.3">
      <c r="A29" s="51" t="s">
        <v>405</v>
      </c>
    </row>
    <row r="30" spans="1:8" ht="17.25" customHeight="1" x14ac:dyDescent="0.3">
      <c r="A30" s="51" t="s">
        <v>406</v>
      </c>
    </row>
    <row r="31" spans="1:8" ht="17.25" customHeight="1" x14ac:dyDescent="0.3">
      <c r="A31" s="51" t="s">
        <v>407</v>
      </c>
    </row>
    <row r="32" spans="1:8" ht="17.25" customHeight="1" x14ac:dyDescent="0.3">
      <c r="A32" s="51" t="s">
        <v>408</v>
      </c>
    </row>
    <row r="33" spans="1:4" ht="17.25" customHeight="1" x14ac:dyDescent="0.3">
      <c r="A33" s="51" t="s">
        <v>409</v>
      </c>
    </row>
    <row r="34" spans="1:4" ht="17.25" customHeight="1" x14ac:dyDescent="0.3">
      <c r="A34" s="52" t="s">
        <v>410</v>
      </c>
    </row>
    <row r="35" spans="1:4" ht="17.25" customHeight="1" x14ac:dyDescent="0.3">
      <c r="A35" s="53" t="s">
        <v>411</v>
      </c>
    </row>
    <row r="36" spans="1:4" ht="17.25" customHeight="1" x14ac:dyDescent="0.3">
      <c r="A36" s="54" t="s">
        <v>412</v>
      </c>
      <c r="B36" s="55"/>
      <c r="C36" s="55"/>
      <c r="D36" s="54"/>
    </row>
    <row r="37" spans="1:4" ht="17.25" customHeight="1" x14ac:dyDescent="0.3">
      <c r="A37" t="s">
        <v>413</v>
      </c>
    </row>
    <row r="39" spans="1:4" ht="17.25" customHeight="1" x14ac:dyDescent="0.3">
      <c r="A39" t="s">
        <v>414</v>
      </c>
      <c r="B39" t="s">
        <v>37</v>
      </c>
      <c r="C39" t="s">
        <v>415</v>
      </c>
      <c r="D39" t="s">
        <v>416</v>
      </c>
    </row>
  </sheetData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zoomScaleNormal="100" workbookViewId="0">
      <selection activeCell="F7" sqref="F7"/>
    </sheetView>
  </sheetViews>
  <sheetFormatPr defaultColWidth="8.5" defaultRowHeight="17.25" customHeight="1" x14ac:dyDescent="0.3"/>
  <cols>
    <col min="1" max="1" width="15" customWidth="1"/>
    <col min="2" max="3" width="22" customWidth="1"/>
    <col min="4" max="4" width="10" customWidth="1"/>
    <col min="5" max="5" width="16" customWidth="1"/>
    <col min="6" max="6" width="40" customWidth="1"/>
  </cols>
  <sheetData>
    <row r="1" spans="1:6" ht="21" customHeight="1" x14ac:dyDescent="0.35">
      <c r="A1" s="38" t="s">
        <v>417</v>
      </c>
    </row>
    <row r="2" spans="1:6" ht="17.25" customHeight="1" x14ac:dyDescent="0.3">
      <c r="A2" s="2" t="s">
        <v>418</v>
      </c>
    </row>
    <row r="4" spans="1:6" ht="17.25" customHeight="1" x14ac:dyDescent="0.3">
      <c r="A4" s="4" t="s">
        <v>419</v>
      </c>
      <c r="B4" s="4" t="s">
        <v>420</v>
      </c>
      <c r="C4" s="4" t="s">
        <v>421</v>
      </c>
      <c r="D4" s="4" t="s">
        <v>10</v>
      </c>
      <c r="E4" s="4" t="s">
        <v>422</v>
      </c>
      <c r="F4" s="4" t="s">
        <v>151</v>
      </c>
    </row>
    <row r="5" spans="1:6" ht="17.25" customHeight="1" x14ac:dyDescent="0.3">
      <c r="A5" s="29" t="s">
        <v>47</v>
      </c>
      <c r="B5" s="23" t="s">
        <v>423</v>
      </c>
      <c r="C5" s="23" t="s">
        <v>424</v>
      </c>
      <c r="D5" s="47">
        <v>2</v>
      </c>
      <c r="E5" s="47" t="s">
        <v>352</v>
      </c>
      <c r="F5" s="23" t="s">
        <v>425</v>
      </c>
    </row>
    <row r="6" spans="1:6" ht="17.25" customHeight="1" x14ac:dyDescent="0.3">
      <c r="A6" s="29" t="s">
        <v>426</v>
      </c>
      <c r="B6" s="23" t="s">
        <v>65</v>
      </c>
      <c r="C6" s="23" t="s">
        <v>427</v>
      </c>
      <c r="D6" s="47">
        <v>1</v>
      </c>
      <c r="E6" s="47" t="s">
        <v>364</v>
      </c>
      <c r="F6" s="23" t="s">
        <v>428</v>
      </c>
    </row>
    <row r="7" spans="1:6" ht="30.75" customHeight="1" x14ac:dyDescent="0.3">
      <c r="A7" s="29" t="s">
        <v>429</v>
      </c>
      <c r="B7" s="23" t="s">
        <v>38</v>
      </c>
      <c r="C7" s="23" t="s">
        <v>430</v>
      </c>
      <c r="D7" s="47">
        <v>1</v>
      </c>
      <c r="E7" s="47" t="s">
        <v>343</v>
      </c>
      <c r="F7" s="23" t="s">
        <v>431</v>
      </c>
    </row>
    <row r="8" spans="1:6" ht="46.5" customHeight="1" x14ac:dyDescent="0.3">
      <c r="A8" s="29" t="s">
        <v>432</v>
      </c>
      <c r="B8" s="23" t="s">
        <v>433</v>
      </c>
      <c r="C8" s="23" t="s">
        <v>236</v>
      </c>
      <c r="D8" s="47">
        <v>1</v>
      </c>
      <c r="E8" s="47" t="s">
        <v>434</v>
      </c>
      <c r="F8" s="23" t="s">
        <v>435</v>
      </c>
    </row>
    <row r="10" spans="1:6" ht="18.75" customHeight="1" x14ac:dyDescent="0.3">
      <c r="D10" s="56" t="s">
        <v>436</v>
      </c>
      <c r="E10" s="57" t="s">
        <v>437</v>
      </c>
    </row>
    <row r="12" spans="1:6" ht="17.25" customHeight="1" x14ac:dyDescent="0.3">
      <c r="A12" s="51" t="s">
        <v>438</v>
      </c>
    </row>
    <row r="13" spans="1:6" ht="17.25" customHeight="1" x14ac:dyDescent="0.3">
      <c r="A13" s="52" t="s">
        <v>439</v>
      </c>
    </row>
    <row r="14" spans="1:6" ht="17.25" customHeight="1" x14ac:dyDescent="0.3">
      <c r="A14" s="52" t="s">
        <v>440</v>
      </c>
    </row>
  </sheetData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종합요약</vt:lpstr>
      <vt:lpstr>가공기 비교</vt:lpstr>
      <vt:lpstr>방전기 비교</vt:lpstr>
      <vt:lpstr>와이어커팅기 비교</vt:lpstr>
      <vt:lpstr>USD 가격순위</vt:lpstr>
      <vt:lpstr>거래조건 비교</vt:lpstr>
      <vt:lpstr>GF 자동화 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임재홍</cp:lastModifiedBy>
  <cp:revision>0</cp:revision>
  <dcterms:created xsi:type="dcterms:W3CDTF">2026-03-16T04:39:51Z</dcterms:created>
  <dcterms:modified xsi:type="dcterms:W3CDTF">2026-03-25T04:35:06Z</dcterms:modified>
  <dc:language>en-US</dc:language>
</cp:coreProperties>
</file>