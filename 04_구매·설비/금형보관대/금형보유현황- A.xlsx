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owork/04_구매·설비/금형보관대/"/>
    </mc:Choice>
  </mc:AlternateContent>
  <xr:revisionPtr revIDLastSave="5" documentId="13_ncr:1_{46930CDE-66DE-4006-95E1-EE934A99BAF7}" xr6:coauthVersionLast="47" xr6:coauthVersionMax="47" xr10:uidLastSave="{ECE3FC42-80BC-467D-B30B-298E99139520}"/>
  <bookViews>
    <workbookView xWindow="28680" yWindow="-120" windowWidth="29040" windowHeight="15720" xr2:uid="{00000000-000D-0000-FFFF-FFFF00000000}"/>
  </bookViews>
  <sheets>
    <sheet name="casting" sheetId="57" r:id="rId1"/>
    <sheet name="OLD Casting samsung" sheetId="60" r:id="rId2"/>
    <sheet name="TRIMMING" sheetId="62" r:id="rId3"/>
  </sheet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0" hidden="1">casting!$A$2:$I$170</definedName>
    <definedName name="_xlnm._FilterDatabase" localSheetId="1" hidden="1">'OLD Casting samsung'!$A$2:$N$52</definedName>
    <definedName name="_xlnm._FilterDatabase" localSheetId="2" hidden="1">TRIMMING!$A$2:$M$148</definedName>
    <definedName name="_Regression_Int" hidden="1">1</definedName>
    <definedName name="\a">#N/A</definedName>
    <definedName name="A" localSheetId="0">#REF!</definedName>
    <definedName name="A" localSheetId="1">#REF!</definedName>
    <definedName name="A" localSheetId="2">#REF!</definedName>
    <definedName name="A">#REF!</definedName>
    <definedName name="_xlnm.Print_Area" localSheetId="0">casting!$A$1:$N$172</definedName>
    <definedName name="_xlnm.Print_Area" localSheetId="1">'OLD Casting samsung'!$A$1:$N$52</definedName>
    <definedName name="_xlnm.Print_Area" localSheetId="2">TRIMMING!$A$1:$N$148</definedName>
    <definedName name="_xlnm.Print_Area">#REF!</definedName>
    <definedName name="Print_Area_MI" localSheetId="0">#REF!</definedName>
    <definedName name="Print_Area_MI" localSheetId="1">#REF!</definedName>
    <definedName name="Print_Area_MI" localSheetId="2">#REF!</definedName>
    <definedName name="Print_Area_MI">#REF!</definedName>
    <definedName name="Z_BCE9AFC3_6439_11D1_8EF6_444553540000_.wvu.Cols" localSheetId="0" hidden="1">#REF!,#REF!</definedName>
    <definedName name="Z_BCE9AFC3_6439_11D1_8EF6_444553540000_.wvu.Cols" localSheetId="1" hidden="1">#REF!,#REF!</definedName>
    <definedName name="Z_BCE9AFC3_6439_11D1_8EF6_444553540000_.wvu.Cols" localSheetId="2" hidden="1">#REF!,#REF!</definedName>
    <definedName name="Z_BCE9AFC3_6439_11D1_8EF6_444553540000_.wvu.Cols" hidden="1">#REF!,#REF!</definedName>
    <definedName name="Z_BCE9AFC3_6439_11D1_8EF6_444553540000_.wvu.PrintArea" localSheetId="0" hidden="1">#REF!</definedName>
    <definedName name="Z_BCE9AFC3_6439_11D1_8EF6_444553540000_.wvu.PrintArea" localSheetId="1" hidden="1">#REF!</definedName>
    <definedName name="Z_BCE9AFC3_6439_11D1_8EF6_444553540000_.wvu.PrintArea" localSheetId="2" hidden="1">#REF!</definedName>
    <definedName name="Z_BCE9AFC3_6439_11D1_8EF6_444553540000_.wvu.PrintArea" hidden="1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" i="62" l="1"/>
  <c r="K148" i="62"/>
  <c r="L148" i="62"/>
  <c r="I148" i="62"/>
  <c r="K52" i="60"/>
  <c r="L52" i="60"/>
  <c r="M52" i="60"/>
  <c r="J52" i="60"/>
  <c r="K172" i="57"/>
  <c r="L172" i="57"/>
  <c r="M172" i="57"/>
  <c r="J172" i="57"/>
  <c r="P35" i="57"/>
  <c r="N172" i="57" l="1"/>
</calcChain>
</file>

<file path=xl/sharedStrings.xml><?xml version="1.0" encoding="utf-8"?>
<sst xmlns="http://schemas.openxmlformats.org/spreadsheetml/2006/main" count="2439" uniqueCount="558">
  <si>
    <t>NO</t>
    <phoneticPr fontId="3" type="noConversion"/>
  </si>
  <si>
    <t>LG</t>
  </si>
  <si>
    <t>#4</t>
  </si>
  <si>
    <t>#3</t>
  </si>
  <si>
    <t>#5</t>
  </si>
  <si>
    <t>#6</t>
  </si>
  <si>
    <t>GEN5</t>
  </si>
  <si>
    <t>ZF</t>
  </si>
  <si>
    <t>QC</t>
  </si>
  <si>
    <t>◆ 금형 보유현황 ERP - Tình trạng khuôn đang sở hữu</t>
    <phoneticPr fontId="3" type="noConversion"/>
  </si>
  <si>
    <t xml:space="preserve">NX4 HOUSING </t>
  </si>
  <si>
    <t>LT2 HOUSING</t>
  </si>
  <si>
    <t>DCU COVER</t>
  </si>
  <si>
    <t xml:space="preserve">T6M6 HOUSING </t>
  </si>
  <si>
    <t>CL4 HOUSING</t>
  </si>
  <si>
    <t>GEN2</t>
  </si>
  <si>
    <t>GEN4</t>
  </si>
  <si>
    <t>EU2L COVER</t>
  </si>
  <si>
    <t>EU2L HOUSING</t>
  </si>
  <si>
    <t>4.8 LEN</t>
  </si>
  <si>
    <t>NX4 COVER</t>
  </si>
  <si>
    <t>NX4 HOUSING</t>
  </si>
  <si>
    <t>BYD COVER</t>
  </si>
  <si>
    <t>IKC</t>
  </si>
  <si>
    <t>BYD HOUSING</t>
  </si>
  <si>
    <t>J100 HOUSING</t>
  </si>
  <si>
    <t>JG RWS</t>
  </si>
  <si>
    <t>MRA2</t>
  </si>
  <si>
    <t>50-P323</t>
  </si>
  <si>
    <t>BMS TOP</t>
  </si>
  <si>
    <t>A266</t>
  </si>
  <si>
    <t>A176</t>
  </si>
  <si>
    <t>A156</t>
  </si>
  <si>
    <t>MD</t>
  </si>
  <si>
    <t>SAMSUNG</t>
  </si>
  <si>
    <t>kích thước</t>
  </si>
  <si>
    <t>450x600x345</t>
  </si>
  <si>
    <t>A245</t>
  </si>
  <si>
    <t>#8</t>
  </si>
  <si>
    <t>#2</t>
  </si>
  <si>
    <t>A346</t>
  </si>
  <si>
    <t>#26</t>
  </si>
  <si>
    <t>#27</t>
  </si>
  <si>
    <t>#28</t>
  </si>
  <si>
    <t>#29</t>
  </si>
  <si>
    <t>#30</t>
  </si>
  <si>
    <t>#31</t>
  </si>
  <si>
    <t>B546</t>
  </si>
  <si>
    <t>#24</t>
  </si>
  <si>
    <t>A217</t>
  </si>
  <si>
    <t>#61</t>
  </si>
  <si>
    <t>A366</t>
  </si>
  <si>
    <t>#19</t>
  </si>
  <si>
    <t>#17</t>
  </si>
  <si>
    <t>#18</t>
  </si>
  <si>
    <t>A356</t>
  </si>
  <si>
    <t>#15</t>
  </si>
  <si>
    <t>#35</t>
  </si>
  <si>
    <t>#16</t>
  </si>
  <si>
    <t>#39</t>
  </si>
  <si>
    <t>#48</t>
  </si>
  <si>
    <t>#40</t>
  </si>
  <si>
    <t>#41</t>
  </si>
  <si>
    <t>#50</t>
  </si>
  <si>
    <t>#49</t>
  </si>
  <si>
    <t>D536</t>
  </si>
  <si>
    <t>#53</t>
  </si>
  <si>
    <t>#54</t>
  </si>
  <si>
    <t>#55</t>
  </si>
  <si>
    <t>#52</t>
  </si>
  <si>
    <t>#44</t>
  </si>
  <si>
    <t>#46</t>
  </si>
  <si>
    <t>#47</t>
  </si>
  <si>
    <t>#45</t>
  </si>
  <si>
    <t>D451</t>
  </si>
  <si>
    <t>D546</t>
  </si>
  <si>
    <t>400x600x350</t>
  </si>
  <si>
    <t>420x500x415</t>
  </si>
  <si>
    <t>600x550x450</t>
  </si>
  <si>
    <t>600x565x490</t>
  </si>
  <si>
    <t>845x550x490</t>
  </si>
  <si>
    <t>760x1648x464</t>
  </si>
  <si>
    <t>630x530x485</t>
  </si>
  <si>
    <t>650x550x435</t>
  </si>
  <si>
    <t>520x436x347</t>
  </si>
  <si>
    <t>630x530x460</t>
  </si>
  <si>
    <t>BMS BOTTOM</t>
  </si>
  <si>
    <t>510X571X480</t>
  </si>
  <si>
    <t>420X500X415</t>
  </si>
  <si>
    <t>710X640X530</t>
  </si>
  <si>
    <t>580x610x470</t>
  </si>
  <si>
    <t>410x490x480</t>
  </si>
  <si>
    <t>350x400x340</t>
  </si>
  <si>
    <t>590x530x590</t>
  </si>
  <si>
    <t>700x520x500</t>
  </si>
  <si>
    <t>480x440x390</t>
  </si>
  <si>
    <t>625x1542x555</t>
  </si>
  <si>
    <t>600x770x595</t>
  </si>
  <si>
    <t>710x1222x535</t>
  </si>
  <si>
    <t>710x1650x535</t>
  </si>
  <si>
    <t>718x605x595</t>
  </si>
  <si>
    <t>450x350x345</t>
  </si>
  <si>
    <t>590x580x475</t>
  </si>
  <si>
    <t>610x580x560</t>
  </si>
  <si>
    <t>450x500x335</t>
  </si>
  <si>
    <t>620x1765x570</t>
  </si>
  <si>
    <t>350x400x300</t>
  </si>
  <si>
    <t>350x350x330</t>
  </si>
  <si>
    <t>590x715x575</t>
  </si>
  <si>
    <t>EU2L HOUSING 4CAV</t>
  </si>
  <si>
    <t>EU2L COVER 4CAV</t>
  </si>
  <si>
    <t>FCA COVER 4CAV</t>
  </si>
  <si>
    <t>FCA HOUSING 4CAV</t>
  </si>
  <si>
    <t>640X495X445</t>
  </si>
  <si>
    <t>450X400X320</t>
  </si>
  <si>
    <t>872X520X490</t>
  </si>
  <si>
    <t>QC(INJECTION)</t>
  </si>
  <si>
    <t>#21</t>
  </si>
  <si>
    <t>#22</t>
  </si>
  <si>
    <t>#56</t>
  </si>
  <si>
    <t>#57</t>
  </si>
  <si>
    <t>#58</t>
  </si>
  <si>
    <t>#14</t>
  </si>
  <si>
    <t>#25</t>
  </si>
  <si>
    <t>#12</t>
  </si>
  <si>
    <t>#62</t>
  </si>
  <si>
    <t>#13</t>
  </si>
  <si>
    <t>G928</t>
  </si>
  <si>
    <t>M335</t>
  </si>
  <si>
    <t>A225</t>
  </si>
  <si>
    <t>M336</t>
  </si>
  <si>
    <t>FRONT READ BODY</t>
  </si>
  <si>
    <t>OMS FRONT COVER</t>
  </si>
  <si>
    <t>PK769</t>
  </si>
  <si>
    <t>TTI003</t>
  </si>
  <si>
    <t>ĐÔNG ZANG</t>
  </si>
  <si>
    <t>MPT HANA BTM-2</t>
  </si>
  <si>
    <t>LOGO SS</t>
  </si>
  <si>
    <t>OMS FRONT COVER ER/EH</t>
  </si>
  <si>
    <t>MTP HANA spekrbox</t>
  </si>
  <si>
    <t>60G</t>
  </si>
  <si>
    <t>50PN036</t>
  </si>
  <si>
    <t>MTP HANA BATTERY COVER</t>
  </si>
  <si>
    <t>IDP TALOS BATTERY BOX</t>
  </si>
  <si>
    <t>50PV 453</t>
  </si>
  <si>
    <t>50-58183</t>
  </si>
  <si>
    <t>HAVI FRONT HOUSING</t>
  </si>
  <si>
    <t>#1</t>
  </si>
  <si>
    <t>#7</t>
  </si>
  <si>
    <t>#9</t>
  </si>
  <si>
    <t>#10</t>
  </si>
  <si>
    <t>#11</t>
  </si>
  <si>
    <t>50-P324</t>
  </si>
  <si>
    <t>50-36814</t>
  </si>
  <si>
    <t>50-29708</t>
  </si>
  <si>
    <t>50-920</t>
  </si>
  <si>
    <t>50-452</t>
  </si>
  <si>
    <t>50-36817</t>
  </si>
  <si>
    <t>50-71907</t>
  </si>
  <si>
    <t>50-84713-1</t>
  </si>
  <si>
    <t>50-74187-1</t>
  </si>
  <si>
    <t>50-79526</t>
  </si>
  <si>
    <t>50-74188</t>
  </si>
  <si>
    <t>50-74194</t>
  </si>
  <si>
    <t>50-74190</t>
  </si>
  <si>
    <t>ACP2 COVER</t>
  </si>
  <si>
    <t>FCA4.8 COVER</t>
  </si>
  <si>
    <t>ACP2 HOUSING</t>
  </si>
  <si>
    <t>ACP2 HOUSING 4CAV</t>
  </si>
  <si>
    <t>ACP2 COVER 4CAV</t>
  </si>
  <si>
    <t>FCA4.8 HOUSING</t>
  </si>
  <si>
    <t>IPM 1.0 HOUSING</t>
  </si>
  <si>
    <t>IPM 2.0 ADV LITE</t>
  </si>
  <si>
    <t>IPM2.0 BASE (NEW)</t>
  </si>
  <si>
    <t>IPM2.0BASE (OLD)</t>
  </si>
  <si>
    <t>ZF_Handle bar</t>
  </si>
  <si>
    <t>4.8 LENSMOUNT</t>
  </si>
  <si>
    <t>JK1-RHD</t>
  </si>
  <si>
    <t>EK LQ2 COVER</t>
  </si>
  <si>
    <t>IMEB2 HOUSING</t>
  </si>
  <si>
    <t>MAS65C</t>
  </si>
  <si>
    <t>MQ4 HOUSING</t>
  </si>
  <si>
    <t xml:space="preserve">T6M8 HOUSING </t>
  </si>
  <si>
    <t>T6 COVER</t>
  </si>
  <si>
    <t>AL6 HOUSING</t>
  </si>
  <si>
    <t>AL5 HOUSING</t>
  </si>
  <si>
    <t>CL4 COVER</t>
  </si>
  <si>
    <t>DCU HOUSING</t>
  </si>
  <si>
    <t>MPC 5.5</t>
  </si>
  <si>
    <t>#7(ngắn)</t>
  </si>
  <si>
    <t>#7(dài)</t>
  </si>
  <si>
    <t>OMS 203</t>
  </si>
  <si>
    <t>OMS 207</t>
  </si>
  <si>
    <t>OMS 250</t>
  </si>
  <si>
    <t>350X350X300</t>
  </si>
  <si>
    <t>400X400X350</t>
  </si>
  <si>
    <t>500X550X450</t>
  </si>
  <si>
    <t>500x463x347</t>
  </si>
  <si>
    <t>570x430x405</t>
  </si>
  <si>
    <t>350x300x300</t>
  </si>
  <si>
    <t>400x300x300</t>
  </si>
  <si>
    <t>300x300x250</t>
  </si>
  <si>
    <t>350x350x300</t>
  </si>
  <si>
    <t>400x350x300</t>
  </si>
  <si>
    <t>280x200x200</t>
  </si>
  <si>
    <t>200x200x230</t>
  </si>
  <si>
    <t>250x250x230</t>
  </si>
  <si>
    <t>350x380x300</t>
  </si>
  <si>
    <t>#57-1</t>
  </si>
  <si>
    <t>#58-1</t>
  </si>
  <si>
    <t>#21-1</t>
  </si>
  <si>
    <t>#22-1</t>
  </si>
  <si>
    <t>#53-1</t>
  </si>
  <si>
    <t>#56-1</t>
  </si>
  <si>
    <t>#54-1</t>
  </si>
  <si>
    <t>#55-1</t>
  </si>
  <si>
    <t>#2-1</t>
  </si>
  <si>
    <t>610x565x560</t>
  </si>
  <si>
    <t>WEIGHT(Kg)</t>
    <phoneticPr fontId="3" type="noConversion"/>
  </si>
  <si>
    <t>LOCATION</t>
    <phoneticPr fontId="3" type="noConversion"/>
  </si>
  <si>
    <t>DISCRIPTION</t>
    <phoneticPr fontId="3" type="noConversion"/>
  </si>
  <si>
    <t>CASTING DIE</t>
    <phoneticPr fontId="3" type="noConversion"/>
  </si>
  <si>
    <t>REMARK</t>
    <phoneticPr fontId="3" type="noConversion"/>
  </si>
  <si>
    <r>
      <t>◆ 금형 보유현황 ERP - Tình tr</t>
    </r>
    <r>
      <rPr>
        <sz val="11"/>
        <rFont val="Calibri"/>
        <family val="3"/>
        <charset val="163"/>
      </rPr>
      <t>ạ</t>
    </r>
    <r>
      <rPr>
        <sz val="11"/>
        <rFont val="맑은 고딕"/>
        <family val="3"/>
        <charset val="129"/>
        <scheme val="major"/>
      </rPr>
      <t>ng khuôn đang s</t>
    </r>
    <r>
      <rPr>
        <sz val="11"/>
        <rFont val="Calibri"/>
        <family val="3"/>
        <charset val="163"/>
      </rPr>
      <t>ở</t>
    </r>
    <r>
      <rPr>
        <sz val="11"/>
        <rFont val="맑은 고딕"/>
        <family val="3"/>
        <charset val="129"/>
        <scheme val="major"/>
      </rPr>
      <t xml:space="preserve"> h</t>
    </r>
    <r>
      <rPr>
        <sz val="11"/>
        <rFont val="Calibri"/>
        <family val="3"/>
        <charset val="163"/>
      </rPr>
      <t>ữ</t>
    </r>
    <r>
      <rPr>
        <sz val="11"/>
        <rFont val="맑은 고딕"/>
        <family val="3"/>
        <charset val="129"/>
        <scheme val="major"/>
      </rPr>
      <t>u</t>
    </r>
    <phoneticPr fontId="3" type="noConversion"/>
  </si>
  <si>
    <t>CASTING DIE</t>
  </si>
  <si>
    <t>TRIMMING</t>
  </si>
  <si>
    <t>520x200x170</t>
  </si>
  <si>
    <t>320x200x170</t>
  </si>
  <si>
    <t>350x400x330</t>
  </si>
  <si>
    <t>DATE</t>
  </si>
  <si>
    <t>2023/04</t>
  </si>
  <si>
    <t>2025/08</t>
  </si>
  <si>
    <t>2025/09</t>
  </si>
  <si>
    <t>400x600x345</t>
  </si>
  <si>
    <t>2022/12</t>
  </si>
  <si>
    <t>2022/10</t>
  </si>
  <si>
    <t>2023/01</t>
  </si>
  <si>
    <t>2023/10</t>
  </si>
  <si>
    <t>2024/12</t>
  </si>
  <si>
    <t>2024/01</t>
  </si>
  <si>
    <t>2024/03</t>
  </si>
  <si>
    <t>2024/07</t>
  </si>
  <si>
    <t>2021/12</t>
  </si>
  <si>
    <t>2021/10</t>
  </si>
  <si>
    <t>2021/11</t>
  </si>
  <si>
    <t>2020/03</t>
  </si>
  <si>
    <t>2021/02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</si>
  <si>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</si>
  <si>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</si>
  <si>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</si>
  <si>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</si>
  <si>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</si>
  <si>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</si>
  <si>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</si>
  <si>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</si>
  <si>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</si>
  <si>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</si>
  <si>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</si>
  <si>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</si>
  <si>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</si>
  <si>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</si>
  <si>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</si>
  <si>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</si>
  <si>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</si>
  <si>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</si>
  <si>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</si>
  <si>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</si>
  <si>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</si>
  <si>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</si>
  <si>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</si>
  <si>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</si>
  <si>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</si>
  <si>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</si>
  <si>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</si>
  <si>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</si>
  <si>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</si>
  <si>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</si>
  <si>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</si>
  <si>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</si>
  <si>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</si>
  <si>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</si>
  <si>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</si>
  <si>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</si>
  <si>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</si>
  <si>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</si>
  <si>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</si>
  <si>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</si>
  <si>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</si>
  <si>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</si>
  <si>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</si>
  <si>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</si>
  <si>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</si>
  <si>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</si>
  <si>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#51</t>
  </si>
  <si>
    <t>D15</t>
  </si>
  <si>
    <t>D16</t>
  </si>
  <si>
    <t>2025/11</t>
  </si>
  <si>
    <t>2025/12</t>
  </si>
  <si>
    <t>2026/01</t>
  </si>
  <si>
    <t>2023/07</t>
  </si>
  <si>
    <t>2022/03</t>
  </si>
  <si>
    <t>2021/06</t>
  </si>
  <si>
    <t>2025/03</t>
  </si>
  <si>
    <t>2025/04</t>
  </si>
  <si>
    <t>2025/05</t>
  </si>
  <si>
    <t>2025/06</t>
  </si>
  <si>
    <t>500X400X360</t>
  </si>
  <si>
    <t>2020/09</t>
  </si>
  <si>
    <t>2021/04</t>
  </si>
  <si>
    <t>2015/07</t>
  </si>
  <si>
    <t>2025/02</t>
  </si>
  <si>
    <t>DEGATING</t>
  </si>
  <si>
    <t>E625F</t>
  </si>
  <si>
    <t>A217F</t>
  </si>
  <si>
    <t>A346B</t>
  </si>
  <si>
    <t>M336B</t>
  </si>
  <si>
    <t>A105F</t>
  </si>
  <si>
    <t>A356B</t>
  </si>
  <si>
    <t>A366B</t>
  </si>
  <si>
    <t>TRIMMING_01</t>
  </si>
  <si>
    <t>TRIMMING_03</t>
  </si>
  <si>
    <t>TRIMMING_02</t>
  </si>
  <si>
    <t>A415F</t>
  </si>
  <si>
    <t>A236V</t>
  </si>
  <si>
    <t>A546B</t>
  </si>
  <si>
    <t>A245F</t>
  </si>
  <si>
    <t>A536B</t>
  </si>
  <si>
    <t>A705FN</t>
  </si>
  <si>
    <t>A225F</t>
  </si>
  <si>
    <t>A156E</t>
  </si>
  <si>
    <t>A266B</t>
  </si>
  <si>
    <t>ACP COVER</t>
  </si>
  <si>
    <t>ACP HOUSING</t>
  </si>
  <si>
    <t>FCA HOUSING</t>
  </si>
  <si>
    <t>FCA COVER</t>
  </si>
  <si>
    <t>LENS MOUNT</t>
  </si>
  <si>
    <t>IPM 2.0 HOUSING</t>
  </si>
  <si>
    <t>DCU15 COVER</t>
  </si>
  <si>
    <t>DCU15 HOUSING</t>
  </si>
  <si>
    <t>420x200x170</t>
  </si>
  <si>
    <t>370x198x240</t>
  </si>
  <si>
    <t>420x200x177</t>
  </si>
  <si>
    <t>720x200x183</t>
  </si>
  <si>
    <t>540x320x273</t>
  </si>
  <si>
    <t>400x220x208</t>
  </si>
  <si>
    <t>300x200x155</t>
  </si>
  <si>
    <t>350x178.5x200</t>
  </si>
  <si>
    <t>370x220x200</t>
  </si>
  <si>
    <t>320x200x179</t>
  </si>
  <si>
    <t>570x250x183</t>
  </si>
  <si>
    <t>2025/01</t>
  </si>
  <si>
    <t>570x250x170</t>
  </si>
  <si>
    <t>2024/11</t>
  </si>
  <si>
    <t>320x200x168</t>
  </si>
  <si>
    <t>320x200x147</t>
  </si>
  <si>
    <t>320x200x172</t>
  </si>
  <si>
    <t>320x200x197</t>
  </si>
  <si>
    <t>2023/11</t>
  </si>
  <si>
    <t>2023/12</t>
  </si>
  <si>
    <t>520x560x540</t>
  </si>
  <si>
    <t>660x1310x550</t>
  </si>
  <si>
    <t>640X610X535</t>
  </si>
  <si>
    <t>500X550X440</t>
  </si>
  <si>
    <t>500X550X420</t>
  </si>
  <si>
    <t>TRIMMING-01</t>
  </si>
  <si>
    <t>C23</t>
  </si>
  <si>
    <t>C25</t>
  </si>
  <si>
    <t>C29</t>
  </si>
  <si>
    <t>C30</t>
  </si>
  <si>
    <t>C21</t>
  </si>
  <si>
    <t>C27</t>
  </si>
  <si>
    <t>C35</t>
  </si>
  <si>
    <t>B36</t>
  </si>
  <si>
    <t>C43</t>
  </si>
  <si>
    <t>C44</t>
  </si>
  <si>
    <t>B28</t>
  </si>
  <si>
    <t>D19</t>
  </si>
  <si>
    <t>D18</t>
  </si>
  <si>
    <t>D22</t>
  </si>
  <si>
    <t>D46</t>
  </si>
  <si>
    <t>B34</t>
  </si>
  <si>
    <t>B29</t>
  </si>
  <si>
    <t>B30</t>
  </si>
  <si>
    <t>B11</t>
  </si>
  <si>
    <t>B13</t>
  </si>
  <si>
    <t>B15</t>
  </si>
  <si>
    <t>B16</t>
  </si>
  <si>
    <t>B19</t>
  </si>
  <si>
    <t>B22</t>
  </si>
  <si>
    <t>B23</t>
  </si>
  <si>
    <t>B33</t>
  </si>
  <si>
    <t>B9</t>
  </si>
  <si>
    <t>B10</t>
  </si>
  <si>
    <t>B12</t>
  </si>
  <si>
    <t>B14</t>
  </si>
  <si>
    <t>B17</t>
  </si>
  <si>
    <t>B18</t>
  </si>
  <si>
    <t>B20</t>
  </si>
  <si>
    <t>B21</t>
  </si>
  <si>
    <t>B24</t>
  </si>
  <si>
    <t>B25</t>
  </si>
  <si>
    <t>B26</t>
  </si>
  <si>
    <t>B27</t>
  </si>
  <si>
    <t>B31</t>
  </si>
  <si>
    <t>B32</t>
  </si>
  <si>
    <t>B35</t>
  </si>
  <si>
    <t>B37</t>
  </si>
  <si>
    <t>B38</t>
  </si>
  <si>
    <t>B39</t>
  </si>
  <si>
    <t>B40</t>
  </si>
  <si>
    <t>B41</t>
  </si>
  <si>
    <t>C33</t>
  </si>
  <si>
    <t>C32</t>
  </si>
  <si>
    <t>C34</t>
  </si>
  <si>
    <t>C37</t>
  </si>
  <si>
    <t>C38</t>
  </si>
  <si>
    <t>C39</t>
  </si>
  <si>
    <t>C40</t>
  </si>
  <si>
    <t>C41</t>
  </si>
  <si>
    <t>C42</t>
  </si>
  <si>
    <t>C20</t>
  </si>
  <si>
    <t>C22</t>
  </si>
  <si>
    <t>C24</t>
  </si>
  <si>
    <t>C28</t>
  </si>
  <si>
    <t>C31</t>
  </si>
  <si>
    <t>C26</t>
  </si>
  <si>
    <t>D31</t>
  </si>
  <si>
    <t>D20</t>
  </si>
  <si>
    <t>D30</t>
  </si>
  <si>
    <t>D28</t>
  </si>
  <si>
    <t>D37</t>
  </si>
  <si>
    <t>D39</t>
  </si>
  <si>
    <t>D36</t>
  </si>
  <si>
    <t>GEN4 COVER</t>
  </si>
  <si>
    <t>350x220x232</t>
  </si>
  <si>
    <t>450x210x215</t>
  </si>
  <si>
    <t>350x200x162.5</t>
  </si>
  <si>
    <t>M3</t>
  </si>
  <si>
    <t>A9</t>
  </si>
  <si>
    <t>A10</t>
  </si>
  <si>
    <t>A11</t>
  </si>
  <si>
    <t>A12</t>
  </si>
  <si>
    <t>A13</t>
  </si>
  <si>
    <t>A336</t>
  </si>
  <si>
    <t>50-74197</t>
  </si>
  <si>
    <t>E1</t>
  </si>
  <si>
    <t>E9</t>
  </si>
  <si>
    <t>E5</t>
  </si>
  <si>
    <t>E8</t>
  </si>
  <si>
    <t>E2</t>
  </si>
  <si>
    <t>E3</t>
  </si>
  <si>
    <t>E4</t>
  </si>
  <si>
    <t>E6</t>
  </si>
  <si>
    <t>E7</t>
  </si>
  <si>
    <t>E10</t>
  </si>
  <si>
    <t>E11</t>
  </si>
  <si>
    <t>E12</t>
  </si>
  <si>
    <t>E13</t>
  </si>
  <si>
    <t>F1</t>
  </si>
  <si>
    <t>F2</t>
  </si>
  <si>
    <t>F8</t>
  </si>
  <si>
    <t>F5</t>
  </si>
  <si>
    <t>F3</t>
  </si>
  <si>
    <t>F4</t>
  </si>
  <si>
    <t>F6</t>
  </si>
  <si>
    <t>F7</t>
  </si>
  <si>
    <t>F9</t>
  </si>
  <si>
    <t>F10</t>
  </si>
  <si>
    <t>F11</t>
  </si>
  <si>
    <t>M1</t>
  </si>
  <si>
    <t>M4</t>
  </si>
  <si>
    <t>M2</t>
  </si>
  <si>
    <t>M5</t>
  </si>
  <si>
    <t>M6</t>
  </si>
  <si>
    <t>M7</t>
  </si>
  <si>
    <t>L1</t>
  </si>
  <si>
    <t>L2</t>
  </si>
  <si>
    <t>L3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</si>
  <si>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</si>
  <si>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</si>
  <si>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</si>
  <si>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</si>
  <si>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</si>
  <si>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</si>
  <si>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</si>
  <si>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</si>
  <si>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</si>
  <si>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</si>
  <si>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</si>
  <si>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</si>
  <si>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</si>
  <si>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</si>
  <si>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</si>
  <si>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</si>
  <si>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</si>
  <si>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</si>
  <si>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P1</t>
  </si>
  <si>
    <t>P2</t>
  </si>
  <si>
    <t>P3</t>
  </si>
  <si>
    <t>P4</t>
  </si>
  <si>
    <t>P5</t>
  </si>
  <si>
    <t>P6</t>
  </si>
  <si>
    <t>L4</t>
  </si>
  <si>
    <t>L5</t>
  </si>
  <si>
    <t>L6</t>
  </si>
  <si>
    <t>L7</t>
  </si>
  <si>
    <t>L8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</si>
  <si>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</si>
  <si>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</si>
  <si>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</si>
  <si>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</si>
  <si>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</si>
  <si>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</si>
  <si>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</si>
  <si>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</si>
  <si>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</si>
  <si>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MQ4 COVER</t>
  </si>
  <si>
    <t>N10</t>
  </si>
  <si>
    <t>JG REPS</t>
  </si>
  <si>
    <t>JK-LHD</t>
  </si>
  <si>
    <t>US COVER</t>
  </si>
  <si>
    <t>O1</t>
  </si>
  <si>
    <t>O2</t>
  </si>
  <si>
    <t>O3</t>
  </si>
  <si>
    <t>O4</t>
  </si>
  <si>
    <t>O5</t>
  </si>
  <si>
    <t>O6</t>
  </si>
  <si>
    <t>O7</t>
  </si>
  <si>
    <t>K1</t>
  </si>
  <si>
    <t>K2</t>
  </si>
  <si>
    <t>K3</t>
  </si>
  <si>
    <t>K4</t>
  </si>
  <si>
    <t>640x610x495</t>
  </si>
  <si>
    <t>600x1593x580</t>
  </si>
  <si>
    <t>650x1222x535</t>
  </si>
  <si>
    <t>G1</t>
  </si>
  <si>
    <t>G2</t>
  </si>
  <si>
    <t>G4</t>
  </si>
  <si>
    <t>G3</t>
  </si>
  <si>
    <t>G5</t>
  </si>
  <si>
    <t>G6</t>
  </si>
  <si>
    <t>G7</t>
  </si>
  <si>
    <t>G8</t>
  </si>
  <si>
    <t>G9</t>
  </si>
  <si>
    <t>O</t>
    <phoneticPr fontId="3" type="noConversion"/>
  </si>
  <si>
    <t>O</t>
    <phoneticPr fontId="3" type="noConversion"/>
  </si>
  <si>
    <t>MODEL
Tên sản phẩm</t>
    <phoneticPr fontId="3" type="noConversion"/>
  </si>
  <si>
    <r>
      <rPr>
        <sz val="10"/>
        <rFont val="맑은 고딕"/>
        <family val="3"/>
        <charset val="129"/>
      </rPr>
      <t xml:space="preserve">고객
</t>
    </r>
    <r>
      <rPr>
        <sz val="10"/>
        <rFont val="Arial"/>
        <family val="2"/>
      </rPr>
      <t>Khách hàng</t>
    </r>
  </si>
  <si>
    <r>
      <rPr>
        <sz val="10"/>
        <rFont val="맑은 고딕"/>
        <family val="3"/>
        <charset val="129"/>
      </rPr>
      <t xml:space="preserve">보유차수
</t>
    </r>
    <r>
      <rPr>
        <sz val="10"/>
        <rFont val="Arial"/>
        <family val="2"/>
      </rPr>
      <t>Số thăng</t>
    </r>
  </si>
  <si>
    <r>
      <rPr>
        <sz val="10"/>
        <color rgb="FF000000"/>
        <rFont val="맑은 고딕"/>
        <family val="3"/>
        <charset val="129"/>
      </rPr>
      <t>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분</t>
    </r>
    <phoneticPr fontId="3" type="noConversion"/>
  </si>
  <si>
    <r>
      <rPr>
        <sz val="10"/>
        <color rgb="FF000000"/>
        <rFont val="맑은 고딕"/>
        <family val="3"/>
        <charset val="129"/>
      </rPr>
      <t>사용</t>
    </r>
    <phoneticPr fontId="3" type="noConversion"/>
  </si>
  <si>
    <r>
      <rPr>
        <sz val="10"/>
        <color rgb="FF000000"/>
        <rFont val="맑은 고딕"/>
        <family val="3"/>
        <charset val="129"/>
      </rPr>
      <t>빈도적음</t>
    </r>
    <phoneticPr fontId="3" type="noConversion"/>
  </si>
  <si>
    <r>
      <rPr>
        <sz val="10"/>
        <color rgb="FF000000"/>
        <rFont val="맑은 고딕"/>
        <family val="3"/>
        <charset val="129"/>
      </rPr>
      <t>미사용</t>
    </r>
    <phoneticPr fontId="3" type="noConversion"/>
  </si>
  <si>
    <r>
      <rPr>
        <sz val="10"/>
        <color rgb="FF000000"/>
        <rFont val="맑은 고딕"/>
        <family val="3"/>
        <charset val="129"/>
      </rPr>
      <t>창고이동</t>
    </r>
    <phoneticPr fontId="3" type="noConversion"/>
  </si>
  <si>
    <t>WEIGHT
(Kg)</t>
    <phoneticPr fontId="3" type="noConversion"/>
  </si>
  <si>
    <r>
      <rPr>
        <sz val="10"/>
        <color rgb="FFFF0000"/>
        <rFont val="맑은 고딕"/>
        <family val="3"/>
        <charset val="129"/>
      </rPr>
      <t>외주장고</t>
    </r>
  </si>
  <si>
    <r>
      <rPr>
        <sz val="10"/>
        <color rgb="FF000000"/>
        <rFont val="맑은 고딕"/>
        <family val="3"/>
        <charset val="129"/>
      </rPr>
      <t>외주장고</t>
    </r>
  </si>
  <si>
    <t>620x1765x570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</si>
</sst>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</numFmts>
  <fonts count="44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11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20"/>
      <name val="맑은 고딕"/>
      <family val="3"/>
      <charset val="129"/>
    </font>
    <font>
      <sz val="10"/>
      <color indexed="19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맑은 고딕"/>
      <family val="2"/>
      <charset val="134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1"/>
      <name val="Calibri"/>
      <family val="3"/>
      <charset val="163"/>
    </font>
    <font>
      <sz val="11"/>
      <color indexed="0"/>
      <name val="Calibri"/>
      <family val="2"/>
    </font>
    <font>
      <sz val="10"/>
      <color theme="1"/>
      <name val="맑은 고딕"/>
      <family val="1"/>
      <scheme val="major"/>
    </font>
    <font>
      <sz val="10"/>
      <name val="바탕체"/>
      <family val="1"/>
      <charset val="129"/>
    </font>
    <font>
      <sz val="10"/>
      <color rgb="FF000000"/>
      <name val="맑은 고딕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0"/>
      <color rgb="FFFF0000"/>
      <name val="맑은 고딕"/>
      <family val="3"/>
      <charset val="129"/>
    </font>
    <font>
      <sz val="10"/>
      <color indexed="0"/>
      <name val="Arial"/>
      <family val="2"/>
    </font>
    <font>
      <sz val="9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double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</borders>
  <cellStyleXfs count="53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1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15" borderId="9" applyNumberFormat="0" applyAlignment="0" applyProtection="0">
      <alignment vertical="center"/>
    </xf>
    <xf numFmtId="0" fontId="4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1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25" fillId="0" borderId="0">
      <alignment vertical="center"/>
    </xf>
    <xf numFmtId="177" fontId="26" fillId="0" borderId="0" applyFont="0" applyFill="0" applyBorder="0" applyAlignment="0" applyProtection="0">
      <alignment vertical="center"/>
    </xf>
    <xf numFmtId="0" fontId="27" fillId="0" borderId="0">
      <alignment vertical="center"/>
    </xf>
  </cellStyleXfs>
  <cellXfs count="151">
    <xf numFmtId="0" fontId="0" fillId="0" borderId="0" xfId="0"/>
    <xf numFmtId="0" fontId="24" fillId="0" borderId="11" xfId="0" applyFont="1" applyBorder="1" applyAlignment="1">
      <alignment horizontal="center" vertical="center" wrapText="1" readingOrder="1"/>
    </xf>
    <xf numFmtId="0" fontId="23" fillId="19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/>
    <xf numFmtId="0" fontId="28" fillId="19" borderId="17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 wrapText="1" readingOrder="1"/>
    </xf>
    <xf numFmtId="0" fontId="0" fillId="0" borderId="10" xfId="0" applyBorder="1"/>
    <xf numFmtId="0" fontId="32" fillId="0" borderId="11" xfId="0" applyFont="1" applyBorder="1" applyAlignment="1" applyProtection="1">
      <alignment horizontal="center"/>
      <protection locked="0"/>
    </xf>
    <xf numFmtId="0" fontId="33" fillId="0" borderId="11" xfId="0" applyFont="1" applyBorder="1" applyAlignment="1">
      <alignment horizontal="center" vertical="center"/>
    </xf>
    <xf numFmtId="0" fontId="34" fillId="0" borderId="0" xfId="0" applyFont="1"/>
    <xf numFmtId="0" fontId="34" fillId="0" borderId="23" xfId="0" applyFont="1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28" fillId="19" borderId="25" xfId="0" applyFont="1" applyFill="1" applyBorder="1" applyAlignment="1">
      <alignment horizontal="center" vertical="center"/>
    </xf>
    <xf numFmtId="0" fontId="38" fillId="21" borderId="28" xfId="0" applyFont="1" applyFill="1" applyBorder="1" applyAlignment="1">
      <alignment horizontal="center" vertical="center"/>
    </xf>
    <xf numFmtId="0" fontId="38" fillId="21" borderId="29" xfId="0" applyFont="1" applyFill="1" applyBorder="1" applyAlignment="1">
      <alignment horizontal="center" vertical="center"/>
    </xf>
    <xf numFmtId="0" fontId="36" fillId="21" borderId="29" xfId="0" applyFont="1" applyFill="1" applyBorder="1" applyAlignment="1">
      <alignment horizontal="center" vertical="center" wrapText="1"/>
    </xf>
    <xf numFmtId="0" fontId="36" fillId="19" borderId="29" xfId="0" applyFont="1" applyFill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wrapText="1"/>
    </xf>
    <xf numFmtId="0" fontId="37" fillId="0" borderId="29" xfId="0" applyFont="1" applyBorder="1" applyAlignment="1">
      <alignment horizontal="center" vertical="center" wrapText="1" readingOrder="1"/>
    </xf>
    <xf numFmtId="0" fontId="37" fillId="0" borderId="30" xfId="0" applyFont="1" applyBorder="1" applyAlignment="1">
      <alignment horizontal="center" vertical="center" wrapText="1" readingOrder="1"/>
    </xf>
    <xf numFmtId="0" fontId="38" fillId="21" borderId="15" xfId="0" applyFont="1" applyFill="1" applyBorder="1" applyAlignment="1">
      <alignment horizontal="center" vertical="center"/>
    </xf>
    <xf numFmtId="0" fontId="38" fillId="21" borderId="11" xfId="0" applyFont="1" applyFill="1" applyBorder="1" applyAlignment="1">
      <alignment horizontal="center" vertical="center"/>
    </xf>
    <xf numFmtId="0" fontId="36" fillId="21" borderId="11" xfId="0" applyFont="1" applyFill="1" applyBorder="1" applyAlignment="1">
      <alignment horizontal="center" vertical="center" wrapText="1"/>
    </xf>
    <xf numFmtId="0" fontId="36" fillId="19" borderId="11" xfId="0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 readingOrder="1"/>
    </xf>
    <xf numFmtId="0" fontId="37" fillId="0" borderId="16" xfId="0" applyFont="1" applyBorder="1" applyAlignment="1">
      <alignment horizontal="center" vertical="center" wrapText="1" readingOrder="1"/>
    </xf>
    <xf numFmtId="0" fontId="38" fillId="19" borderId="15" xfId="0" applyFont="1" applyFill="1" applyBorder="1" applyAlignment="1">
      <alignment horizontal="center" vertical="center"/>
    </xf>
    <xf numFmtId="0" fontId="38" fillId="19" borderId="11" xfId="0" applyFont="1" applyFill="1" applyBorder="1" applyAlignment="1">
      <alignment horizontal="center" vertical="center"/>
    </xf>
    <xf numFmtId="0" fontId="37" fillId="19" borderId="11" xfId="0" applyFont="1" applyFill="1" applyBorder="1" applyAlignment="1">
      <alignment horizontal="center" vertical="center" wrapText="1" readingOrder="1"/>
    </xf>
    <xf numFmtId="0" fontId="38" fillId="21" borderId="18" xfId="0" applyFont="1" applyFill="1" applyBorder="1" applyAlignment="1">
      <alignment horizontal="center" vertical="center"/>
    </xf>
    <xf numFmtId="0" fontId="38" fillId="21" borderId="19" xfId="0" applyFont="1" applyFill="1" applyBorder="1" applyAlignment="1">
      <alignment horizontal="center" vertical="center"/>
    </xf>
    <xf numFmtId="0" fontId="36" fillId="21" borderId="19" xfId="0" applyFont="1" applyFill="1" applyBorder="1" applyAlignment="1">
      <alignment horizontal="center" vertical="center" wrapText="1"/>
    </xf>
    <xf numFmtId="0" fontId="36" fillId="19" borderId="19" xfId="0" applyFont="1" applyFill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 readingOrder="1"/>
    </xf>
    <xf numFmtId="0" fontId="37" fillId="0" borderId="20" xfId="0" applyFont="1" applyBorder="1" applyAlignment="1">
      <alignment horizontal="center" vertical="center" wrapText="1" readingOrder="1"/>
    </xf>
    <xf numFmtId="0" fontId="38" fillId="19" borderId="26" xfId="0" applyFont="1" applyFill="1" applyBorder="1" applyAlignment="1">
      <alignment horizontal="center" vertical="center"/>
    </xf>
    <xf numFmtId="0" fontId="38" fillId="19" borderId="23" xfId="0" applyFont="1" applyFill="1" applyBorder="1" applyAlignment="1">
      <alignment horizontal="center" vertical="center"/>
    </xf>
    <xf numFmtId="0" fontId="36" fillId="19" borderId="23" xfId="0" applyFont="1" applyFill="1" applyBorder="1" applyAlignment="1">
      <alignment horizontal="center" vertical="center" wrapText="1"/>
    </xf>
    <xf numFmtId="0" fontId="37" fillId="0" borderId="23" xfId="0" applyFont="1" applyBorder="1" applyAlignment="1">
      <alignment horizontal="center" vertical="center" wrapText="1" readingOrder="1"/>
    </xf>
    <xf numFmtId="0" fontId="37" fillId="0" borderId="27" xfId="0" applyFont="1" applyBorder="1" applyAlignment="1">
      <alignment horizontal="center" vertical="center" wrapText="1" readingOrder="1"/>
    </xf>
    <xf numFmtId="0" fontId="40" fillId="21" borderId="11" xfId="0" applyFont="1" applyFill="1" applyBorder="1" applyAlignment="1">
      <alignment horizontal="center" vertical="center" wrapText="1"/>
    </xf>
    <xf numFmtId="0" fontId="40" fillId="21" borderId="11" xfId="0" applyFont="1" applyFill="1" applyBorder="1" applyAlignment="1">
      <alignment horizontal="center" vertical="center" wrapText="1" readingOrder="1"/>
    </xf>
    <xf numFmtId="0" fontId="40" fillId="21" borderId="15" xfId="0" applyFont="1" applyFill="1" applyBorder="1" applyAlignment="1">
      <alignment horizontal="center" vertical="center"/>
    </xf>
    <xf numFmtId="0" fontId="37" fillId="21" borderId="11" xfId="0" applyFont="1" applyFill="1" applyBorder="1" applyAlignment="1">
      <alignment horizontal="center" vertical="center" wrapText="1" readingOrder="1"/>
    </xf>
    <xf numFmtId="0" fontId="39" fillId="0" borderId="16" xfId="0" applyFont="1" applyBorder="1" applyAlignment="1">
      <alignment horizontal="center"/>
    </xf>
    <xf numFmtId="14" fontId="39" fillId="0" borderId="16" xfId="0" applyNumberFormat="1" applyFont="1" applyBorder="1" applyAlignment="1">
      <alignment horizontal="center"/>
    </xf>
    <xf numFmtId="0" fontId="40" fillId="21" borderId="11" xfId="0" applyFont="1" applyFill="1" applyBorder="1" applyAlignment="1">
      <alignment horizontal="center" vertical="center"/>
    </xf>
    <xf numFmtId="0" fontId="37" fillId="20" borderId="11" xfId="0" applyFont="1" applyFill="1" applyBorder="1" applyAlignment="1">
      <alignment horizontal="center" vertical="center" wrapText="1" readingOrder="1"/>
    </xf>
    <xf numFmtId="0" fontId="39" fillId="0" borderId="26" xfId="0" applyFont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39" fillId="0" borderId="27" xfId="0" applyFont="1" applyBorder="1" applyAlignment="1">
      <alignment horizontal="center"/>
    </xf>
    <xf numFmtId="0" fontId="38" fillId="19" borderId="28" xfId="0" applyFont="1" applyFill="1" applyBorder="1" applyAlignment="1">
      <alignment horizontal="center" vertical="center"/>
    </xf>
    <xf numFmtId="0" fontId="38" fillId="19" borderId="29" xfId="0" applyFont="1" applyFill="1" applyBorder="1" applyAlignment="1">
      <alignment horizontal="center" vertical="center"/>
    </xf>
    <xf numFmtId="0" fontId="39" fillId="0" borderId="30" xfId="0" applyFont="1" applyBorder="1" applyAlignment="1">
      <alignment horizontal="center"/>
    </xf>
    <xf numFmtId="0" fontId="37" fillId="18" borderId="37" xfId="0" applyFont="1" applyFill="1" applyBorder="1" applyAlignment="1">
      <alignment horizontal="center" vertical="center" wrapText="1" readingOrder="1"/>
    </xf>
    <xf numFmtId="0" fontId="37" fillId="18" borderId="38" xfId="0" applyFont="1" applyFill="1" applyBorder="1" applyAlignment="1">
      <alignment horizontal="center" vertical="center" wrapText="1" readingOrder="1"/>
    </xf>
    <xf numFmtId="0" fontId="37" fillId="18" borderId="39" xfId="0" applyFont="1" applyFill="1" applyBorder="1" applyAlignment="1">
      <alignment horizontal="center" vertical="center" wrapText="1" readingOrder="1"/>
    </xf>
    <xf numFmtId="0" fontId="37" fillId="0" borderId="40" xfId="0" applyFont="1" applyBorder="1" applyAlignment="1">
      <alignment horizontal="center" vertical="center" wrapText="1" readingOrder="1"/>
    </xf>
    <xf numFmtId="0" fontId="37" fillId="0" borderId="41" xfId="0" applyFont="1" applyBorder="1" applyAlignment="1">
      <alignment horizontal="center" vertical="center" wrapText="1" readingOrder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7" fillId="0" borderId="45" xfId="0" applyFont="1" applyBorder="1" applyAlignment="1">
      <alignment horizontal="center" vertical="center" wrapText="1" readingOrder="1"/>
    </xf>
    <xf numFmtId="0" fontId="37" fillId="19" borderId="43" xfId="0" applyFont="1" applyFill="1" applyBorder="1" applyAlignment="1">
      <alignment horizontal="center" vertical="center" wrapText="1" readingOrder="1"/>
    </xf>
    <xf numFmtId="0" fontId="37" fillId="19" borderId="44" xfId="0" applyFont="1" applyFill="1" applyBorder="1" applyAlignment="1">
      <alignment horizontal="center" vertical="center" wrapText="1" readingOrder="1"/>
    </xf>
    <xf numFmtId="0" fontId="37" fillId="19" borderId="45" xfId="0" applyFont="1" applyFill="1" applyBorder="1" applyAlignment="1">
      <alignment horizontal="center" vertical="center" wrapText="1" readingOrder="1"/>
    </xf>
    <xf numFmtId="0" fontId="40" fillId="21" borderId="43" xfId="0" applyFont="1" applyFill="1" applyBorder="1" applyAlignment="1">
      <alignment horizontal="center" vertical="center" wrapText="1" readingOrder="1"/>
    </xf>
    <xf numFmtId="0" fontId="40" fillId="21" borderId="44" xfId="0" applyFont="1" applyFill="1" applyBorder="1" applyAlignment="1">
      <alignment horizontal="center" vertical="center" wrapText="1" readingOrder="1"/>
    </xf>
    <xf numFmtId="0" fontId="40" fillId="21" borderId="45" xfId="0" applyFont="1" applyFill="1" applyBorder="1" applyAlignment="1">
      <alignment horizontal="center" vertical="center" wrapText="1" readingOrder="1"/>
    </xf>
    <xf numFmtId="0" fontId="37" fillId="20" borderId="43" xfId="0" applyFont="1" applyFill="1" applyBorder="1" applyAlignment="1">
      <alignment horizontal="center" vertical="center" wrapText="1" readingOrder="1"/>
    </xf>
    <xf numFmtId="0" fontId="37" fillId="20" borderId="44" xfId="0" applyFont="1" applyFill="1" applyBorder="1" applyAlignment="1">
      <alignment horizontal="center" vertical="center" wrapText="1" readingOrder="1"/>
    </xf>
    <xf numFmtId="0" fontId="37" fillId="20" borderId="45" xfId="0" applyFont="1" applyFill="1" applyBorder="1" applyAlignment="1">
      <alignment horizontal="center" vertical="center" wrapText="1" readingOrder="1"/>
    </xf>
    <xf numFmtId="0" fontId="37" fillId="21" borderId="43" xfId="0" applyFont="1" applyFill="1" applyBorder="1" applyAlignment="1">
      <alignment horizontal="center" vertical="center" wrapText="1" readingOrder="1"/>
    </xf>
    <xf numFmtId="0" fontId="37" fillId="21" borderId="44" xfId="0" applyFont="1" applyFill="1" applyBorder="1" applyAlignment="1">
      <alignment horizontal="center" vertical="center" wrapText="1" readingOrder="1"/>
    </xf>
    <xf numFmtId="0" fontId="37" fillId="21" borderId="45" xfId="0" applyFont="1" applyFill="1" applyBorder="1" applyAlignment="1">
      <alignment horizontal="center" vertical="center" wrapText="1" readingOrder="1"/>
    </xf>
    <xf numFmtId="0" fontId="39" fillId="0" borderId="49" xfId="0" applyFont="1" applyBorder="1" applyAlignment="1">
      <alignment horizontal="center"/>
    </xf>
    <xf numFmtId="0" fontId="39" fillId="0" borderId="50" xfId="0" applyFont="1" applyBorder="1" applyAlignment="1">
      <alignment horizontal="center"/>
    </xf>
    <xf numFmtId="0" fontId="39" fillId="0" borderId="51" xfId="0" applyFont="1" applyBorder="1" applyAlignment="1">
      <alignment horizontal="center"/>
    </xf>
    <xf numFmtId="0" fontId="38" fillId="0" borderId="15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44" xfId="0" applyFont="1" applyBorder="1" applyAlignment="1">
      <alignment horizontal="center"/>
    </xf>
    <xf numFmtId="0" fontId="39" fillId="0" borderId="45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19" xfId="0" applyFont="1" applyBorder="1" applyAlignment="1">
      <alignment horizontal="center"/>
    </xf>
    <xf numFmtId="0" fontId="36" fillId="0" borderId="19" xfId="0" applyFont="1" applyBorder="1" applyAlignment="1">
      <alignment horizontal="center" vertical="center" wrapText="1"/>
    </xf>
    <xf numFmtId="0" fontId="39" fillId="0" borderId="46" xfId="0" applyFont="1" applyBorder="1" applyAlignment="1">
      <alignment horizontal="center"/>
    </xf>
    <xf numFmtId="0" fontId="39" fillId="0" borderId="47" xfId="0" applyFont="1" applyBorder="1" applyAlignment="1">
      <alignment horizontal="center"/>
    </xf>
    <xf numFmtId="0" fontId="39" fillId="0" borderId="48" xfId="0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37" fillId="0" borderId="46" xfId="0" applyFont="1" applyBorder="1" applyAlignment="1">
      <alignment horizontal="center" vertical="center" wrapText="1" readingOrder="1"/>
    </xf>
    <xf numFmtId="0" fontId="37" fillId="0" borderId="47" xfId="0" applyFont="1" applyBorder="1" applyAlignment="1">
      <alignment horizontal="center" vertical="center" wrapText="1" readingOrder="1"/>
    </xf>
    <xf numFmtId="0" fontId="37" fillId="0" borderId="48" xfId="0" applyFont="1" applyBorder="1" applyAlignment="1">
      <alignment horizontal="center" vertical="center" wrapText="1" readingOrder="1"/>
    </xf>
    <xf numFmtId="0" fontId="37" fillId="0" borderId="49" xfId="0" applyFont="1" applyBorder="1" applyAlignment="1">
      <alignment horizontal="center" vertical="center" wrapText="1" readingOrder="1"/>
    </xf>
    <xf numFmtId="0" fontId="37" fillId="0" borderId="50" xfId="0" applyFont="1" applyBorder="1" applyAlignment="1">
      <alignment horizontal="center" vertical="center" wrapText="1" readingOrder="1"/>
    </xf>
    <xf numFmtId="0" fontId="37" fillId="0" borderId="51" xfId="0" applyFont="1" applyBorder="1" applyAlignment="1">
      <alignment horizontal="center" vertical="center" wrapText="1" readingOrder="1"/>
    </xf>
    <xf numFmtId="0" fontId="33" fillId="0" borderId="32" xfId="0" applyFont="1" applyBorder="1" applyAlignment="1">
      <alignment horizontal="center" vertical="center"/>
    </xf>
    <xf numFmtId="0" fontId="23" fillId="19" borderId="32" xfId="0" applyFont="1" applyFill="1" applyBorder="1" applyAlignment="1">
      <alignment horizontal="center" vertical="center" wrapText="1"/>
    </xf>
    <xf numFmtId="0" fontId="32" fillId="0" borderId="32" xfId="0" applyFont="1" applyBorder="1" applyAlignment="1" applyProtection="1">
      <alignment horizontal="center"/>
      <protection locked="0"/>
    </xf>
    <xf numFmtId="0" fontId="24" fillId="0" borderId="32" xfId="0" applyFont="1" applyBorder="1" applyAlignment="1">
      <alignment horizontal="center" vertical="center" wrapText="1" readingOrder="1"/>
    </xf>
    <xf numFmtId="0" fontId="24" fillId="0" borderId="22" xfId="0" applyFont="1" applyBorder="1" applyAlignment="1">
      <alignment horizontal="center" vertical="center" wrapText="1" readingOrder="1"/>
    </xf>
    <xf numFmtId="0" fontId="0" fillId="0" borderId="32" xfId="0" applyBorder="1"/>
    <xf numFmtId="0" fontId="38" fillId="0" borderId="29" xfId="0" applyFont="1" applyBorder="1" applyAlignment="1">
      <alignment horizontal="center" vertical="center"/>
    </xf>
    <xf numFmtId="0" fontId="42" fillId="0" borderId="29" xfId="0" applyFont="1" applyBorder="1" applyAlignment="1" applyProtection="1">
      <alignment horizontal="center"/>
      <protection locked="0"/>
    </xf>
    <xf numFmtId="0" fontId="36" fillId="0" borderId="29" xfId="0" applyFont="1" applyBorder="1"/>
    <xf numFmtId="0" fontId="36" fillId="0" borderId="40" xfId="0" applyFont="1" applyBorder="1" applyAlignment="1">
      <alignment horizontal="center"/>
    </xf>
    <xf numFmtId="0" fontId="36" fillId="0" borderId="41" xfId="0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0" fontId="36" fillId="0" borderId="30" xfId="0" applyFont="1" applyBorder="1"/>
    <xf numFmtId="0" fontId="36" fillId="0" borderId="0" xfId="0" applyFont="1"/>
    <xf numFmtId="0" fontId="42" fillId="0" borderId="11" xfId="0" applyFont="1" applyBorder="1" applyAlignment="1" applyProtection="1">
      <alignment horizontal="center"/>
      <protection locked="0"/>
    </xf>
    <xf numFmtId="0" fontId="36" fillId="0" borderId="11" xfId="0" applyFont="1" applyBorder="1"/>
    <xf numFmtId="0" fontId="36" fillId="0" borderId="43" xfId="0" applyFont="1" applyBorder="1" applyAlignment="1">
      <alignment horizontal="center"/>
    </xf>
    <xf numFmtId="0" fontId="36" fillId="0" borderId="44" xfId="0" applyFont="1" applyBorder="1" applyAlignment="1">
      <alignment horizontal="center"/>
    </xf>
    <xf numFmtId="0" fontId="36" fillId="0" borderId="45" xfId="0" applyFont="1" applyBorder="1" applyAlignment="1">
      <alignment horizontal="center"/>
    </xf>
    <xf numFmtId="0" fontId="36" fillId="0" borderId="16" xfId="0" applyFont="1" applyBorder="1"/>
    <xf numFmtId="0" fontId="38" fillId="19" borderId="18" xfId="0" applyFont="1" applyFill="1" applyBorder="1" applyAlignment="1">
      <alignment horizontal="center" vertical="center"/>
    </xf>
    <xf numFmtId="0" fontId="38" fillId="19" borderId="19" xfId="0" applyFont="1" applyFill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42" fillId="21" borderId="11" xfId="0" applyFont="1" applyFill="1" applyBorder="1" applyAlignment="1" applyProtection="1">
      <alignment horizontal="center"/>
      <protection locked="0"/>
    </xf>
    <xf numFmtId="2" fontId="38" fillId="0" borderId="11" xfId="0" applyNumberFormat="1" applyFont="1" applyBorder="1" applyAlignment="1">
      <alignment horizontal="center"/>
    </xf>
    <xf numFmtId="0" fontId="42" fillId="0" borderId="19" xfId="0" applyFont="1" applyBorder="1" applyAlignment="1" applyProtection="1">
      <alignment horizontal="center"/>
      <protection locked="0"/>
    </xf>
    <xf numFmtId="0" fontId="36" fillId="0" borderId="20" xfId="0" applyFont="1" applyBorder="1"/>
    <xf numFmtId="0" fontId="36" fillId="0" borderId="26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3" fillId="18" borderId="13" xfId="0" applyFont="1" applyFill="1" applyBorder="1" applyAlignment="1">
      <alignment horizontal="center" vertical="center" wrapText="1" readingOrder="1"/>
    </xf>
    <xf numFmtId="0" fontId="43" fillId="18" borderId="32" xfId="0" applyFont="1" applyFill="1" applyBorder="1" applyAlignment="1">
      <alignment horizontal="center" vertical="center" wrapText="1" readingOrder="1"/>
    </xf>
    <xf numFmtId="0" fontId="37" fillId="18" borderId="13" xfId="0" applyFont="1" applyFill="1" applyBorder="1" applyAlignment="1">
      <alignment horizontal="center" vertical="center" wrapText="1" readingOrder="1"/>
    </xf>
    <xf numFmtId="0" fontId="37" fillId="18" borderId="32" xfId="0" applyFont="1" applyFill="1" applyBorder="1" applyAlignment="1">
      <alignment horizontal="center" vertical="center" wrapText="1" readingOrder="1"/>
    </xf>
    <xf numFmtId="0" fontId="37" fillId="18" borderId="14" xfId="0" applyFont="1" applyFill="1" applyBorder="1" applyAlignment="1">
      <alignment horizontal="center" vertical="center" wrapText="1" readingOrder="1"/>
    </xf>
    <xf numFmtId="0" fontId="37" fillId="18" borderId="33" xfId="0" applyFont="1" applyFill="1" applyBorder="1" applyAlignment="1">
      <alignment horizontal="center" vertical="center" wrapText="1" readingOrder="1"/>
    </xf>
    <xf numFmtId="0" fontId="30" fillId="0" borderId="0" xfId="0" applyFont="1" applyAlignment="1">
      <alignment horizontal="center"/>
    </xf>
    <xf numFmtId="0" fontId="36" fillId="18" borderId="12" xfId="0" applyFont="1" applyFill="1" applyBorder="1" applyAlignment="1">
      <alignment horizontal="center" vertical="center"/>
    </xf>
    <xf numFmtId="0" fontId="36" fillId="18" borderId="31" xfId="0" applyFont="1" applyFill="1" applyBorder="1" applyAlignment="1">
      <alignment horizontal="center" vertical="center"/>
    </xf>
    <xf numFmtId="0" fontId="36" fillId="18" borderId="13" xfId="0" applyFont="1" applyFill="1" applyBorder="1" applyAlignment="1">
      <alignment horizontal="center" vertical="center"/>
    </xf>
    <xf numFmtId="0" fontId="36" fillId="18" borderId="32" xfId="0" applyFont="1" applyFill="1" applyBorder="1" applyAlignment="1">
      <alignment horizontal="center" vertical="center"/>
    </xf>
    <xf numFmtId="0" fontId="36" fillId="18" borderId="13" xfId="0" applyFont="1" applyFill="1" applyBorder="1" applyAlignment="1">
      <alignment horizontal="center" vertical="center" wrapText="1"/>
    </xf>
    <xf numFmtId="0" fontId="36" fillId="18" borderId="32" xfId="0" applyFont="1" applyFill="1" applyBorder="1" applyAlignment="1">
      <alignment horizontal="center" vertical="center" wrapText="1"/>
    </xf>
    <xf numFmtId="0" fontId="37" fillId="18" borderId="34" xfId="0" applyFont="1" applyFill="1" applyBorder="1" applyAlignment="1">
      <alignment horizontal="center" vertical="center" wrapText="1" readingOrder="1"/>
    </xf>
    <xf numFmtId="0" fontId="37" fillId="18" borderId="35" xfId="0" applyFont="1" applyFill="1" applyBorder="1" applyAlignment="1">
      <alignment horizontal="center" vertical="center" wrapText="1" readingOrder="1"/>
    </xf>
    <xf numFmtId="0" fontId="37" fillId="18" borderId="36" xfId="0" applyFont="1" applyFill="1" applyBorder="1" applyAlignment="1">
      <alignment horizontal="center" vertical="center" wrapText="1" readingOrder="1"/>
    </xf>
    <xf numFmtId="0" fontId="36" fillId="18" borderId="14" xfId="0" applyFont="1" applyFill="1" applyBorder="1" applyAlignment="1">
      <alignment horizontal="center" vertical="center"/>
    </xf>
    <xf numFmtId="0" fontId="36" fillId="18" borderId="33" xfId="0" applyFont="1" applyFill="1" applyBorder="1" applyAlignment="1">
      <alignment horizontal="center" vertical="center"/>
    </xf>
  </cellXfs>
  <cellStyles count="5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Normal 6" xfId="52" xr:uid="{00000000-0005-0000-0000-000025000000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常规 10" xfId="50" xr:uid="{00000000-0005-0000-0000-000034000000}"/>
    <cellStyle name="설명 텍스트" xfId="30" builtinId="53" customBuiltin="1"/>
    <cellStyle name="셀 확인" xfId="31" builtinId="23" customBuiltin="1"/>
    <cellStyle name="쉼표 [0] 2" xfId="32" xr:uid="{00000000-0005-0000-0000-00002B000000}"/>
    <cellStyle name="쉼표 [0] 3" xfId="48" xr:uid="{00000000-0005-0000-0000-00002C000000}"/>
    <cellStyle name="연결된 셀" xfId="33" builtinId="24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千位分隔 17" xfId="51" xr:uid="{00000000-0005-0000-0000-000033000000}"/>
    <cellStyle name="출력" xfId="42" builtinId="21" customBuiltin="1"/>
    <cellStyle name="표준" xfId="0" builtinId="0"/>
    <cellStyle name="표준 12" xfId="44" xr:uid="{00000000-0005-0000-0000-00002D000000}"/>
    <cellStyle name="표준 12 25" xfId="45" xr:uid="{00000000-0005-0000-0000-00002E000000}"/>
    <cellStyle name="표준 2" xfId="43" xr:uid="{00000000-0005-0000-0000-00002F000000}"/>
    <cellStyle name="표준 2 2" xfId="46" xr:uid="{00000000-0005-0000-0000-000030000000}"/>
    <cellStyle name="표준 3" xfId="47" xr:uid="{00000000-0005-0000-0000-000031000000}"/>
    <cellStyle name="표준 4" xfId="49" xr:uid="{00000000-0005-0000-0000-00003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00"/>
      <color rgb="FFFFFFCC"/>
      <color rgb="FF0000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72"/>
  <sheetViews>
    <sheetView tabSelected="1" view="pageBreakPreview" zoomScale="85" zoomScaleNormal="100" zoomScaleSheetLayoutView="85" workbookViewId="0">
      <pane xSplit="3" ySplit="3" topLeftCell="D102" activePane="bottomRight" state="frozen"/>
      <selection pane="topRight" activeCell="D1" sqref="D1"/>
      <selection pane="bottomLeft" activeCell="A5" sqref="A5"/>
      <selection pane="bottomRight" activeCell="F108" sqref="F108"/>
    </sheetView>
  </sheetViews>
  <sheetFormatPr defaultRowHeight="14.25"/>
  <cols>
    <col min="1" max="1" width="4.75" customWidth="1"/>
    <col min="2" max="2" width="15" customWidth="1"/>
    <col min="3" max="3" width="17.625" style="3" customWidth="1"/>
    <col min="4" max="4" width="15.625" style="3" customWidth="1"/>
    <col min="5" max="5" width="11.375" style="3" customWidth="1"/>
    <col min="6" max="6" width="17.125" customWidth="1"/>
    <col min="7" max="7" width="10.125" customWidth="1"/>
    <col min="8" max="8" width="14" customWidth="1"/>
    <col min="9" max="9" width="19.75" customWidth="1"/>
    <col min="10" max="13" width="8.125" customWidth="1"/>
    <col min="14" max="14" width="11" customWidth="1"/>
    <col min="15" max="15" width="12.625" customWidth="1"/>
    <col min="16" max="16" width="12.75" customWidth="1"/>
    <col min="17" max="17" width="12.625" customWidth="1"/>
    <col min="18" max="18" width="9.5" customWidth="1"/>
  </cols>
  <sheetData>
    <row r="1" spans="1:14" ht="24.75" customHeight="1" thickBot="1">
      <c r="A1" s="139" t="s">
        <v>9</v>
      </c>
      <c r="B1" s="139"/>
      <c r="C1" s="139"/>
      <c r="D1" s="139"/>
      <c r="E1" s="139"/>
      <c r="F1" s="139"/>
    </row>
    <row r="2" spans="1:14" ht="18.75" customHeight="1">
      <c r="A2" s="140" t="s">
        <v>0</v>
      </c>
      <c r="B2" s="142" t="s">
        <v>220</v>
      </c>
      <c r="C2" s="144" t="s">
        <v>546</v>
      </c>
      <c r="D2" s="144" t="s">
        <v>547</v>
      </c>
      <c r="E2" s="144" t="s">
        <v>548</v>
      </c>
      <c r="F2" s="142" t="s">
        <v>35</v>
      </c>
      <c r="G2" s="135" t="s">
        <v>218</v>
      </c>
      <c r="H2" s="135" t="s">
        <v>219</v>
      </c>
      <c r="I2" s="135" t="s">
        <v>222</v>
      </c>
      <c r="J2" s="146" t="s">
        <v>549</v>
      </c>
      <c r="K2" s="147"/>
      <c r="L2" s="147"/>
      <c r="M2" s="148"/>
      <c r="N2" s="149" t="s">
        <v>229</v>
      </c>
    </row>
    <row r="3" spans="1:14" ht="18.75" hidden="1" customHeight="1" thickBot="1">
      <c r="A3" s="141"/>
      <c r="B3" s="143"/>
      <c r="C3" s="143"/>
      <c r="D3" s="145"/>
      <c r="E3" s="145"/>
      <c r="F3" s="143"/>
      <c r="G3" s="136"/>
      <c r="H3" s="136"/>
      <c r="I3" s="136"/>
      <c r="J3" s="58" t="s">
        <v>550</v>
      </c>
      <c r="K3" s="59" t="s">
        <v>551</v>
      </c>
      <c r="L3" s="59" t="s">
        <v>552</v>
      </c>
      <c r="M3" s="60" t="s">
        <v>553</v>
      </c>
      <c r="N3" s="150"/>
    </row>
    <row r="4" spans="1:14" ht="18" hidden="1" customHeight="1" thickTop="1">
      <c r="A4" s="55">
        <v>1</v>
      </c>
      <c r="B4" s="56" t="s">
        <v>221</v>
      </c>
      <c r="C4" s="20" t="s">
        <v>31</v>
      </c>
      <c r="D4" s="19" t="s">
        <v>34</v>
      </c>
      <c r="E4" s="20" t="s">
        <v>39</v>
      </c>
      <c r="F4" s="19" t="s">
        <v>36</v>
      </c>
      <c r="G4" s="21">
        <v>644</v>
      </c>
      <c r="H4" s="21" t="s">
        <v>247</v>
      </c>
      <c r="I4" s="21"/>
      <c r="J4" s="61" t="s">
        <v>544</v>
      </c>
      <c r="K4" s="62"/>
      <c r="L4" s="62"/>
      <c r="M4" s="63"/>
      <c r="N4" s="57" t="s">
        <v>302</v>
      </c>
    </row>
    <row r="5" spans="1:14" ht="18" hidden="1" customHeight="1">
      <c r="A5" s="30">
        <v>2</v>
      </c>
      <c r="B5" s="31" t="s">
        <v>221</v>
      </c>
      <c r="C5" s="27" t="s">
        <v>31</v>
      </c>
      <c r="D5" s="26" t="s">
        <v>34</v>
      </c>
      <c r="E5" s="27" t="s">
        <v>117</v>
      </c>
      <c r="F5" s="26" t="s">
        <v>36</v>
      </c>
      <c r="G5" s="28">
        <v>644</v>
      </c>
      <c r="H5" s="28" t="s">
        <v>248</v>
      </c>
      <c r="I5" s="28"/>
      <c r="J5" s="64" t="s">
        <v>544</v>
      </c>
      <c r="K5" s="65"/>
      <c r="L5" s="65"/>
      <c r="M5" s="66"/>
      <c r="N5" s="48" t="s">
        <v>302</v>
      </c>
    </row>
    <row r="6" spans="1:14" ht="18" hidden="1" customHeight="1">
      <c r="A6" s="30">
        <v>3</v>
      </c>
      <c r="B6" s="31" t="s">
        <v>221</v>
      </c>
      <c r="C6" s="27" t="s">
        <v>31</v>
      </c>
      <c r="D6" s="26" t="s">
        <v>34</v>
      </c>
      <c r="E6" s="27" t="s">
        <v>118</v>
      </c>
      <c r="F6" s="26" t="s">
        <v>36</v>
      </c>
      <c r="G6" s="28">
        <v>644</v>
      </c>
      <c r="H6" s="28" t="s">
        <v>249</v>
      </c>
      <c r="I6" s="28"/>
      <c r="J6" s="64" t="s">
        <v>544</v>
      </c>
      <c r="K6" s="65"/>
      <c r="L6" s="65"/>
      <c r="M6" s="66"/>
      <c r="N6" s="48" t="s">
        <v>302</v>
      </c>
    </row>
    <row r="7" spans="1:14" ht="18" hidden="1" customHeight="1">
      <c r="A7" s="30">
        <v>4</v>
      </c>
      <c r="B7" s="31" t="s">
        <v>221</v>
      </c>
      <c r="C7" s="27" t="s">
        <v>31</v>
      </c>
      <c r="D7" s="26" t="s">
        <v>34</v>
      </c>
      <c r="E7" s="27" t="s">
        <v>66</v>
      </c>
      <c r="F7" s="26" t="s">
        <v>36</v>
      </c>
      <c r="G7" s="28">
        <v>644</v>
      </c>
      <c r="H7" s="28" t="s">
        <v>250</v>
      </c>
      <c r="I7" s="28"/>
      <c r="J7" s="64" t="s">
        <v>544</v>
      </c>
      <c r="K7" s="65"/>
      <c r="L7" s="65"/>
      <c r="M7" s="66"/>
      <c r="N7" s="48" t="s">
        <v>302</v>
      </c>
    </row>
    <row r="8" spans="1:14" ht="18" hidden="1" customHeight="1">
      <c r="A8" s="30">
        <v>5</v>
      </c>
      <c r="B8" s="31" t="s">
        <v>221</v>
      </c>
      <c r="C8" s="27" t="s">
        <v>31</v>
      </c>
      <c r="D8" s="26" t="s">
        <v>34</v>
      </c>
      <c r="E8" s="27" t="s">
        <v>67</v>
      </c>
      <c r="F8" s="26" t="s">
        <v>36</v>
      </c>
      <c r="G8" s="28">
        <v>644</v>
      </c>
      <c r="H8" s="28" t="s">
        <v>251</v>
      </c>
      <c r="I8" s="28"/>
      <c r="J8" s="64" t="s">
        <v>544</v>
      </c>
      <c r="K8" s="65"/>
      <c r="L8" s="65"/>
      <c r="M8" s="66"/>
      <c r="N8" s="48" t="s">
        <v>302</v>
      </c>
    </row>
    <row r="9" spans="1:14" ht="15.75" hidden="1" customHeight="1">
      <c r="A9" s="30">
        <v>6</v>
      </c>
      <c r="B9" s="31" t="s">
        <v>221</v>
      </c>
      <c r="C9" s="27" t="s">
        <v>31</v>
      </c>
      <c r="D9" s="26" t="s">
        <v>34</v>
      </c>
      <c r="E9" s="27" t="s">
        <v>68</v>
      </c>
      <c r="F9" s="26" t="s">
        <v>36</v>
      </c>
      <c r="G9" s="28">
        <v>644</v>
      </c>
      <c r="H9" s="28" t="s">
        <v>252</v>
      </c>
      <c r="I9" s="28"/>
      <c r="J9" s="64" t="s">
        <v>544</v>
      </c>
      <c r="K9" s="65"/>
      <c r="L9" s="65"/>
      <c r="M9" s="66"/>
      <c r="N9" s="48" t="s">
        <v>302</v>
      </c>
    </row>
    <row r="10" spans="1:14" ht="17.25" hidden="1" customHeight="1">
      <c r="A10" s="30">
        <v>7</v>
      </c>
      <c r="B10" s="31" t="s">
        <v>221</v>
      </c>
      <c r="C10" s="27" t="s">
        <v>31</v>
      </c>
      <c r="D10" s="26" t="s">
        <v>34</v>
      </c>
      <c r="E10" s="27" t="s">
        <v>119</v>
      </c>
      <c r="F10" s="26" t="s">
        <v>36</v>
      </c>
      <c r="G10" s="28">
        <v>644</v>
      </c>
      <c r="H10" s="28" t="s">
        <v>253</v>
      </c>
      <c r="I10" s="28"/>
      <c r="J10" s="64" t="s">
        <v>544</v>
      </c>
      <c r="K10" s="65"/>
      <c r="L10" s="65"/>
      <c r="M10" s="66"/>
      <c r="N10" s="48" t="s">
        <v>302</v>
      </c>
    </row>
    <row r="11" spans="1:14" ht="18" hidden="1" customHeight="1">
      <c r="A11" s="30">
        <v>8</v>
      </c>
      <c r="B11" s="31" t="s">
        <v>221</v>
      </c>
      <c r="C11" s="27" t="s">
        <v>31</v>
      </c>
      <c r="D11" s="26" t="s">
        <v>34</v>
      </c>
      <c r="E11" s="27" t="s">
        <v>120</v>
      </c>
      <c r="F11" s="26" t="s">
        <v>36</v>
      </c>
      <c r="G11" s="28">
        <v>644</v>
      </c>
      <c r="H11" s="28" t="s">
        <v>254</v>
      </c>
      <c r="I11" s="28"/>
      <c r="J11" s="64" t="s">
        <v>544</v>
      </c>
      <c r="K11" s="65"/>
      <c r="L11" s="65"/>
      <c r="M11" s="66"/>
      <c r="N11" s="48" t="s">
        <v>302</v>
      </c>
    </row>
    <row r="12" spans="1:14" ht="18" hidden="1" customHeight="1">
      <c r="A12" s="30">
        <v>9</v>
      </c>
      <c r="B12" s="31" t="s">
        <v>221</v>
      </c>
      <c r="C12" s="27" t="s">
        <v>31</v>
      </c>
      <c r="D12" s="26" t="s">
        <v>34</v>
      </c>
      <c r="E12" s="27" t="s">
        <v>121</v>
      </c>
      <c r="F12" s="26" t="s">
        <v>36</v>
      </c>
      <c r="G12" s="28">
        <v>644</v>
      </c>
      <c r="H12" s="28" t="s">
        <v>438</v>
      </c>
      <c r="I12" s="28"/>
      <c r="J12" s="64" t="s">
        <v>544</v>
      </c>
      <c r="K12" s="65"/>
      <c r="L12" s="65"/>
      <c r="M12" s="66"/>
      <c r="N12" s="48" t="s">
        <v>302</v>
      </c>
    </row>
    <row r="13" spans="1:14" ht="18" hidden="1" customHeight="1">
      <c r="A13" s="30">
        <v>10</v>
      </c>
      <c r="B13" s="31" t="s">
        <v>221</v>
      </c>
      <c r="C13" s="27" t="s">
        <v>30</v>
      </c>
      <c r="D13" s="26" t="s">
        <v>34</v>
      </c>
      <c r="E13" s="27" t="s">
        <v>3</v>
      </c>
      <c r="F13" s="26" t="s">
        <v>76</v>
      </c>
      <c r="G13" s="28">
        <v>656</v>
      </c>
      <c r="H13" s="28" t="s">
        <v>439</v>
      </c>
      <c r="I13" s="28"/>
      <c r="J13" s="64" t="s">
        <v>544</v>
      </c>
      <c r="K13" s="65"/>
      <c r="L13" s="65"/>
      <c r="M13" s="66"/>
      <c r="N13" s="48"/>
    </row>
    <row r="14" spans="1:14" ht="18" hidden="1" customHeight="1">
      <c r="A14" s="30">
        <v>11</v>
      </c>
      <c r="B14" s="31" t="s">
        <v>221</v>
      </c>
      <c r="C14" s="27" t="s">
        <v>30</v>
      </c>
      <c r="D14" s="26" t="s">
        <v>34</v>
      </c>
      <c r="E14" s="27" t="s">
        <v>122</v>
      </c>
      <c r="F14" s="26" t="s">
        <v>76</v>
      </c>
      <c r="G14" s="28">
        <v>656</v>
      </c>
      <c r="H14" s="28" t="s">
        <v>440</v>
      </c>
      <c r="I14" s="28"/>
      <c r="J14" s="64" t="s">
        <v>544</v>
      </c>
      <c r="K14" s="65"/>
      <c r="L14" s="65"/>
      <c r="M14" s="66"/>
      <c r="N14" s="48"/>
    </row>
    <row r="15" spans="1:14" ht="18" hidden="1" customHeight="1">
      <c r="A15" s="30">
        <v>12</v>
      </c>
      <c r="B15" s="31" t="s">
        <v>221</v>
      </c>
      <c r="C15" s="27" t="s">
        <v>30</v>
      </c>
      <c r="D15" s="26" t="s">
        <v>34</v>
      </c>
      <c r="E15" s="27" t="s">
        <v>56</v>
      </c>
      <c r="F15" s="26" t="s">
        <v>76</v>
      </c>
      <c r="G15" s="28">
        <v>656</v>
      </c>
      <c r="H15" s="28" t="s">
        <v>441</v>
      </c>
      <c r="I15" s="28"/>
      <c r="J15" s="64" t="s">
        <v>544</v>
      </c>
      <c r="K15" s="65"/>
      <c r="L15" s="65"/>
      <c r="M15" s="66"/>
      <c r="N15" s="48"/>
    </row>
    <row r="16" spans="1:14" ht="18" hidden="1" customHeight="1">
      <c r="A16" s="30">
        <v>13</v>
      </c>
      <c r="B16" s="31" t="s">
        <v>221</v>
      </c>
      <c r="C16" s="27" t="s">
        <v>30</v>
      </c>
      <c r="D16" s="26" t="s">
        <v>34</v>
      </c>
      <c r="E16" s="27" t="s">
        <v>58</v>
      </c>
      <c r="F16" s="26" t="s">
        <v>76</v>
      </c>
      <c r="G16" s="28">
        <v>656</v>
      </c>
      <c r="H16" s="28" t="s">
        <v>442</v>
      </c>
      <c r="I16" s="28"/>
      <c r="J16" s="64" t="s">
        <v>544</v>
      </c>
      <c r="K16" s="65"/>
      <c r="L16" s="65"/>
      <c r="M16" s="66"/>
      <c r="N16" s="48"/>
    </row>
    <row r="17" spans="1:14" ht="18" hidden="1" customHeight="1">
      <c r="A17" s="23">
        <v>14</v>
      </c>
      <c r="B17" s="24" t="s">
        <v>221</v>
      </c>
      <c r="C17" s="25" t="s">
        <v>37</v>
      </c>
      <c r="D17" s="26" t="s">
        <v>34</v>
      </c>
      <c r="E17" s="27" t="s">
        <v>122</v>
      </c>
      <c r="F17" s="26" t="s">
        <v>76</v>
      </c>
      <c r="G17" s="28">
        <v>656</v>
      </c>
      <c r="H17" s="28" t="s">
        <v>255</v>
      </c>
      <c r="I17" s="28"/>
      <c r="J17" s="64"/>
      <c r="K17" s="65"/>
      <c r="L17" s="65" t="s">
        <v>544</v>
      </c>
      <c r="M17" s="66"/>
      <c r="N17" s="48"/>
    </row>
    <row r="18" spans="1:14" ht="18" hidden="1" customHeight="1">
      <c r="A18" s="23">
        <v>15</v>
      </c>
      <c r="B18" s="24" t="s">
        <v>221</v>
      </c>
      <c r="C18" s="25" t="s">
        <v>129</v>
      </c>
      <c r="D18" s="26" t="s">
        <v>34</v>
      </c>
      <c r="E18" s="27" t="s">
        <v>118</v>
      </c>
      <c r="F18" s="26" t="s">
        <v>76</v>
      </c>
      <c r="G18" s="28">
        <v>652</v>
      </c>
      <c r="H18" s="28" t="s">
        <v>256</v>
      </c>
      <c r="I18" s="28"/>
      <c r="J18" s="64"/>
      <c r="K18" s="65"/>
      <c r="L18" s="65" t="s">
        <v>544</v>
      </c>
      <c r="M18" s="66"/>
      <c r="N18" s="48"/>
    </row>
    <row r="19" spans="1:14" ht="18" hidden="1" customHeight="1">
      <c r="A19" s="23">
        <v>16</v>
      </c>
      <c r="B19" s="24" t="s">
        <v>221</v>
      </c>
      <c r="C19" s="25" t="s">
        <v>129</v>
      </c>
      <c r="D19" s="26" t="s">
        <v>34</v>
      </c>
      <c r="E19" s="27" t="s">
        <v>48</v>
      </c>
      <c r="F19" s="26" t="s">
        <v>76</v>
      </c>
      <c r="G19" s="28">
        <v>652</v>
      </c>
      <c r="H19" s="28" t="s">
        <v>257</v>
      </c>
      <c r="I19" s="28"/>
      <c r="J19" s="64"/>
      <c r="K19" s="65"/>
      <c r="L19" s="65" t="s">
        <v>544</v>
      </c>
      <c r="M19" s="66"/>
      <c r="N19" s="48"/>
    </row>
    <row r="20" spans="1:14" ht="18" hidden="1" customHeight="1">
      <c r="A20" s="23">
        <v>17</v>
      </c>
      <c r="B20" s="24" t="s">
        <v>221</v>
      </c>
      <c r="C20" s="25" t="s">
        <v>129</v>
      </c>
      <c r="D20" s="26" t="s">
        <v>34</v>
      </c>
      <c r="E20" s="27" t="s">
        <v>123</v>
      </c>
      <c r="F20" s="26" t="s">
        <v>76</v>
      </c>
      <c r="G20" s="28">
        <v>652</v>
      </c>
      <c r="H20" s="28" t="s">
        <v>258</v>
      </c>
      <c r="I20" s="28"/>
      <c r="J20" s="64"/>
      <c r="K20" s="65"/>
      <c r="L20" s="65" t="s">
        <v>544</v>
      </c>
      <c r="M20" s="66"/>
      <c r="N20" s="48" t="s">
        <v>308</v>
      </c>
    </row>
    <row r="21" spans="1:14" ht="18" hidden="1" customHeight="1">
      <c r="A21" s="23">
        <v>18</v>
      </c>
      <c r="B21" s="24" t="s">
        <v>221</v>
      </c>
      <c r="C21" s="25" t="s">
        <v>129</v>
      </c>
      <c r="D21" s="26" t="s">
        <v>34</v>
      </c>
      <c r="E21" s="27" t="s">
        <v>41</v>
      </c>
      <c r="F21" s="26" t="s">
        <v>76</v>
      </c>
      <c r="G21" s="28">
        <v>652</v>
      </c>
      <c r="H21" s="28" t="s">
        <v>259</v>
      </c>
      <c r="I21" s="28"/>
      <c r="J21" s="64"/>
      <c r="K21" s="65"/>
      <c r="L21" s="65" t="s">
        <v>544</v>
      </c>
      <c r="M21" s="66"/>
      <c r="N21" s="48" t="s">
        <v>308</v>
      </c>
    </row>
    <row r="22" spans="1:14" ht="18" hidden="1" customHeight="1">
      <c r="A22" s="23">
        <v>19</v>
      </c>
      <c r="B22" s="24" t="s">
        <v>221</v>
      </c>
      <c r="C22" s="25" t="s">
        <v>130</v>
      </c>
      <c r="D22" s="26" t="s">
        <v>34</v>
      </c>
      <c r="E22" s="27" t="s">
        <v>124</v>
      </c>
      <c r="F22" s="26" t="s">
        <v>233</v>
      </c>
      <c r="G22" s="28">
        <v>658</v>
      </c>
      <c r="H22" s="28" t="s">
        <v>260</v>
      </c>
      <c r="I22" s="28"/>
      <c r="J22" s="64"/>
      <c r="K22" s="65"/>
      <c r="L22" s="65" t="s">
        <v>544</v>
      </c>
      <c r="M22" s="66"/>
      <c r="N22" s="48" t="s">
        <v>239</v>
      </c>
    </row>
    <row r="23" spans="1:14" ht="18" hidden="1" customHeight="1">
      <c r="A23" s="23">
        <v>20</v>
      </c>
      <c r="B23" s="24" t="s">
        <v>221</v>
      </c>
      <c r="C23" s="25" t="s">
        <v>443</v>
      </c>
      <c r="D23" s="26" t="s">
        <v>34</v>
      </c>
      <c r="E23" s="27" t="s">
        <v>126</v>
      </c>
      <c r="F23" s="26" t="s">
        <v>76</v>
      </c>
      <c r="G23" s="28">
        <v>652</v>
      </c>
      <c r="H23" s="28" t="s">
        <v>261</v>
      </c>
      <c r="I23" s="28"/>
      <c r="J23" s="64"/>
      <c r="K23" s="65"/>
      <c r="L23" s="65" t="s">
        <v>544</v>
      </c>
      <c r="M23" s="66"/>
      <c r="N23" s="48"/>
    </row>
    <row r="24" spans="1:14" ht="18" hidden="1" customHeight="1">
      <c r="A24" s="23">
        <v>21</v>
      </c>
      <c r="B24" s="24" t="s">
        <v>221</v>
      </c>
      <c r="C24" s="25" t="s">
        <v>49</v>
      </c>
      <c r="D24" s="26" t="s">
        <v>34</v>
      </c>
      <c r="E24" s="27" t="s">
        <v>125</v>
      </c>
      <c r="F24" s="26" t="s">
        <v>76</v>
      </c>
      <c r="G24" s="28"/>
      <c r="H24" s="28" t="s">
        <v>262</v>
      </c>
      <c r="I24" s="28"/>
      <c r="J24" s="64"/>
      <c r="K24" s="65"/>
      <c r="L24" s="65" t="s">
        <v>544</v>
      </c>
      <c r="M24" s="66"/>
      <c r="N24" s="48"/>
    </row>
    <row r="25" spans="1:14" ht="18" hidden="1" customHeight="1">
      <c r="A25" s="23">
        <v>22</v>
      </c>
      <c r="B25" s="24" t="s">
        <v>221</v>
      </c>
      <c r="C25" s="25" t="s">
        <v>37</v>
      </c>
      <c r="D25" s="26" t="s">
        <v>34</v>
      </c>
      <c r="E25" s="27" t="s">
        <v>126</v>
      </c>
      <c r="F25" s="26" t="s">
        <v>76</v>
      </c>
      <c r="G25" s="28">
        <v>657</v>
      </c>
      <c r="H25" s="28" t="s">
        <v>391</v>
      </c>
      <c r="I25" s="28"/>
      <c r="J25" s="64"/>
      <c r="K25" s="65"/>
      <c r="L25" s="65" t="s">
        <v>544</v>
      </c>
      <c r="M25" s="66"/>
      <c r="N25" s="48" t="s">
        <v>307</v>
      </c>
    </row>
    <row r="26" spans="1:14" ht="18" hidden="1" customHeight="1">
      <c r="A26" s="23">
        <v>23</v>
      </c>
      <c r="B26" s="24" t="s">
        <v>221</v>
      </c>
      <c r="C26" s="25" t="s">
        <v>128</v>
      </c>
      <c r="D26" s="26" t="s">
        <v>34</v>
      </c>
      <c r="E26" s="27" t="s">
        <v>122</v>
      </c>
      <c r="F26" s="26" t="s">
        <v>76</v>
      </c>
      <c r="G26" s="28"/>
      <c r="H26" s="28" t="s">
        <v>392</v>
      </c>
      <c r="I26" s="28"/>
      <c r="J26" s="64"/>
      <c r="K26" s="65"/>
      <c r="L26" s="65" t="s">
        <v>544</v>
      </c>
      <c r="M26" s="66"/>
      <c r="N26" s="48"/>
    </row>
    <row r="27" spans="1:14" ht="18" hidden="1" customHeight="1">
      <c r="A27" s="23">
        <v>24</v>
      </c>
      <c r="B27" s="24" t="s">
        <v>221</v>
      </c>
      <c r="C27" s="25" t="s">
        <v>129</v>
      </c>
      <c r="D27" s="26" t="s">
        <v>34</v>
      </c>
      <c r="E27" s="27" t="s">
        <v>3</v>
      </c>
      <c r="F27" s="26" t="s">
        <v>76</v>
      </c>
      <c r="G27" s="28">
        <v>652</v>
      </c>
      <c r="H27" s="28" t="s">
        <v>383</v>
      </c>
      <c r="I27" s="28"/>
      <c r="J27" s="64"/>
      <c r="K27" s="65"/>
      <c r="L27" s="65" t="s">
        <v>544</v>
      </c>
      <c r="M27" s="66"/>
      <c r="N27" s="48" t="s">
        <v>308</v>
      </c>
    </row>
    <row r="28" spans="1:14" ht="18" hidden="1" customHeight="1">
      <c r="A28" s="23">
        <v>25</v>
      </c>
      <c r="B28" s="24" t="s">
        <v>221</v>
      </c>
      <c r="C28" s="25" t="s">
        <v>128</v>
      </c>
      <c r="D28" s="26" t="s">
        <v>34</v>
      </c>
      <c r="E28" s="27" t="s">
        <v>39</v>
      </c>
      <c r="F28" s="26" t="s">
        <v>76</v>
      </c>
      <c r="G28" s="28"/>
      <c r="H28" s="28" t="s">
        <v>393</v>
      </c>
      <c r="I28" s="28"/>
      <c r="J28" s="64"/>
      <c r="K28" s="65"/>
      <c r="L28" s="65" t="s">
        <v>544</v>
      </c>
      <c r="M28" s="66"/>
      <c r="N28" s="48"/>
    </row>
    <row r="29" spans="1:14" ht="18" hidden="1" customHeight="1">
      <c r="A29" s="23">
        <v>26</v>
      </c>
      <c r="B29" s="24" t="s">
        <v>221</v>
      </c>
      <c r="C29" s="25" t="s">
        <v>127</v>
      </c>
      <c r="D29" s="26" t="s">
        <v>34</v>
      </c>
      <c r="E29" s="27" t="s">
        <v>52</v>
      </c>
      <c r="F29" s="26" t="s">
        <v>306</v>
      </c>
      <c r="G29" s="28"/>
      <c r="H29" s="28" t="s">
        <v>384</v>
      </c>
      <c r="I29" s="28"/>
      <c r="J29" s="64"/>
      <c r="K29" s="65"/>
      <c r="L29" s="65" t="s">
        <v>544</v>
      </c>
      <c r="M29" s="66"/>
      <c r="N29" s="49" t="s">
        <v>309</v>
      </c>
    </row>
    <row r="30" spans="1:14" ht="18" hidden="1" customHeight="1">
      <c r="A30" s="30">
        <v>27</v>
      </c>
      <c r="B30" s="31" t="s">
        <v>221</v>
      </c>
      <c r="C30" s="26" t="s">
        <v>131</v>
      </c>
      <c r="D30" s="26" t="s">
        <v>116</v>
      </c>
      <c r="E30" s="26" t="s">
        <v>147</v>
      </c>
      <c r="F30" s="26" t="s">
        <v>199</v>
      </c>
      <c r="G30" s="28"/>
      <c r="H30" s="28" t="s">
        <v>263</v>
      </c>
      <c r="I30" s="28"/>
      <c r="J30" s="64"/>
      <c r="K30" s="65"/>
      <c r="L30" s="65" t="s">
        <v>544</v>
      </c>
      <c r="M30" s="66"/>
      <c r="N30" s="48"/>
    </row>
    <row r="31" spans="1:14" ht="18" hidden="1" customHeight="1">
      <c r="A31" s="30">
        <v>28</v>
      </c>
      <c r="B31" s="31" t="s">
        <v>221</v>
      </c>
      <c r="C31" s="26" t="s">
        <v>132</v>
      </c>
      <c r="D31" s="26" t="s">
        <v>116</v>
      </c>
      <c r="E31" s="26" t="s">
        <v>147</v>
      </c>
      <c r="F31" s="26" t="s">
        <v>200</v>
      </c>
      <c r="G31" s="28"/>
      <c r="H31" s="28" t="s">
        <v>264</v>
      </c>
      <c r="I31" s="28"/>
      <c r="J31" s="64"/>
      <c r="K31" s="65" t="s">
        <v>544</v>
      </c>
      <c r="L31" s="65"/>
      <c r="M31" s="66"/>
      <c r="N31" s="48"/>
    </row>
    <row r="32" spans="1:14" ht="18" hidden="1" customHeight="1">
      <c r="A32" s="30">
        <v>29</v>
      </c>
      <c r="B32" s="31" t="s">
        <v>221</v>
      </c>
      <c r="C32" s="26" t="s">
        <v>133</v>
      </c>
      <c r="D32" s="26" t="s">
        <v>116</v>
      </c>
      <c r="E32" s="26" t="s">
        <v>147</v>
      </c>
      <c r="F32" s="26" t="s">
        <v>201</v>
      </c>
      <c r="G32" s="28"/>
      <c r="H32" s="28" t="s">
        <v>265</v>
      </c>
      <c r="I32" s="28"/>
      <c r="J32" s="64"/>
      <c r="K32" s="65" t="s">
        <v>544</v>
      </c>
      <c r="L32" s="65"/>
      <c r="M32" s="66"/>
      <c r="N32" s="48"/>
    </row>
    <row r="33" spans="1:16" ht="18" hidden="1" customHeight="1">
      <c r="A33" s="30">
        <v>30</v>
      </c>
      <c r="B33" s="31" t="s">
        <v>221</v>
      </c>
      <c r="C33" s="26" t="s">
        <v>134</v>
      </c>
      <c r="D33" s="26" t="s">
        <v>116</v>
      </c>
      <c r="E33" s="26" t="s">
        <v>147</v>
      </c>
      <c r="F33" s="26" t="s">
        <v>202</v>
      </c>
      <c r="G33" s="28"/>
      <c r="H33" s="28" t="s">
        <v>266</v>
      </c>
      <c r="I33" s="28"/>
      <c r="J33" s="64"/>
      <c r="K33" s="65" t="s">
        <v>544</v>
      </c>
      <c r="L33" s="65"/>
      <c r="M33" s="66"/>
      <c r="N33" s="48"/>
    </row>
    <row r="34" spans="1:16" ht="18" hidden="1" customHeight="1">
      <c r="A34" s="30">
        <v>31</v>
      </c>
      <c r="B34" s="31" t="s">
        <v>221</v>
      </c>
      <c r="C34" s="26" t="s">
        <v>135</v>
      </c>
      <c r="D34" s="26" t="s">
        <v>116</v>
      </c>
      <c r="E34" s="26" t="s">
        <v>147</v>
      </c>
      <c r="F34" s="26" t="s">
        <v>203</v>
      </c>
      <c r="G34" s="28"/>
      <c r="H34" s="28" t="s">
        <v>267</v>
      </c>
      <c r="I34" s="28"/>
      <c r="J34" s="64"/>
      <c r="K34" s="65" t="s">
        <v>544</v>
      </c>
      <c r="L34" s="65"/>
      <c r="M34" s="66"/>
      <c r="N34" s="48"/>
    </row>
    <row r="35" spans="1:16" ht="18" hidden="1" customHeight="1">
      <c r="A35" s="30">
        <v>32</v>
      </c>
      <c r="B35" s="31" t="s">
        <v>221</v>
      </c>
      <c r="C35" s="26" t="s">
        <v>136</v>
      </c>
      <c r="D35" s="26" t="s">
        <v>116</v>
      </c>
      <c r="E35" s="26" t="s">
        <v>147</v>
      </c>
      <c r="F35" s="26" t="s">
        <v>204</v>
      </c>
      <c r="G35" s="28"/>
      <c r="H35" s="28" t="s">
        <v>268</v>
      </c>
      <c r="I35" s="28"/>
      <c r="J35" s="64"/>
      <c r="K35" s="65" t="s">
        <v>544</v>
      </c>
      <c r="L35" s="65"/>
      <c r="M35" s="66"/>
      <c r="N35" s="48"/>
      <c r="P35">
        <f>17.5+23.5</f>
        <v>41</v>
      </c>
    </row>
    <row r="36" spans="1:16" ht="18" hidden="1" customHeight="1">
      <c r="A36" s="30">
        <v>33</v>
      </c>
      <c r="B36" s="31" t="s">
        <v>221</v>
      </c>
      <c r="C36" s="26" t="s">
        <v>137</v>
      </c>
      <c r="D36" s="26" t="s">
        <v>116</v>
      </c>
      <c r="E36" s="26" t="s">
        <v>147</v>
      </c>
      <c r="F36" s="26" t="s">
        <v>199</v>
      </c>
      <c r="G36" s="28"/>
      <c r="H36" s="28" t="s">
        <v>269</v>
      </c>
      <c r="I36" s="28"/>
      <c r="J36" s="64"/>
      <c r="K36" s="65" t="s">
        <v>544</v>
      </c>
      <c r="L36" s="65"/>
      <c r="M36" s="66"/>
      <c r="N36" s="48"/>
    </row>
    <row r="37" spans="1:16" ht="18" hidden="1" customHeight="1">
      <c r="A37" s="30">
        <v>34</v>
      </c>
      <c r="B37" s="31" t="s">
        <v>221</v>
      </c>
      <c r="C37" s="26" t="s">
        <v>138</v>
      </c>
      <c r="D37" s="26" t="s">
        <v>116</v>
      </c>
      <c r="E37" s="26" t="s">
        <v>147</v>
      </c>
      <c r="F37" s="26" t="s">
        <v>203</v>
      </c>
      <c r="G37" s="28"/>
      <c r="H37" s="28" t="s">
        <v>270</v>
      </c>
      <c r="I37" s="28"/>
      <c r="J37" s="64"/>
      <c r="K37" s="65" t="s">
        <v>544</v>
      </c>
      <c r="L37" s="65"/>
      <c r="M37" s="66"/>
      <c r="N37" s="48"/>
    </row>
    <row r="38" spans="1:16" ht="18" hidden="1" customHeight="1">
      <c r="A38" s="30">
        <v>35</v>
      </c>
      <c r="B38" s="31" t="s">
        <v>221</v>
      </c>
      <c r="C38" s="26" t="s">
        <v>139</v>
      </c>
      <c r="D38" s="26" t="s">
        <v>116</v>
      </c>
      <c r="E38" s="26" t="s">
        <v>147</v>
      </c>
      <c r="F38" s="26" t="s">
        <v>205</v>
      </c>
      <c r="G38" s="28"/>
      <c r="H38" s="28" t="s">
        <v>271</v>
      </c>
      <c r="I38" s="28"/>
      <c r="J38" s="64"/>
      <c r="K38" s="65" t="s">
        <v>544</v>
      </c>
      <c r="L38" s="65"/>
      <c r="M38" s="66"/>
      <c r="N38" s="48"/>
    </row>
    <row r="39" spans="1:16" ht="18" hidden="1" customHeight="1">
      <c r="A39" s="30">
        <v>36</v>
      </c>
      <c r="B39" s="31" t="s">
        <v>221</v>
      </c>
      <c r="C39" s="26" t="s">
        <v>140</v>
      </c>
      <c r="D39" s="26" t="s">
        <v>116</v>
      </c>
      <c r="E39" s="26" t="s">
        <v>147</v>
      </c>
      <c r="F39" s="26" t="s">
        <v>205</v>
      </c>
      <c r="G39" s="32"/>
      <c r="H39" s="28" t="s">
        <v>272</v>
      </c>
      <c r="I39" s="32"/>
      <c r="J39" s="67"/>
      <c r="K39" s="65" t="s">
        <v>544</v>
      </c>
      <c r="L39" s="68"/>
      <c r="M39" s="69"/>
      <c r="N39" s="48"/>
    </row>
    <row r="40" spans="1:16" ht="18" hidden="1" customHeight="1">
      <c r="A40" s="30">
        <v>37</v>
      </c>
      <c r="B40" s="31" t="s">
        <v>221</v>
      </c>
      <c r="C40" s="26" t="s">
        <v>141</v>
      </c>
      <c r="D40" s="26" t="s">
        <v>116</v>
      </c>
      <c r="E40" s="26" t="s">
        <v>147</v>
      </c>
      <c r="F40" s="26" t="s">
        <v>205</v>
      </c>
      <c r="G40" s="32"/>
      <c r="H40" s="28" t="s">
        <v>273</v>
      </c>
      <c r="I40" s="32"/>
      <c r="J40" s="67"/>
      <c r="K40" s="65" t="s">
        <v>544</v>
      </c>
      <c r="L40" s="68"/>
      <c r="M40" s="69"/>
      <c r="N40" s="48"/>
    </row>
    <row r="41" spans="1:16" ht="18" hidden="1" customHeight="1">
      <c r="A41" s="30">
        <v>38</v>
      </c>
      <c r="B41" s="31" t="s">
        <v>221</v>
      </c>
      <c r="C41" s="26" t="s">
        <v>142</v>
      </c>
      <c r="D41" s="26" t="s">
        <v>116</v>
      </c>
      <c r="E41" s="26" t="s">
        <v>147</v>
      </c>
      <c r="F41" s="26" t="s">
        <v>202</v>
      </c>
      <c r="G41" s="28"/>
      <c r="H41" s="28" t="s">
        <v>274</v>
      </c>
      <c r="I41" s="28"/>
      <c r="J41" s="64"/>
      <c r="K41" s="65" t="s">
        <v>544</v>
      </c>
      <c r="L41" s="65"/>
      <c r="M41" s="66"/>
      <c r="N41" s="48"/>
    </row>
    <row r="42" spans="1:16" ht="18" hidden="1" customHeight="1">
      <c r="A42" s="30">
        <v>39</v>
      </c>
      <c r="B42" s="31" t="s">
        <v>221</v>
      </c>
      <c r="C42" s="26" t="s">
        <v>143</v>
      </c>
      <c r="D42" s="26" t="s">
        <v>116</v>
      </c>
      <c r="E42" s="26" t="s">
        <v>147</v>
      </c>
      <c r="F42" s="26" t="s">
        <v>202</v>
      </c>
      <c r="G42" s="28"/>
      <c r="H42" s="28" t="s">
        <v>275</v>
      </c>
      <c r="I42" s="28"/>
      <c r="J42" s="64"/>
      <c r="K42" s="65" t="s">
        <v>544</v>
      </c>
      <c r="L42" s="65"/>
      <c r="M42" s="66"/>
      <c r="N42" s="48"/>
    </row>
    <row r="43" spans="1:16" ht="18" hidden="1" customHeight="1">
      <c r="A43" s="30">
        <v>40</v>
      </c>
      <c r="B43" s="31" t="s">
        <v>221</v>
      </c>
      <c r="C43" s="26" t="s">
        <v>144</v>
      </c>
      <c r="D43" s="26" t="s">
        <v>116</v>
      </c>
      <c r="E43" s="26" t="s">
        <v>147</v>
      </c>
      <c r="F43" s="26" t="s">
        <v>206</v>
      </c>
      <c r="G43" s="28"/>
      <c r="H43" s="28" t="s">
        <v>276</v>
      </c>
      <c r="I43" s="28"/>
      <c r="J43" s="64"/>
      <c r="K43" s="65" t="s">
        <v>544</v>
      </c>
      <c r="L43" s="65"/>
      <c r="M43" s="66"/>
      <c r="N43" s="48"/>
    </row>
    <row r="44" spans="1:16" ht="18" hidden="1" customHeight="1">
      <c r="A44" s="30">
        <v>41</v>
      </c>
      <c r="B44" s="31" t="s">
        <v>221</v>
      </c>
      <c r="C44" s="26" t="s">
        <v>145</v>
      </c>
      <c r="D44" s="26" t="s">
        <v>116</v>
      </c>
      <c r="E44" s="26" t="s">
        <v>147</v>
      </c>
      <c r="F44" s="26" t="s">
        <v>206</v>
      </c>
      <c r="G44" s="28"/>
      <c r="H44" s="28" t="s">
        <v>277</v>
      </c>
      <c r="I44" s="28"/>
      <c r="J44" s="64"/>
      <c r="K44" s="65" t="s">
        <v>544</v>
      </c>
      <c r="L44" s="65"/>
      <c r="M44" s="66"/>
      <c r="N44" s="48"/>
    </row>
    <row r="45" spans="1:16" ht="18" hidden="1" customHeight="1">
      <c r="A45" s="30">
        <v>42</v>
      </c>
      <c r="B45" s="31" t="s">
        <v>221</v>
      </c>
      <c r="C45" s="26" t="s">
        <v>146</v>
      </c>
      <c r="D45" s="26" t="s">
        <v>116</v>
      </c>
      <c r="E45" s="26" t="s">
        <v>147</v>
      </c>
      <c r="F45" s="26" t="s">
        <v>207</v>
      </c>
      <c r="G45" s="28"/>
      <c r="H45" s="28" t="s">
        <v>278</v>
      </c>
      <c r="I45" s="28"/>
      <c r="J45" s="64"/>
      <c r="K45" s="65" t="s">
        <v>544</v>
      </c>
      <c r="L45" s="65"/>
      <c r="M45" s="66"/>
      <c r="N45" s="48"/>
    </row>
    <row r="46" spans="1:16" ht="18" hidden="1" customHeight="1">
      <c r="A46" s="30">
        <v>43</v>
      </c>
      <c r="B46" s="31" t="s">
        <v>221</v>
      </c>
      <c r="C46" s="26" t="s">
        <v>28</v>
      </c>
      <c r="D46" s="26" t="s">
        <v>8</v>
      </c>
      <c r="E46" s="26" t="s">
        <v>147</v>
      </c>
      <c r="F46" s="26" t="s">
        <v>194</v>
      </c>
      <c r="G46" s="28"/>
      <c r="H46" s="28" t="s">
        <v>279</v>
      </c>
      <c r="I46" s="28"/>
      <c r="J46" s="64"/>
      <c r="K46" s="65" t="s">
        <v>544</v>
      </c>
      <c r="L46" s="65"/>
      <c r="M46" s="66"/>
      <c r="N46" s="48"/>
    </row>
    <row r="47" spans="1:16" ht="18" hidden="1" customHeight="1">
      <c r="A47" s="30">
        <v>44</v>
      </c>
      <c r="B47" s="31" t="s">
        <v>221</v>
      </c>
      <c r="C47" s="26" t="s">
        <v>152</v>
      </c>
      <c r="D47" s="26" t="s">
        <v>8</v>
      </c>
      <c r="E47" s="26" t="s">
        <v>147</v>
      </c>
      <c r="F47" s="26" t="s">
        <v>194</v>
      </c>
      <c r="G47" s="28"/>
      <c r="H47" s="28" t="s">
        <v>280</v>
      </c>
      <c r="I47" s="28"/>
      <c r="J47" s="64"/>
      <c r="K47" s="65" t="s">
        <v>544</v>
      </c>
      <c r="L47" s="65"/>
      <c r="M47" s="66"/>
      <c r="N47" s="48"/>
    </row>
    <row r="48" spans="1:16" ht="18" hidden="1" customHeight="1">
      <c r="A48" s="30">
        <v>45</v>
      </c>
      <c r="B48" s="31" t="s">
        <v>221</v>
      </c>
      <c r="C48" s="26" t="s">
        <v>153</v>
      </c>
      <c r="D48" s="26" t="s">
        <v>8</v>
      </c>
      <c r="E48" s="26" t="s">
        <v>147</v>
      </c>
      <c r="F48" s="26" t="s">
        <v>195</v>
      </c>
      <c r="G48" s="28"/>
      <c r="H48" s="28" t="s">
        <v>281</v>
      </c>
      <c r="I48" s="28"/>
      <c r="J48" s="64"/>
      <c r="K48" s="65" t="s">
        <v>544</v>
      </c>
      <c r="L48" s="65"/>
      <c r="M48" s="66"/>
      <c r="N48" s="48"/>
    </row>
    <row r="49" spans="1:14" ht="18" hidden="1" customHeight="1">
      <c r="A49" s="30">
        <v>46</v>
      </c>
      <c r="B49" s="31" t="s">
        <v>221</v>
      </c>
      <c r="C49" s="26" t="s">
        <v>154</v>
      </c>
      <c r="D49" s="26" t="s">
        <v>8</v>
      </c>
      <c r="E49" s="26" t="s">
        <v>147</v>
      </c>
      <c r="F49" s="26" t="s">
        <v>195</v>
      </c>
      <c r="G49" s="28"/>
      <c r="H49" s="28" t="s">
        <v>282</v>
      </c>
      <c r="I49" s="28"/>
      <c r="J49" s="64"/>
      <c r="K49" s="65" t="s">
        <v>544</v>
      </c>
      <c r="L49" s="65"/>
      <c r="M49" s="66"/>
      <c r="N49" s="48"/>
    </row>
    <row r="50" spans="1:14" ht="18" hidden="1" customHeight="1">
      <c r="A50" s="30">
        <v>47</v>
      </c>
      <c r="B50" s="31" t="s">
        <v>221</v>
      </c>
      <c r="C50" s="26" t="s">
        <v>155</v>
      </c>
      <c r="D50" s="26" t="s">
        <v>8</v>
      </c>
      <c r="E50" s="26" t="s">
        <v>147</v>
      </c>
      <c r="F50" s="26" t="s">
        <v>195</v>
      </c>
      <c r="G50" s="28"/>
      <c r="H50" s="28" t="s">
        <v>283</v>
      </c>
      <c r="I50" s="28"/>
      <c r="J50" s="64"/>
      <c r="K50" s="65" t="s">
        <v>544</v>
      </c>
      <c r="L50" s="65"/>
      <c r="M50" s="66"/>
      <c r="N50" s="48"/>
    </row>
    <row r="51" spans="1:14" ht="18" hidden="1" customHeight="1">
      <c r="A51" s="30">
        <v>48</v>
      </c>
      <c r="B51" s="31" t="s">
        <v>221</v>
      </c>
      <c r="C51" s="26" t="s">
        <v>156</v>
      </c>
      <c r="D51" s="26" t="s">
        <v>8</v>
      </c>
      <c r="E51" s="26" t="s">
        <v>147</v>
      </c>
      <c r="F51" s="26" t="s">
        <v>195</v>
      </c>
      <c r="G51" s="28"/>
      <c r="H51" s="28" t="s">
        <v>284</v>
      </c>
      <c r="I51" s="28"/>
      <c r="J51" s="64"/>
      <c r="K51" s="65" t="s">
        <v>544</v>
      </c>
      <c r="L51" s="65"/>
      <c r="M51" s="66"/>
      <c r="N51" s="48"/>
    </row>
    <row r="52" spans="1:14" ht="18" hidden="1" customHeight="1">
      <c r="A52" s="30">
        <v>49</v>
      </c>
      <c r="B52" s="31" t="s">
        <v>221</v>
      </c>
      <c r="C52" s="26" t="s">
        <v>157</v>
      </c>
      <c r="D52" s="26" t="s">
        <v>8</v>
      </c>
      <c r="E52" s="26" t="s">
        <v>147</v>
      </c>
      <c r="F52" s="26" t="s">
        <v>195</v>
      </c>
      <c r="G52" s="28"/>
      <c r="H52" s="28" t="s">
        <v>285</v>
      </c>
      <c r="I52" s="28"/>
      <c r="J52" s="64"/>
      <c r="K52" s="65" t="s">
        <v>544</v>
      </c>
      <c r="L52" s="65"/>
      <c r="M52" s="66"/>
      <c r="N52" s="48"/>
    </row>
    <row r="53" spans="1:14" ht="18" hidden="1" customHeight="1">
      <c r="A53" s="30">
        <v>50</v>
      </c>
      <c r="B53" s="31" t="s">
        <v>221</v>
      </c>
      <c r="C53" s="26" t="s">
        <v>158</v>
      </c>
      <c r="D53" s="26" t="s">
        <v>8</v>
      </c>
      <c r="E53" s="26" t="s">
        <v>147</v>
      </c>
      <c r="F53" s="26" t="s">
        <v>195</v>
      </c>
      <c r="G53" s="28"/>
      <c r="H53" s="28" t="s">
        <v>286</v>
      </c>
      <c r="I53" s="28"/>
      <c r="J53" s="64"/>
      <c r="K53" s="65" t="s">
        <v>544</v>
      </c>
      <c r="L53" s="65"/>
      <c r="M53" s="66"/>
      <c r="N53" s="48"/>
    </row>
    <row r="54" spans="1:14" ht="18" hidden="1" customHeight="1">
      <c r="A54" s="30">
        <v>51</v>
      </c>
      <c r="B54" s="31" t="s">
        <v>221</v>
      </c>
      <c r="C54" s="26" t="s">
        <v>159</v>
      </c>
      <c r="D54" s="26" t="s">
        <v>8</v>
      </c>
      <c r="E54" s="26" t="s">
        <v>147</v>
      </c>
      <c r="F54" s="26" t="s">
        <v>196</v>
      </c>
      <c r="G54" s="28"/>
      <c r="H54" s="28" t="s">
        <v>287</v>
      </c>
      <c r="I54" s="28"/>
      <c r="J54" s="64"/>
      <c r="K54" s="65" t="s">
        <v>544</v>
      </c>
      <c r="L54" s="65"/>
      <c r="M54" s="66"/>
      <c r="N54" s="48"/>
    </row>
    <row r="55" spans="1:14" ht="18" hidden="1" customHeight="1">
      <c r="A55" s="30">
        <v>52</v>
      </c>
      <c r="B55" s="31" t="s">
        <v>221</v>
      </c>
      <c r="C55" s="26" t="s">
        <v>160</v>
      </c>
      <c r="D55" s="26" t="s">
        <v>8</v>
      </c>
      <c r="E55" s="26" t="s">
        <v>147</v>
      </c>
      <c r="F55" s="26" t="s">
        <v>362</v>
      </c>
      <c r="G55" s="28">
        <v>847</v>
      </c>
      <c r="H55" s="28" t="s">
        <v>288</v>
      </c>
      <c r="I55" s="28"/>
      <c r="J55" s="64"/>
      <c r="K55" s="65" t="s">
        <v>544</v>
      </c>
      <c r="L55" s="65"/>
      <c r="M55" s="66"/>
      <c r="N55" s="48"/>
    </row>
    <row r="56" spans="1:14" ht="18" hidden="1" customHeight="1">
      <c r="A56" s="30">
        <v>53</v>
      </c>
      <c r="B56" s="31" t="s">
        <v>221</v>
      </c>
      <c r="C56" s="26" t="s">
        <v>161</v>
      </c>
      <c r="D56" s="26" t="s">
        <v>8</v>
      </c>
      <c r="E56" s="26" t="s">
        <v>147</v>
      </c>
      <c r="F56" s="26" t="s">
        <v>196</v>
      </c>
      <c r="G56" s="28"/>
      <c r="H56" s="28" t="s">
        <v>289</v>
      </c>
      <c r="I56" s="28"/>
      <c r="J56" s="64"/>
      <c r="K56" s="65" t="s">
        <v>544</v>
      </c>
      <c r="L56" s="65"/>
      <c r="M56" s="66"/>
      <c r="N56" s="48"/>
    </row>
    <row r="57" spans="1:14" ht="18" hidden="1" customHeight="1">
      <c r="A57" s="30">
        <v>54</v>
      </c>
      <c r="B57" s="31" t="s">
        <v>221</v>
      </c>
      <c r="C57" s="26" t="s">
        <v>162</v>
      </c>
      <c r="D57" s="26" t="s">
        <v>8</v>
      </c>
      <c r="E57" s="26" t="s">
        <v>147</v>
      </c>
      <c r="F57" s="26" t="s">
        <v>363</v>
      </c>
      <c r="G57" s="28">
        <v>807</v>
      </c>
      <c r="H57" s="28" t="s">
        <v>290</v>
      </c>
      <c r="I57" s="28"/>
      <c r="J57" s="64"/>
      <c r="K57" s="65" t="s">
        <v>544</v>
      </c>
      <c r="L57" s="65"/>
      <c r="M57" s="66"/>
      <c r="N57" s="48"/>
    </row>
    <row r="58" spans="1:14" ht="18" hidden="1" customHeight="1">
      <c r="A58" s="30">
        <v>55</v>
      </c>
      <c r="B58" s="31" t="s">
        <v>221</v>
      </c>
      <c r="C58" s="26" t="s">
        <v>163</v>
      </c>
      <c r="D58" s="26" t="s">
        <v>8</v>
      </c>
      <c r="E58" s="26" t="s">
        <v>147</v>
      </c>
      <c r="F58" s="26" t="s">
        <v>362</v>
      </c>
      <c r="G58" s="28">
        <v>850</v>
      </c>
      <c r="H58" s="28" t="s">
        <v>291</v>
      </c>
      <c r="I58" s="28"/>
      <c r="J58" s="64"/>
      <c r="K58" s="65" t="s">
        <v>544</v>
      </c>
      <c r="L58" s="65"/>
      <c r="M58" s="66"/>
      <c r="N58" s="48"/>
    </row>
    <row r="59" spans="1:14" ht="18" hidden="1" customHeight="1">
      <c r="A59" s="30">
        <v>56</v>
      </c>
      <c r="B59" s="31" t="s">
        <v>221</v>
      </c>
      <c r="C59" s="26" t="s">
        <v>444</v>
      </c>
      <c r="D59" s="26" t="s">
        <v>8</v>
      </c>
      <c r="E59" s="26" t="s">
        <v>147</v>
      </c>
      <c r="F59" s="26" t="s">
        <v>532</v>
      </c>
      <c r="G59" s="28">
        <v>1370</v>
      </c>
      <c r="H59" s="28" t="s">
        <v>292</v>
      </c>
      <c r="I59" s="28"/>
      <c r="J59" s="64"/>
      <c r="K59" s="65" t="s">
        <v>544</v>
      </c>
      <c r="L59" s="65"/>
      <c r="M59" s="66"/>
      <c r="N59" s="48"/>
    </row>
    <row r="60" spans="1:14" ht="18" hidden="1" customHeight="1">
      <c r="A60" s="30">
        <v>57</v>
      </c>
      <c r="B60" s="31" t="s">
        <v>221</v>
      </c>
      <c r="C60" s="26" t="s">
        <v>164</v>
      </c>
      <c r="D60" s="26" t="s">
        <v>8</v>
      </c>
      <c r="E60" s="26" t="s">
        <v>147</v>
      </c>
      <c r="F60" s="26" t="s">
        <v>361</v>
      </c>
      <c r="G60" s="28">
        <v>1457</v>
      </c>
      <c r="H60" s="28" t="s">
        <v>294</v>
      </c>
      <c r="I60" s="28"/>
      <c r="J60" s="64"/>
      <c r="K60" s="65" t="s">
        <v>544</v>
      </c>
      <c r="L60" s="65"/>
      <c r="M60" s="66"/>
      <c r="N60" s="48"/>
    </row>
    <row r="61" spans="1:14" ht="18" hidden="1" customHeight="1">
      <c r="A61" s="30">
        <v>58</v>
      </c>
      <c r="B61" s="31" t="s">
        <v>221</v>
      </c>
      <c r="C61" s="26" t="s">
        <v>165</v>
      </c>
      <c r="D61" s="26" t="s">
        <v>7</v>
      </c>
      <c r="E61" s="26" t="s">
        <v>4</v>
      </c>
      <c r="F61" s="26" t="s">
        <v>77</v>
      </c>
      <c r="G61" s="28">
        <v>580</v>
      </c>
      <c r="H61" s="28" t="s">
        <v>445</v>
      </c>
      <c r="I61" s="28"/>
      <c r="J61" s="64" t="s">
        <v>544</v>
      </c>
      <c r="K61" s="65"/>
      <c r="L61" s="65"/>
      <c r="M61" s="66"/>
      <c r="N61" s="48"/>
    </row>
    <row r="62" spans="1:14" ht="18" hidden="1" customHeight="1">
      <c r="A62" s="46">
        <v>59</v>
      </c>
      <c r="B62" s="50" t="s">
        <v>221</v>
      </c>
      <c r="C62" s="44" t="s">
        <v>165</v>
      </c>
      <c r="D62" s="44" t="s">
        <v>7</v>
      </c>
      <c r="E62" s="44" t="s">
        <v>150</v>
      </c>
      <c r="F62" s="44" t="s">
        <v>77</v>
      </c>
      <c r="G62" s="45">
        <v>580</v>
      </c>
      <c r="H62" s="45" t="s">
        <v>449</v>
      </c>
      <c r="I62" s="45" t="s">
        <v>555</v>
      </c>
      <c r="J62" s="70"/>
      <c r="K62" s="71"/>
      <c r="L62" s="71"/>
      <c r="M62" s="72" t="s">
        <v>544</v>
      </c>
      <c r="N62" s="48"/>
    </row>
    <row r="63" spans="1:14" ht="18" hidden="1" customHeight="1">
      <c r="A63" s="30">
        <v>60</v>
      </c>
      <c r="B63" s="31" t="s">
        <v>221</v>
      </c>
      <c r="C63" s="26" t="s">
        <v>165</v>
      </c>
      <c r="D63" s="26" t="s">
        <v>7</v>
      </c>
      <c r="E63" s="26" t="s">
        <v>38</v>
      </c>
      <c r="F63" s="26" t="s">
        <v>77</v>
      </c>
      <c r="G63" s="28">
        <v>580</v>
      </c>
      <c r="H63" s="28" t="s">
        <v>450</v>
      </c>
      <c r="I63" s="28"/>
      <c r="J63" s="64" t="s">
        <v>544</v>
      </c>
      <c r="K63" s="65"/>
      <c r="L63" s="65"/>
      <c r="M63" s="66"/>
      <c r="N63" s="48" t="s">
        <v>310</v>
      </c>
    </row>
    <row r="64" spans="1:14" ht="18" hidden="1" customHeight="1">
      <c r="A64" s="30">
        <v>61</v>
      </c>
      <c r="B64" s="31" t="s">
        <v>221</v>
      </c>
      <c r="C64" s="26" t="s">
        <v>165</v>
      </c>
      <c r="D64" s="26" t="s">
        <v>7</v>
      </c>
      <c r="E64" s="26" t="s">
        <v>151</v>
      </c>
      <c r="F64" s="26" t="s">
        <v>77</v>
      </c>
      <c r="G64" s="28">
        <v>580</v>
      </c>
      <c r="H64" s="28" t="s">
        <v>451</v>
      </c>
      <c r="I64" s="28"/>
      <c r="J64" s="64" t="s">
        <v>544</v>
      </c>
      <c r="K64" s="65"/>
      <c r="L64" s="65"/>
      <c r="M64" s="66"/>
      <c r="N64" s="48"/>
    </row>
    <row r="65" spans="1:14" ht="18" hidden="1" customHeight="1">
      <c r="A65" s="30">
        <v>62</v>
      </c>
      <c r="B65" s="31" t="s">
        <v>221</v>
      </c>
      <c r="C65" s="26" t="s">
        <v>165</v>
      </c>
      <c r="D65" s="26" t="s">
        <v>7</v>
      </c>
      <c r="E65" s="26" t="s">
        <v>124</v>
      </c>
      <c r="F65" s="26" t="s">
        <v>77</v>
      </c>
      <c r="G65" s="28">
        <v>580</v>
      </c>
      <c r="H65" s="28" t="s">
        <v>447</v>
      </c>
      <c r="I65" s="28"/>
      <c r="J65" s="64" t="s">
        <v>544</v>
      </c>
      <c r="K65" s="65"/>
      <c r="L65" s="65"/>
      <c r="M65" s="66"/>
      <c r="N65" s="48" t="s">
        <v>232</v>
      </c>
    </row>
    <row r="66" spans="1:14" ht="18" hidden="1" customHeight="1">
      <c r="A66" s="30">
        <v>63</v>
      </c>
      <c r="B66" s="31" t="s">
        <v>221</v>
      </c>
      <c r="C66" s="26" t="s">
        <v>17</v>
      </c>
      <c r="D66" s="26" t="s">
        <v>7</v>
      </c>
      <c r="E66" s="26" t="s">
        <v>4</v>
      </c>
      <c r="F66" s="26" t="s">
        <v>77</v>
      </c>
      <c r="G66" s="28">
        <v>580</v>
      </c>
      <c r="H66" s="28" t="s">
        <v>452</v>
      </c>
      <c r="I66" s="28"/>
      <c r="J66" s="64" t="s">
        <v>544</v>
      </c>
      <c r="K66" s="65"/>
      <c r="L66" s="65"/>
      <c r="M66" s="66"/>
      <c r="N66" s="48"/>
    </row>
    <row r="67" spans="1:14" ht="18" hidden="1" customHeight="1">
      <c r="A67" s="30">
        <v>64</v>
      </c>
      <c r="B67" s="31" t="s">
        <v>221</v>
      </c>
      <c r="C67" s="26" t="s">
        <v>17</v>
      </c>
      <c r="D67" s="26" t="s">
        <v>7</v>
      </c>
      <c r="E67" s="26" t="s">
        <v>38</v>
      </c>
      <c r="F67" s="26" t="s">
        <v>77</v>
      </c>
      <c r="G67" s="28">
        <v>580</v>
      </c>
      <c r="H67" s="28" t="s">
        <v>453</v>
      </c>
      <c r="I67" s="28"/>
      <c r="J67" s="64" t="s">
        <v>544</v>
      </c>
      <c r="K67" s="65"/>
      <c r="L67" s="65"/>
      <c r="M67" s="66"/>
      <c r="N67" s="48"/>
    </row>
    <row r="68" spans="1:14" ht="18" hidden="1" customHeight="1">
      <c r="A68" s="30">
        <v>65</v>
      </c>
      <c r="B68" s="31" t="s">
        <v>221</v>
      </c>
      <c r="C68" s="26" t="s">
        <v>166</v>
      </c>
      <c r="D68" s="26" t="s">
        <v>7</v>
      </c>
      <c r="E68" s="26" t="s">
        <v>4</v>
      </c>
      <c r="F68" s="26" t="s">
        <v>77</v>
      </c>
      <c r="G68" s="28">
        <v>580</v>
      </c>
      <c r="H68" s="28" t="s">
        <v>448</v>
      </c>
      <c r="I68" s="28"/>
      <c r="J68" s="64" t="s">
        <v>544</v>
      </c>
      <c r="K68" s="65"/>
      <c r="L68" s="65"/>
      <c r="M68" s="66"/>
      <c r="N68" s="48"/>
    </row>
    <row r="69" spans="1:14" ht="18" hidden="1" customHeight="1">
      <c r="A69" s="30">
        <v>66</v>
      </c>
      <c r="B69" s="31" t="s">
        <v>221</v>
      </c>
      <c r="C69" s="26" t="s">
        <v>166</v>
      </c>
      <c r="D69" s="26" t="s">
        <v>7</v>
      </c>
      <c r="E69" s="26" t="s">
        <v>148</v>
      </c>
      <c r="F69" s="26" t="s">
        <v>77</v>
      </c>
      <c r="G69" s="28">
        <v>580</v>
      </c>
      <c r="H69" s="28" t="s">
        <v>446</v>
      </c>
      <c r="I69" s="51"/>
      <c r="J69" s="73" t="s">
        <v>544</v>
      </c>
      <c r="K69" s="74"/>
      <c r="L69" s="74"/>
      <c r="M69" s="75"/>
      <c r="N69" s="48"/>
    </row>
    <row r="70" spans="1:14" ht="18" hidden="1" customHeight="1">
      <c r="A70" s="30">
        <v>67</v>
      </c>
      <c r="B70" s="31" t="s">
        <v>221</v>
      </c>
      <c r="C70" s="26" t="s">
        <v>166</v>
      </c>
      <c r="D70" s="26" t="s">
        <v>7</v>
      </c>
      <c r="E70" s="26" t="s">
        <v>149</v>
      </c>
      <c r="F70" s="26" t="s">
        <v>77</v>
      </c>
      <c r="G70" s="28">
        <v>580</v>
      </c>
      <c r="H70" s="28" t="s">
        <v>454</v>
      </c>
      <c r="I70" s="28"/>
      <c r="J70" s="64" t="s">
        <v>544</v>
      </c>
      <c r="K70" s="65"/>
      <c r="L70" s="65"/>
      <c r="M70" s="66"/>
      <c r="N70" s="48"/>
    </row>
    <row r="71" spans="1:14" ht="18" hidden="1" customHeight="1">
      <c r="A71" s="30">
        <v>68</v>
      </c>
      <c r="B71" s="31" t="s">
        <v>221</v>
      </c>
      <c r="C71" s="26" t="s">
        <v>167</v>
      </c>
      <c r="D71" s="26" t="s">
        <v>7</v>
      </c>
      <c r="E71" s="26" t="s">
        <v>124</v>
      </c>
      <c r="F71" s="26" t="s">
        <v>79</v>
      </c>
      <c r="G71" s="28">
        <v>950</v>
      </c>
      <c r="H71" s="28" t="s">
        <v>455</v>
      </c>
      <c r="I71" s="28"/>
      <c r="J71" s="64" t="s">
        <v>544</v>
      </c>
      <c r="K71" s="65"/>
      <c r="L71" s="65"/>
      <c r="M71" s="66"/>
      <c r="N71" s="48" t="s">
        <v>232</v>
      </c>
    </row>
    <row r="72" spans="1:14" ht="18" hidden="1" customHeight="1">
      <c r="A72" s="30">
        <v>69</v>
      </c>
      <c r="B72" s="31" t="s">
        <v>221</v>
      </c>
      <c r="C72" s="26" t="s">
        <v>168</v>
      </c>
      <c r="D72" s="26" t="s">
        <v>7</v>
      </c>
      <c r="E72" s="26" t="s">
        <v>147</v>
      </c>
      <c r="F72" s="26" t="s">
        <v>80</v>
      </c>
      <c r="G72" s="28">
        <v>1283</v>
      </c>
      <c r="H72" s="28" t="s">
        <v>456</v>
      </c>
      <c r="I72" s="28"/>
      <c r="J72" s="64" t="s">
        <v>544</v>
      </c>
      <c r="K72" s="65"/>
      <c r="L72" s="65"/>
      <c r="M72" s="66"/>
      <c r="N72" s="48" t="s">
        <v>302</v>
      </c>
    </row>
    <row r="73" spans="1:14" ht="18" hidden="1" customHeight="1">
      <c r="A73" s="30">
        <v>70</v>
      </c>
      <c r="B73" s="31" t="s">
        <v>221</v>
      </c>
      <c r="C73" s="26" t="s">
        <v>169</v>
      </c>
      <c r="D73" s="26" t="s">
        <v>7</v>
      </c>
      <c r="E73" s="26" t="s">
        <v>147</v>
      </c>
      <c r="F73" s="26" t="s">
        <v>78</v>
      </c>
      <c r="G73" s="28">
        <v>967</v>
      </c>
      <c r="H73" s="28" t="s">
        <v>457</v>
      </c>
      <c r="I73" s="28"/>
      <c r="J73" s="64" t="s">
        <v>544</v>
      </c>
      <c r="K73" s="65"/>
      <c r="L73" s="65"/>
      <c r="M73" s="66"/>
      <c r="N73" s="48" t="s">
        <v>302</v>
      </c>
    </row>
    <row r="74" spans="1:14" ht="18" hidden="1" customHeight="1">
      <c r="A74" s="46">
        <v>71</v>
      </c>
      <c r="B74" s="50" t="s">
        <v>221</v>
      </c>
      <c r="C74" s="44" t="s">
        <v>18</v>
      </c>
      <c r="D74" s="44" t="s">
        <v>7</v>
      </c>
      <c r="E74" s="44" t="s">
        <v>148</v>
      </c>
      <c r="F74" s="44" t="s">
        <v>87</v>
      </c>
      <c r="G74" s="45">
        <v>750</v>
      </c>
      <c r="H74" s="45" t="s">
        <v>458</v>
      </c>
      <c r="I74" s="45" t="s">
        <v>555</v>
      </c>
      <c r="J74" s="70"/>
      <c r="K74" s="71"/>
      <c r="L74" s="71"/>
      <c r="M74" s="72" t="s">
        <v>544</v>
      </c>
      <c r="N74" s="48" t="s">
        <v>310</v>
      </c>
    </row>
    <row r="75" spans="1:14" ht="18" hidden="1" customHeight="1">
      <c r="A75" s="30">
        <v>72</v>
      </c>
      <c r="B75" s="31" t="s">
        <v>221</v>
      </c>
      <c r="C75" s="26" t="s">
        <v>18</v>
      </c>
      <c r="D75" s="26" t="s">
        <v>7</v>
      </c>
      <c r="E75" s="26" t="s">
        <v>38</v>
      </c>
      <c r="F75" s="26" t="s">
        <v>87</v>
      </c>
      <c r="G75" s="28">
        <v>750</v>
      </c>
      <c r="H75" s="28" t="s">
        <v>459</v>
      </c>
      <c r="I75" s="28"/>
      <c r="J75" s="64" t="s">
        <v>544</v>
      </c>
      <c r="K75" s="65"/>
      <c r="L75" s="65"/>
      <c r="M75" s="66"/>
      <c r="N75" s="48"/>
    </row>
    <row r="76" spans="1:14" ht="18" hidden="1" customHeight="1">
      <c r="A76" s="30">
        <v>73</v>
      </c>
      <c r="B76" s="31" t="s">
        <v>221</v>
      </c>
      <c r="C76" s="26" t="s">
        <v>18</v>
      </c>
      <c r="D76" s="26" t="s">
        <v>7</v>
      </c>
      <c r="E76" s="26" t="s">
        <v>149</v>
      </c>
      <c r="F76" s="26" t="s">
        <v>87</v>
      </c>
      <c r="G76" s="28">
        <v>750</v>
      </c>
      <c r="H76" s="28" t="s">
        <v>462</v>
      </c>
      <c r="I76" s="28"/>
      <c r="J76" s="64" t="s">
        <v>544</v>
      </c>
      <c r="K76" s="65"/>
      <c r="L76" s="65"/>
      <c r="M76" s="66"/>
      <c r="N76" s="48" t="s">
        <v>232</v>
      </c>
    </row>
    <row r="77" spans="1:14" ht="18" hidden="1" customHeight="1">
      <c r="A77" s="30">
        <v>74</v>
      </c>
      <c r="B77" s="31" t="s">
        <v>224</v>
      </c>
      <c r="C77" s="26" t="s">
        <v>18</v>
      </c>
      <c r="D77" s="26" t="s">
        <v>7</v>
      </c>
      <c r="E77" s="26" t="s">
        <v>150</v>
      </c>
      <c r="F77" s="26" t="s">
        <v>87</v>
      </c>
      <c r="G77" s="28">
        <v>750</v>
      </c>
      <c r="H77" s="28" t="s">
        <v>463</v>
      </c>
      <c r="I77" s="28"/>
      <c r="J77" s="64" t="s">
        <v>544</v>
      </c>
      <c r="K77" s="65"/>
      <c r="L77" s="65"/>
      <c r="M77" s="66"/>
      <c r="N77" s="48"/>
    </row>
    <row r="78" spans="1:14" ht="18" hidden="1" customHeight="1">
      <c r="A78" s="46">
        <v>75</v>
      </c>
      <c r="B78" s="50" t="s">
        <v>221</v>
      </c>
      <c r="C78" s="44" t="s">
        <v>170</v>
      </c>
      <c r="D78" s="44" t="s">
        <v>7</v>
      </c>
      <c r="E78" s="44" t="s">
        <v>2</v>
      </c>
      <c r="F78" s="44" t="s">
        <v>79</v>
      </c>
      <c r="G78" s="45">
        <v>950</v>
      </c>
      <c r="H78" s="45" t="s">
        <v>461</v>
      </c>
      <c r="I78" s="45" t="s">
        <v>555</v>
      </c>
      <c r="J78" s="70"/>
      <c r="K78" s="71"/>
      <c r="L78" s="71"/>
      <c r="M78" s="72" t="s">
        <v>544</v>
      </c>
      <c r="N78" s="48"/>
    </row>
    <row r="79" spans="1:14" ht="18" hidden="1" customHeight="1">
      <c r="A79" s="46">
        <v>76</v>
      </c>
      <c r="B79" s="50" t="s">
        <v>221</v>
      </c>
      <c r="C79" s="44" t="s">
        <v>170</v>
      </c>
      <c r="D79" s="44" t="s">
        <v>7</v>
      </c>
      <c r="E79" s="44" t="s">
        <v>148</v>
      </c>
      <c r="F79" s="44" t="s">
        <v>79</v>
      </c>
      <c r="G79" s="45">
        <v>950</v>
      </c>
      <c r="H79" s="45" t="s">
        <v>464</v>
      </c>
      <c r="I79" s="45" t="s">
        <v>555</v>
      </c>
      <c r="J79" s="70"/>
      <c r="K79" s="71"/>
      <c r="L79" s="71"/>
      <c r="M79" s="72" t="s">
        <v>544</v>
      </c>
      <c r="N79" s="48"/>
    </row>
    <row r="80" spans="1:14" ht="18" hidden="1" customHeight="1">
      <c r="A80" s="46">
        <v>77</v>
      </c>
      <c r="B80" s="50" t="s">
        <v>221</v>
      </c>
      <c r="C80" s="44" t="s">
        <v>170</v>
      </c>
      <c r="D80" s="44" t="s">
        <v>7</v>
      </c>
      <c r="E80" s="44" t="s">
        <v>38</v>
      </c>
      <c r="F80" s="44" t="s">
        <v>79</v>
      </c>
      <c r="G80" s="45">
        <v>950</v>
      </c>
      <c r="H80" s="45" t="s">
        <v>465</v>
      </c>
      <c r="I80" s="45" t="s">
        <v>555</v>
      </c>
      <c r="J80" s="70"/>
      <c r="K80" s="71"/>
      <c r="L80" s="71"/>
      <c r="M80" s="72" t="s">
        <v>544</v>
      </c>
      <c r="N80" s="48"/>
    </row>
    <row r="81" spans="1:14" ht="18" hidden="1" customHeight="1">
      <c r="A81" s="30">
        <v>78</v>
      </c>
      <c r="B81" s="31" t="s">
        <v>221</v>
      </c>
      <c r="C81" s="26" t="s">
        <v>170</v>
      </c>
      <c r="D81" s="26" t="s">
        <v>7</v>
      </c>
      <c r="E81" s="26" t="s">
        <v>149</v>
      </c>
      <c r="F81" s="26" t="s">
        <v>79</v>
      </c>
      <c r="G81" s="28">
        <v>950</v>
      </c>
      <c r="H81" s="28" t="s">
        <v>460</v>
      </c>
      <c r="I81" s="28"/>
      <c r="J81" s="64" t="s">
        <v>544</v>
      </c>
      <c r="K81" s="65"/>
      <c r="L81" s="65"/>
      <c r="M81" s="66"/>
      <c r="N81" s="48"/>
    </row>
    <row r="82" spans="1:14" ht="18" hidden="1" customHeight="1">
      <c r="A82" s="46">
        <v>79</v>
      </c>
      <c r="B82" s="50" t="s">
        <v>221</v>
      </c>
      <c r="C82" s="44" t="s">
        <v>167</v>
      </c>
      <c r="D82" s="44" t="s">
        <v>7</v>
      </c>
      <c r="E82" s="44" t="s">
        <v>149</v>
      </c>
      <c r="F82" s="44" t="s">
        <v>79</v>
      </c>
      <c r="G82" s="45">
        <v>950</v>
      </c>
      <c r="H82" s="45" t="s">
        <v>466</v>
      </c>
      <c r="I82" s="45" t="s">
        <v>555</v>
      </c>
      <c r="J82" s="70"/>
      <c r="K82" s="71"/>
      <c r="L82" s="71"/>
      <c r="M82" s="72" t="s">
        <v>544</v>
      </c>
      <c r="N82" s="48" t="s">
        <v>302</v>
      </c>
    </row>
    <row r="83" spans="1:14" ht="18" hidden="1" customHeight="1">
      <c r="A83" s="46">
        <v>80</v>
      </c>
      <c r="B83" s="50" t="s">
        <v>221</v>
      </c>
      <c r="C83" s="44" t="s">
        <v>167</v>
      </c>
      <c r="D83" s="44" t="s">
        <v>7</v>
      </c>
      <c r="E83" s="44" t="s">
        <v>150</v>
      </c>
      <c r="F83" s="44" t="s">
        <v>79</v>
      </c>
      <c r="G83" s="45">
        <v>950</v>
      </c>
      <c r="H83" s="45" t="s">
        <v>467</v>
      </c>
      <c r="I83" s="45" t="s">
        <v>555</v>
      </c>
      <c r="J83" s="70"/>
      <c r="K83" s="71"/>
      <c r="L83" s="71"/>
      <c r="M83" s="72" t="s">
        <v>544</v>
      </c>
      <c r="N83" s="48"/>
    </row>
    <row r="84" spans="1:14" ht="18" hidden="1" customHeight="1">
      <c r="A84" s="30">
        <v>81</v>
      </c>
      <c r="B84" s="31" t="s">
        <v>221</v>
      </c>
      <c r="C84" s="26" t="s">
        <v>167</v>
      </c>
      <c r="D84" s="26" t="s">
        <v>7</v>
      </c>
      <c r="E84" s="26" t="s">
        <v>151</v>
      </c>
      <c r="F84" s="26" t="s">
        <v>79</v>
      </c>
      <c r="G84" s="28">
        <v>950</v>
      </c>
      <c r="H84" s="28" t="s">
        <v>468</v>
      </c>
      <c r="I84" s="28"/>
      <c r="J84" s="64" t="s">
        <v>544</v>
      </c>
      <c r="K84" s="65"/>
      <c r="L84" s="65"/>
      <c r="M84" s="66"/>
      <c r="N84" s="48"/>
    </row>
    <row r="85" spans="1:14" ht="18" hidden="1" customHeight="1">
      <c r="A85" s="30">
        <v>82</v>
      </c>
      <c r="B85" s="31" t="s">
        <v>221</v>
      </c>
      <c r="C85" s="26" t="s">
        <v>171</v>
      </c>
      <c r="D85" s="26" t="s">
        <v>7</v>
      </c>
      <c r="E85" s="26" t="s">
        <v>3</v>
      </c>
      <c r="F85" s="26" t="s">
        <v>94</v>
      </c>
      <c r="G85" s="28">
        <v>1282</v>
      </c>
      <c r="H85" s="28" t="s">
        <v>535</v>
      </c>
      <c r="I85" s="28"/>
      <c r="J85" s="64" t="s">
        <v>544</v>
      </c>
      <c r="K85" s="65"/>
      <c r="L85" s="65"/>
      <c r="M85" s="66"/>
      <c r="N85" s="48"/>
    </row>
    <row r="86" spans="1:14" ht="18" hidden="1" customHeight="1">
      <c r="A86" s="46">
        <v>83</v>
      </c>
      <c r="B86" s="50" t="s">
        <v>221</v>
      </c>
      <c r="C86" s="44" t="s">
        <v>171</v>
      </c>
      <c r="D86" s="44" t="s">
        <v>7</v>
      </c>
      <c r="E86" s="44" t="s">
        <v>39</v>
      </c>
      <c r="F86" s="44" t="s">
        <v>94</v>
      </c>
      <c r="G86" s="45">
        <v>1282</v>
      </c>
      <c r="H86" s="45" t="s">
        <v>536</v>
      </c>
      <c r="I86" s="45" t="s">
        <v>555</v>
      </c>
      <c r="J86" s="70"/>
      <c r="K86" s="71"/>
      <c r="L86" s="71"/>
      <c r="M86" s="72" t="s">
        <v>544</v>
      </c>
      <c r="N86" s="48"/>
    </row>
    <row r="87" spans="1:14" ht="18" hidden="1" customHeight="1">
      <c r="A87" s="30">
        <v>84</v>
      </c>
      <c r="B87" s="31" t="s">
        <v>221</v>
      </c>
      <c r="C87" s="26" t="s">
        <v>172</v>
      </c>
      <c r="D87" s="26" t="s">
        <v>7</v>
      </c>
      <c r="E87" s="26" t="s">
        <v>147</v>
      </c>
      <c r="F87" s="26" t="s">
        <v>95</v>
      </c>
      <c r="G87" s="28">
        <v>584</v>
      </c>
      <c r="H87" s="28" t="s">
        <v>538</v>
      </c>
      <c r="I87" s="28"/>
      <c r="J87" s="64" t="s">
        <v>544</v>
      </c>
      <c r="K87" s="65"/>
      <c r="L87" s="65"/>
      <c r="M87" s="66"/>
      <c r="N87" s="48"/>
    </row>
    <row r="88" spans="1:14" ht="18" hidden="1" customHeight="1">
      <c r="A88" s="30">
        <v>85</v>
      </c>
      <c r="B88" s="31" t="s">
        <v>221</v>
      </c>
      <c r="C88" s="26" t="s">
        <v>173</v>
      </c>
      <c r="D88" s="26" t="s">
        <v>7</v>
      </c>
      <c r="E88" s="26" t="s">
        <v>147</v>
      </c>
      <c r="F88" s="26" t="s">
        <v>95</v>
      </c>
      <c r="G88" s="28">
        <v>584</v>
      </c>
      <c r="H88" s="28" t="s">
        <v>537</v>
      </c>
      <c r="I88" s="28"/>
      <c r="J88" s="64" t="s">
        <v>544</v>
      </c>
      <c r="K88" s="65"/>
      <c r="L88" s="65"/>
      <c r="M88" s="66"/>
      <c r="N88" s="48"/>
    </row>
    <row r="89" spans="1:14" ht="18" hidden="1" customHeight="1">
      <c r="A89" s="30">
        <v>86</v>
      </c>
      <c r="B89" s="31" t="s">
        <v>221</v>
      </c>
      <c r="C89" s="26" t="s">
        <v>174</v>
      </c>
      <c r="D89" s="26" t="s">
        <v>7</v>
      </c>
      <c r="E89" s="26" t="s">
        <v>147</v>
      </c>
      <c r="F89" s="26" t="s">
        <v>95</v>
      </c>
      <c r="G89" s="28">
        <v>584</v>
      </c>
      <c r="H89" s="28" t="s">
        <v>539</v>
      </c>
      <c r="I89" s="28"/>
      <c r="J89" s="64" t="s">
        <v>544</v>
      </c>
      <c r="K89" s="65"/>
      <c r="L89" s="65"/>
      <c r="M89" s="66"/>
      <c r="N89" s="48"/>
    </row>
    <row r="90" spans="1:14" ht="18" hidden="1" customHeight="1">
      <c r="A90" s="30">
        <v>87</v>
      </c>
      <c r="B90" s="31" t="s">
        <v>221</v>
      </c>
      <c r="C90" s="26" t="s">
        <v>175</v>
      </c>
      <c r="D90" s="26" t="s">
        <v>7</v>
      </c>
      <c r="E90" s="26" t="s">
        <v>147</v>
      </c>
      <c r="F90" s="26" t="s">
        <v>198</v>
      </c>
      <c r="G90" s="28"/>
      <c r="H90" s="28" t="s">
        <v>540</v>
      </c>
      <c r="I90" s="28"/>
      <c r="J90" s="64" t="s">
        <v>544</v>
      </c>
      <c r="K90" s="65"/>
      <c r="L90" s="65"/>
      <c r="M90" s="66"/>
      <c r="N90" s="48"/>
    </row>
    <row r="91" spans="1:14" ht="18" hidden="1" customHeight="1">
      <c r="A91" s="46">
        <v>88</v>
      </c>
      <c r="B91" s="50" t="s">
        <v>221</v>
      </c>
      <c r="C91" s="44" t="s">
        <v>176</v>
      </c>
      <c r="D91" s="44" t="s">
        <v>7</v>
      </c>
      <c r="E91" s="44" t="s">
        <v>4</v>
      </c>
      <c r="F91" s="44" t="s">
        <v>114</v>
      </c>
      <c r="G91" s="45">
        <v>400</v>
      </c>
      <c r="H91" s="45" t="s">
        <v>541</v>
      </c>
      <c r="I91" s="45" t="s">
        <v>555</v>
      </c>
      <c r="J91" s="70"/>
      <c r="K91" s="71"/>
      <c r="L91" s="71"/>
      <c r="M91" s="72" t="s">
        <v>544</v>
      </c>
      <c r="N91" s="48"/>
    </row>
    <row r="92" spans="1:14" ht="18" hidden="1" customHeight="1">
      <c r="A92" s="46">
        <v>89</v>
      </c>
      <c r="B92" s="50" t="s">
        <v>221</v>
      </c>
      <c r="C92" s="44" t="s">
        <v>176</v>
      </c>
      <c r="D92" s="44" t="s">
        <v>7</v>
      </c>
      <c r="E92" s="44" t="s">
        <v>150</v>
      </c>
      <c r="F92" s="44" t="s">
        <v>114</v>
      </c>
      <c r="G92" s="45">
        <v>400</v>
      </c>
      <c r="H92" s="45" t="s">
        <v>542</v>
      </c>
      <c r="I92" s="45" t="s">
        <v>555</v>
      </c>
      <c r="J92" s="70"/>
      <c r="K92" s="71"/>
      <c r="L92" s="71"/>
      <c r="M92" s="72" t="s">
        <v>544</v>
      </c>
      <c r="N92" s="48" t="s">
        <v>231</v>
      </c>
    </row>
    <row r="93" spans="1:14" ht="18" hidden="1" customHeight="1">
      <c r="A93" s="30">
        <v>90</v>
      </c>
      <c r="B93" s="31" t="s">
        <v>221</v>
      </c>
      <c r="C93" s="26" t="s">
        <v>176</v>
      </c>
      <c r="D93" s="26" t="s">
        <v>7</v>
      </c>
      <c r="E93" s="26" t="s">
        <v>151</v>
      </c>
      <c r="F93" s="26" t="s">
        <v>114</v>
      </c>
      <c r="G93" s="28">
        <v>400</v>
      </c>
      <c r="H93" s="28" t="s">
        <v>543</v>
      </c>
      <c r="I93" s="28"/>
      <c r="J93" s="64" t="s">
        <v>544</v>
      </c>
      <c r="K93" s="65"/>
      <c r="L93" s="65"/>
      <c r="M93" s="66"/>
      <c r="N93" s="48"/>
    </row>
    <row r="94" spans="1:14" ht="18" hidden="1" customHeight="1">
      <c r="A94" s="30">
        <v>91</v>
      </c>
      <c r="B94" s="31" t="s">
        <v>221</v>
      </c>
      <c r="C94" s="26" t="s">
        <v>11</v>
      </c>
      <c r="D94" s="26" t="s">
        <v>33</v>
      </c>
      <c r="E94" s="26" t="s">
        <v>147</v>
      </c>
      <c r="F94" s="26" t="s">
        <v>100</v>
      </c>
      <c r="G94" s="28">
        <v>1420</v>
      </c>
      <c r="H94" s="28" t="s">
        <v>469</v>
      </c>
      <c r="I94" s="28"/>
      <c r="J94" s="64" t="s">
        <v>544</v>
      </c>
      <c r="K94" s="65"/>
      <c r="L94" s="65"/>
      <c r="M94" s="66"/>
      <c r="N94" s="48"/>
    </row>
    <row r="95" spans="1:14" ht="18" hidden="1" customHeight="1">
      <c r="A95" s="30">
        <v>92</v>
      </c>
      <c r="B95" s="31" t="s">
        <v>221</v>
      </c>
      <c r="C95" s="26" t="s">
        <v>177</v>
      </c>
      <c r="D95" s="26" t="s">
        <v>33</v>
      </c>
      <c r="E95" s="26" t="s">
        <v>147</v>
      </c>
      <c r="F95" s="26" t="s">
        <v>97</v>
      </c>
      <c r="G95" s="28"/>
      <c r="H95" s="28" t="s">
        <v>471</v>
      </c>
      <c r="I95" s="28"/>
      <c r="J95" s="64" t="s">
        <v>544</v>
      </c>
      <c r="K95" s="65"/>
      <c r="L95" s="65"/>
      <c r="M95" s="66"/>
      <c r="N95" s="48"/>
    </row>
    <row r="96" spans="1:14" ht="18" hidden="1" customHeight="1">
      <c r="A96" s="46">
        <v>93</v>
      </c>
      <c r="B96" s="50" t="s">
        <v>221</v>
      </c>
      <c r="C96" s="44" t="s">
        <v>16</v>
      </c>
      <c r="D96" s="44" t="s">
        <v>33</v>
      </c>
      <c r="E96" s="44" t="s">
        <v>126</v>
      </c>
      <c r="F96" s="44" t="s">
        <v>90</v>
      </c>
      <c r="G96" s="45">
        <v>1152</v>
      </c>
      <c r="H96" s="45" t="s">
        <v>437</v>
      </c>
      <c r="I96" s="45" t="s">
        <v>555</v>
      </c>
      <c r="J96" s="70"/>
      <c r="K96" s="71"/>
      <c r="L96" s="71"/>
      <c r="M96" s="72" t="s">
        <v>544</v>
      </c>
      <c r="N96" s="48"/>
    </row>
    <row r="97" spans="1:14" ht="18" hidden="1" customHeight="1">
      <c r="A97" s="46">
        <v>94</v>
      </c>
      <c r="B97" s="50" t="s">
        <v>221</v>
      </c>
      <c r="C97" s="44" t="s">
        <v>16</v>
      </c>
      <c r="D97" s="44" t="s">
        <v>33</v>
      </c>
      <c r="E97" s="44" t="s">
        <v>56</v>
      </c>
      <c r="F97" s="44" t="s">
        <v>90</v>
      </c>
      <c r="G97" s="45">
        <v>1152</v>
      </c>
      <c r="H97" s="45" t="s">
        <v>470</v>
      </c>
      <c r="I97" s="45" t="s">
        <v>555</v>
      </c>
      <c r="J97" s="70"/>
      <c r="K97" s="71"/>
      <c r="L97" s="71"/>
      <c r="M97" s="72" t="s">
        <v>544</v>
      </c>
      <c r="N97" s="48" t="s">
        <v>303</v>
      </c>
    </row>
    <row r="98" spans="1:14" ht="18" hidden="1" customHeight="1">
      <c r="A98" s="30">
        <v>95</v>
      </c>
      <c r="B98" s="31" t="s">
        <v>221</v>
      </c>
      <c r="C98" s="26" t="s">
        <v>16</v>
      </c>
      <c r="D98" s="26" t="s">
        <v>33</v>
      </c>
      <c r="E98" s="26" t="s">
        <v>58</v>
      </c>
      <c r="F98" s="26" t="s">
        <v>90</v>
      </c>
      <c r="G98" s="28">
        <v>1152</v>
      </c>
      <c r="H98" s="28" t="s">
        <v>472</v>
      </c>
      <c r="I98" s="28"/>
      <c r="J98" s="64" t="s">
        <v>544</v>
      </c>
      <c r="K98" s="65"/>
      <c r="L98" s="65"/>
      <c r="M98" s="66"/>
      <c r="N98" s="48" t="s">
        <v>305</v>
      </c>
    </row>
    <row r="99" spans="1:14" ht="18" hidden="1" customHeight="1">
      <c r="A99" s="30">
        <v>96</v>
      </c>
      <c r="B99" s="31" t="s">
        <v>221</v>
      </c>
      <c r="C99" s="26" t="s">
        <v>26</v>
      </c>
      <c r="D99" s="26" t="s">
        <v>33</v>
      </c>
      <c r="E99" s="26" t="s">
        <v>147</v>
      </c>
      <c r="F99" s="26" t="s">
        <v>98</v>
      </c>
      <c r="G99" s="28"/>
      <c r="H99" s="28" t="s">
        <v>473</v>
      </c>
      <c r="I99" s="28"/>
      <c r="J99" s="64" t="s">
        <v>544</v>
      </c>
      <c r="K99" s="65"/>
      <c r="L99" s="65"/>
      <c r="M99" s="66"/>
      <c r="N99" s="48"/>
    </row>
    <row r="100" spans="1:14" ht="18" hidden="1" customHeight="1">
      <c r="A100" s="46">
        <v>97</v>
      </c>
      <c r="B100" s="50" t="s">
        <v>221</v>
      </c>
      <c r="C100" s="44" t="s">
        <v>178</v>
      </c>
      <c r="D100" s="44" t="s">
        <v>33</v>
      </c>
      <c r="E100" s="44" t="s">
        <v>147</v>
      </c>
      <c r="F100" s="44" t="s">
        <v>99</v>
      </c>
      <c r="G100" s="45">
        <v>1499</v>
      </c>
      <c r="H100" s="45" t="s">
        <v>474</v>
      </c>
      <c r="I100" s="45" t="s">
        <v>555</v>
      </c>
      <c r="J100" s="70"/>
      <c r="K100" s="71"/>
      <c r="L100" s="71"/>
      <c r="M100" s="72" t="s">
        <v>544</v>
      </c>
      <c r="N100" s="48"/>
    </row>
    <row r="101" spans="1:14" ht="18" hidden="1" customHeight="1">
      <c r="A101" s="30">
        <v>98</v>
      </c>
      <c r="B101" s="31" t="s">
        <v>221</v>
      </c>
      <c r="C101" s="26" t="s">
        <v>25</v>
      </c>
      <c r="D101" s="26" t="s">
        <v>33</v>
      </c>
      <c r="E101" s="26" t="s">
        <v>2</v>
      </c>
      <c r="F101" s="26" t="s">
        <v>96</v>
      </c>
      <c r="G101" s="28">
        <v>1180</v>
      </c>
      <c r="H101" s="28" t="s">
        <v>475</v>
      </c>
      <c r="I101" s="28"/>
      <c r="J101" s="64" t="s">
        <v>544</v>
      </c>
      <c r="K101" s="65"/>
      <c r="L101" s="65"/>
      <c r="M101" s="66"/>
      <c r="N101" s="48"/>
    </row>
    <row r="102" spans="1:14" ht="18" customHeight="1">
      <c r="A102" s="46">
        <v>99</v>
      </c>
      <c r="B102" s="50" t="s">
        <v>221</v>
      </c>
      <c r="C102" s="44" t="s">
        <v>21</v>
      </c>
      <c r="D102" s="44" t="s">
        <v>33</v>
      </c>
      <c r="E102" s="44" t="s">
        <v>122</v>
      </c>
      <c r="F102" s="44" t="s">
        <v>105</v>
      </c>
      <c r="G102" s="45">
        <v>1570</v>
      </c>
      <c r="H102" s="45" t="s">
        <v>476</v>
      </c>
      <c r="I102" s="45" t="s">
        <v>555</v>
      </c>
      <c r="J102" s="70"/>
      <c r="K102" s="71"/>
      <c r="L102" s="71"/>
      <c r="M102" s="72" t="s">
        <v>544</v>
      </c>
      <c r="N102" s="48"/>
    </row>
    <row r="103" spans="1:14" ht="18" customHeight="1">
      <c r="A103" s="30">
        <v>100</v>
      </c>
      <c r="B103" s="31" t="s">
        <v>221</v>
      </c>
      <c r="C103" s="26" t="s">
        <v>21</v>
      </c>
      <c r="D103" s="26" t="s">
        <v>33</v>
      </c>
      <c r="E103" s="26" t="s">
        <v>58</v>
      </c>
      <c r="F103" s="26" t="s">
        <v>105</v>
      </c>
      <c r="G103" s="28">
        <v>1570</v>
      </c>
      <c r="H103" s="28" t="s">
        <v>477</v>
      </c>
      <c r="I103" s="28"/>
      <c r="J103" s="64" t="s">
        <v>544</v>
      </c>
      <c r="K103" s="65"/>
      <c r="L103" s="65"/>
      <c r="M103" s="66"/>
      <c r="N103" s="48" t="s">
        <v>232</v>
      </c>
    </row>
    <row r="104" spans="1:14" ht="18" hidden="1" customHeight="1">
      <c r="A104" s="30">
        <v>101</v>
      </c>
      <c r="B104" s="31" t="s">
        <v>221</v>
      </c>
      <c r="C104" s="26" t="s">
        <v>518</v>
      </c>
      <c r="D104" s="26" t="s">
        <v>33</v>
      </c>
      <c r="E104" s="26" t="s">
        <v>147</v>
      </c>
      <c r="F104" s="26" t="s">
        <v>534</v>
      </c>
      <c r="G104" s="28">
        <v>1522</v>
      </c>
      <c r="H104" s="28" t="s">
        <v>528</v>
      </c>
      <c r="I104" s="28"/>
      <c r="J104" s="64" t="s">
        <v>544</v>
      </c>
      <c r="K104" s="65"/>
      <c r="L104" s="65"/>
      <c r="M104" s="66"/>
      <c r="N104" s="48"/>
    </row>
    <row r="105" spans="1:14" ht="18" hidden="1" customHeight="1">
      <c r="A105" s="30">
        <v>102</v>
      </c>
      <c r="B105" s="31" t="s">
        <v>221</v>
      </c>
      <c r="C105" s="26" t="s">
        <v>519</v>
      </c>
      <c r="D105" s="26" t="s">
        <v>33</v>
      </c>
      <c r="E105" s="26" t="s">
        <v>147</v>
      </c>
      <c r="F105" s="26" t="s">
        <v>533</v>
      </c>
      <c r="G105" s="28">
        <v>1641</v>
      </c>
      <c r="H105" s="28" t="s">
        <v>529</v>
      </c>
      <c r="I105" s="28"/>
      <c r="J105" s="64" t="s">
        <v>544</v>
      </c>
      <c r="K105" s="65"/>
      <c r="L105" s="65"/>
      <c r="M105" s="66"/>
      <c r="N105" s="48"/>
    </row>
    <row r="106" spans="1:14" ht="18" customHeight="1">
      <c r="A106" s="30">
        <v>103</v>
      </c>
      <c r="B106" s="31" t="s">
        <v>221</v>
      </c>
      <c r="C106" s="26" t="s">
        <v>21</v>
      </c>
      <c r="D106" s="26" t="s">
        <v>33</v>
      </c>
      <c r="E106" s="26" t="s">
        <v>56</v>
      </c>
      <c r="F106" s="26" t="s">
        <v>105</v>
      </c>
      <c r="G106" s="28">
        <v>1570</v>
      </c>
      <c r="H106" s="28" t="s">
        <v>530</v>
      </c>
      <c r="I106" s="28"/>
      <c r="J106" s="64" t="s">
        <v>544</v>
      </c>
      <c r="K106" s="65"/>
      <c r="L106" s="65"/>
      <c r="M106" s="66"/>
      <c r="N106" s="48"/>
    </row>
    <row r="107" spans="1:14" ht="18" hidden="1" customHeight="1">
      <c r="A107" s="30">
        <v>104</v>
      </c>
      <c r="B107" s="31" t="s">
        <v>221</v>
      </c>
      <c r="C107" s="26" t="s">
        <v>520</v>
      </c>
      <c r="D107" s="26" t="s">
        <v>33</v>
      </c>
      <c r="E107" s="26" t="s">
        <v>147</v>
      </c>
      <c r="F107" s="26"/>
      <c r="G107" s="28"/>
      <c r="H107" s="28" t="s">
        <v>531</v>
      </c>
      <c r="I107" s="28"/>
      <c r="J107" s="64" t="s">
        <v>544</v>
      </c>
      <c r="K107" s="65"/>
      <c r="L107" s="65"/>
      <c r="M107" s="66"/>
      <c r="N107" s="48"/>
    </row>
    <row r="108" spans="1:14" ht="18" customHeight="1">
      <c r="A108" s="46">
        <v>105</v>
      </c>
      <c r="B108" s="50" t="s">
        <v>221</v>
      </c>
      <c r="C108" s="44" t="s">
        <v>21</v>
      </c>
      <c r="D108" s="44" t="s">
        <v>33</v>
      </c>
      <c r="E108" s="44" t="s">
        <v>126</v>
      </c>
      <c r="F108" s="44" t="s">
        <v>557</v>
      </c>
      <c r="G108" s="45">
        <v>1570</v>
      </c>
      <c r="H108" s="45" t="s">
        <v>521</v>
      </c>
      <c r="I108" s="45" t="s">
        <v>555</v>
      </c>
      <c r="J108" s="70"/>
      <c r="K108" s="71"/>
      <c r="L108" s="71"/>
      <c r="M108" s="72" t="s">
        <v>544</v>
      </c>
      <c r="N108" s="48"/>
    </row>
    <row r="109" spans="1:14" ht="18" customHeight="1">
      <c r="A109" s="46">
        <v>106</v>
      </c>
      <c r="B109" s="50" t="s">
        <v>221</v>
      </c>
      <c r="C109" s="44" t="s">
        <v>21</v>
      </c>
      <c r="D109" s="44" t="s">
        <v>33</v>
      </c>
      <c r="E109" s="44" t="s">
        <v>124</v>
      </c>
      <c r="F109" s="44" t="s">
        <v>105</v>
      </c>
      <c r="G109" s="45">
        <v>1570</v>
      </c>
      <c r="H109" s="45" t="s">
        <v>522</v>
      </c>
      <c r="I109" s="45" t="s">
        <v>555</v>
      </c>
      <c r="J109" s="70"/>
      <c r="K109" s="71"/>
      <c r="L109" s="71"/>
      <c r="M109" s="72" t="s">
        <v>544</v>
      </c>
      <c r="N109" s="48"/>
    </row>
    <row r="110" spans="1:14" ht="18" hidden="1" customHeight="1">
      <c r="A110" s="46">
        <v>107</v>
      </c>
      <c r="B110" s="50" t="s">
        <v>221</v>
      </c>
      <c r="C110" s="44" t="s">
        <v>179</v>
      </c>
      <c r="D110" s="44" t="s">
        <v>33</v>
      </c>
      <c r="E110" s="44" t="s">
        <v>5</v>
      </c>
      <c r="F110" s="44" t="s">
        <v>93</v>
      </c>
      <c r="G110" s="45">
        <v>1218</v>
      </c>
      <c r="H110" s="45" t="s">
        <v>523</v>
      </c>
      <c r="I110" s="45" t="s">
        <v>555</v>
      </c>
      <c r="J110" s="70"/>
      <c r="K110" s="71"/>
      <c r="L110" s="71"/>
      <c r="M110" s="72" t="s">
        <v>544</v>
      </c>
      <c r="N110" s="48"/>
    </row>
    <row r="111" spans="1:14" ht="18" hidden="1" customHeight="1">
      <c r="A111" s="46">
        <v>108</v>
      </c>
      <c r="B111" s="50" t="s">
        <v>221</v>
      </c>
      <c r="C111" s="44" t="s">
        <v>180</v>
      </c>
      <c r="D111" s="44" t="s">
        <v>33</v>
      </c>
      <c r="E111" s="44" t="s">
        <v>148</v>
      </c>
      <c r="F111" s="44" t="s">
        <v>104</v>
      </c>
      <c r="G111" s="45">
        <v>720</v>
      </c>
      <c r="H111" s="45" t="s">
        <v>524</v>
      </c>
      <c r="I111" s="45" t="s">
        <v>555</v>
      </c>
      <c r="J111" s="70"/>
      <c r="K111" s="71"/>
      <c r="L111" s="71"/>
      <c r="M111" s="72" t="s">
        <v>544</v>
      </c>
      <c r="N111" s="48"/>
    </row>
    <row r="112" spans="1:14" ht="18" hidden="1" customHeight="1">
      <c r="A112" s="46">
        <v>109</v>
      </c>
      <c r="B112" s="50" t="s">
        <v>221</v>
      </c>
      <c r="C112" s="44" t="s">
        <v>180</v>
      </c>
      <c r="D112" s="44" t="s">
        <v>33</v>
      </c>
      <c r="E112" s="44" t="s">
        <v>149</v>
      </c>
      <c r="F112" s="44" t="s">
        <v>104</v>
      </c>
      <c r="G112" s="45">
        <v>720</v>
      </c>
      <c r="H112" s="45" t="s">
        <v>525</v>
      </c>
      <c r="I112" s="45" t="s">
        <v>555</v>
      </c>
      <c r="J112" s="70"/>
      <c r="K112" s="71"/>
      <c r="L112" s="71"/>
      <c r="M112" s="72" t="s">
        <v>544</v>
      </c>
      <c r="N112" s="48" t="s">
        <v>304</v>
      </c>
    </row>
    <row r="113" spans="1:14" ht="18" hidden="1" customHeight="1">
      <c r="A113" s="46">
        <v>110</v>
      </c>
      <c r="B113" s="50" t="s">
        <v>221</v>
      </c>
      <c r="C113" s="44" t="s">
        <v>20</v>
      </c>
      <c r="D113" s="44" t="s">
        <v>33</v>
      </c>
      <c r="E113" s="44" t="s">
        <v>38</v>
      </c>
      <c r="F113" s="44" t="s">
        <v>104</v>
      </c>
      <c r="G113" s="45">
        <v>500</v>
      </c>
      <c r="H113" s="45" t="s">
        <v>526</v>
      </c>
      <c r="I113" s="45" t="s">
        <v>555</v>
      </c>
      <c r="J113" s="70"/>
      <c r="K113" s="71"/>
      <c r="L113" s="71"/>
      <c r="M113" s="72" t="s">
        <v>544</v>
      </c>
      <c r="N113" s="48" t="s">
        <v>231</v>
      </c>
    </row>
    <row r="114" spans="1:14" ht="18" hidden="1" customHeight="1">
      <c r="A114" s="46">
        <v>111</v>
      </c>
      <c r="B114" s="50" t="s">
        <v>221</v>
      </c>
      <c r="C114" s="44" t="s">
        <v>20</v>
      </c>
      <c r="D114" s="44" t="s">
        <v>33</v>
      </c>
      <c r="E114" s="44" t="s">
        <v>149</v>
      </c>
      <c r="F114" s="44" t="s">
        <v>104</v>
      </c>
      <c r="G114" s="45">
        <v>500</v>
      </c>
      <c r="H114" s="45" t="s">
        <v>527</v>
      </c>
      <c r="I114" s="45" t="s">
        <v>555</v>
      </c>
      <c r="J114" s="70"/>
      <c r="K114" s="71"/>
      <c r="L114" s="71"/>
      <c r="M114" s="72" t="s">
        <v>544</v>
      </c>
      <c r="N114" s="48" t="s">
        <v>231</v>
      </c>
    </row>
    <row r="115" spans="1:14" ht="18" hidden="1" customHeight="1">
      <c r="A115" s="46">
        <v>112</v>
      </c>
      <c r="B115" s="50" t="s">
        <v>221</v>
      </c>
      <c r="C115" s="44" t="s">
        <v>181</v>
      </c>
      <c r="D115" s="44" t="s">
        <v>1</v>
      </c>
      <c r="E115" s="44" t="s">
        <v>38</v>
      </c>
      <c r="F115" s="44" t="s">
        <v>103</v>
      </c>
      <c r="G115" s="45">
        <v>1400</v>
      </c>
      <c r="H115" s="45" t="s">
        <v>507</v>
      </c>
      <c r="I115" s="45" t="s">
        <v>555</v>
      </c>
      <c r="J115" s="70"/>
      <c r="K115" s="71"/>
      <c r="L115" s="71"/>
      <c r="M115" s="72" t="s">
        <v>544</v>
      </c>
      <c r="N115" s="48"/>
    </row>
    <row r="116" spans="1:14" ht="18" hidden="1" customHeight="1">
      <c r="A116" s="46">
        <v>113</v>
      </c>
      <c r="B116" s="50" t="s">
        <v>221</v>
      </c>
      <c r="C116" s="44" t="s">
        <v>181</v>
      </c>
      <c r="D116" s="44" t="s">
        <v>1</v>
      </c>
      <c r="E116" s="44" t="s">
        <v>149</v>
      </c>
      <c r="F116" s="44" t="s">
        <v>103</v>
      </c>
      <c r="G116" s="45">
        <v>1400</v>
      </c>
      <c r="H116" s="45" t="s">
        <v>508</v>
      </c>
      <c r="I116" s="45" t="s">
        <v>555</v>
      </c>
      <c r="J116" s="70"/>
      <c r="K116" s="71"/>
      <c r="L116" s="71"/>
      <c r="M116" s="72" t="s">
        <v>544</v>
      </c>
      <c r="N116" s="48"/>
    </row>
    <row r="117" spans="1:14" ht="18" hidden="1" customHeight="1">
      <c r="A117" s="30">
        <v>114</v>
      </c>
      <c r="B117" s="31" t="s">
        <v>221</v>
      </c>
      <c r="C117" s="26" t="s">
        <v>181</v>
      </c>
      <c r="D117" s="26" t="s">
        <v>1</v>
      </c>
      <c r="E117" s="26" t="s">
        <v>150</v>
      </c>
      <c r="F117" s="26" t="s">
        <v>103</v>
      </c>
      <c r="G117" s="28">
        <v>1400</v>
      </c>
      <c r="H117" s="28" t="s">
        <v>509</v>
      </c>
      <c r="I117" s="28"/>
      <c r="J117" s="64" t="s">
        <v>544</v>
      </c>
      <c r="K117" s="65"/>
      <c r="L117" s="65"/>
      <c r="M117" s="66"/>
      <c r="N117" s="48"/>
    </row>
    <row r="118" spans="1:14" ht="18" hidden="1" customHeight="1">
      <c r="A118" s="30">
        <v>115</v>
      </c>
      <c r="B118" s="31" t="s">
        <v>221</v>
      </c>
      <c r="C118" s="26" t="s">
        <v>181</v>
      </c>
      <c r="D118" s="26" t="s">
        <v>1</v>
      </c>
      <c r="E118" s="26" t="s">
        <v>151</v>
      </c>
      <c r="F118" s="26" t="s">
        <v>103</v>
      </c>
      <c r="G118" s="28">
        <v>1400</v>
      </c>
      <c r="H118" s="28" t="s">
        <v>510</v>
      </c>
      <c r="I118" s="28"/>
      <c r="J118" s="64" t="s">
        <v>544</v>
      </c>
      <c r="K118" s="65"/>
      <c r="L118" s="65"/>
      <c r="M118" s="66"/>
      <c r="N118" s="48"/>
    </row>
    <row r="119" spans="1:14" ht="18" hidden="1" customHeight="1">
      <c r="A119" s="30">
        <v>116</v>
      </c>
      <c r="B119" s="31" t="s">
        <v>221</v>
      </c>
      <c r="C119" s="26" t="s">
        <v>181</v>
      </c>
      <c r="D119" s="26" t="s">
        <v>1</v>
      </c>
      <c r="E119" s="26" t="s">
        <v>124</v>
      </c>
      <c r="F119" s="26" t="s">
        <v>103</v>
      </c>
      <c r="G119" s="28">
        <v>1400</v>
      </c>
      <c r="H119" s="28" t="s">
        <v>511</v>
      </c>
      <c r="I119" s="32"/>
      <c r="J119" s="67" t="s">
        <v>544</v>
      </c>
      <c r="K119" s="68"/>
      <c r="L119" s="68"/>
      <c r="M119" s="69"/>
      <c r="N119" s="48"/>
    </row>
    <row r="120" spans="1:14" ht="18" hidden="1" customHeight="1">
      <c r="A120" s="30">
        <v>117</v>
      </c>
      <c r="B120" s="31" t="s">
        <v>221</v>
      </c>
      <c r="C120" s="26" t="s">
        <v>14</v>
      </c>
      <c r="D120" s="26" t="s">
        <v>1</v>
      </c>
      <c r="E120" s="26" t="s">
        <v>53</v>
      </c>
      <c r="F120" s="26" t="s">
        <v>217</v>
      </c>
      <c r="G120" s="28">
        <v>1400</v>
      </c>
      <c r="H120" s="28" t="s">
        <v>512</v>
      </c>
      <c r="I120" s="28"/>
      <c r="J120" s="64" t="s">
        <v>544</v>
      </c>
      <c r="K120" s="65"/>
      <c r="L120" s="65"/>
      <c r="M120" s="66"/>
      <c r="N120" s="48"/>
    </row>
    <row r="121" spans="1:14" ht="18" hidden="1" customHeight="1">
      <c r="A121" s="30">
        <v>118</v>
      </c>
      <c r="B121" s="31" t="s">
        <v>221</v>
      </c>
      <c r="C121" s="26" t="s">
        <v>14</v>
      </c>
      <c r="D121" s="26" t="s">
        <v>1</v>
      </c>
      <c r="E121" s="26" t="s">
        <v>58</v>
      </c>
      <c r="F121" s="26" t="s">
        <v>217</v>
      </c>
      <c r="G121" s="28">
        <v>1400</v>
      </c>
      <c r="H121" s="28" t="s">
        <v>513</v>
      </c>
      <c r="I121" s="28"/>
      <c r="J121" s="64" t="s">
        <v>544</v>
      </c>
      <c r="K121" s="65"/>
      <c r="L121" s="65"/>
      <c r="M121" s="66"/>
      <c r="N121" s="48"/>
    </row>
    <row r="122" spans="1:14" ht="18" hidden="1" customHeight="1">
      <c r="A122" s="46">
        <v>119</v>
      </c>
      <c r="B122" s="50" t="s">
        <v>221</v>
      </c>
      <c r="C122" s="44" t="s">
        <v>14</v>
      </c>
      <c r="D122" s="44" t="s">
        <v>1</v>
      </c>
      <c r="E122" s="44" t="s">
        <v>56</v>
      </c>
      <c r="F122" s="44" t="s">
        <v>217</v>
      </c>
      <c r="G122" s="45">
        <v>1400</v>
      </c>
      <c r="H122" s="45" t="s">
        <v>514</v>
      </c>
      <c r="I122" s="45" t="s">
        <v>555</v>
      </c>
      <c r="J122" s="70"/>
      <c r="K122" s="71"/>
      <c r="L122" s="71"/>
      <c r="M122" s="72" t="s">
        <v>544</v>
      </c>
      <c r="N122" s="48"/>
    </row>
    <row r="123" spans="1:14" ht="18" hidden="1" customHeight="1">
      <c r="A123" s="46">
        <v>120</v>
      </c>
      <c r="B123" s="50" t="s">
        <v>221</v>
      </c>
      <c r="C123" s="44" t="s">
        <v>14</v>
      </c>
      <c r="D123" s="44" t="s">
        <v>1</v>
      </c>
      <c r="E123" s="44" t="s">
        <v>122</v>
      </c>
      <c r="F123" s="44" t="s">
        <v>217</v>
      </c>
      <c r="G123" s="45">
        <v>1400</v>
      </c>
      <c r="H123" s="45" t="s">
        <v>515</v>
      </c>
      <c r="I123" s="45" t="s">
        <v>555</v>
      </c>
      <c r="J123" s="70"/>
      <c r="K123" s="71"/>
      <c r="L123" s="71"/>
      <c r="M123" s="72" t="s">
        <v>544</v>
      </c>
      <c r="N123" s="48"/>
    </row>
    <row r="124" spans="1:14" ht="18" hidden="1" customHeight="1">
      <c r="A124" s="46">
        <v>121</v>
      </c>
      <c r="B124" s="50" t="s">
        <v>221</v>
      </c>
      <c r="C124" s="44" t="s">
        <v>516</v>
      </c>
      <c r="D124" s="44" t="s">
        <v>1</v>
      </c>
      <c r="E124" s="44" t="s">
        <v>3</v>
      </c>
      <c r="F124" s="44" t="s">
        <v>102</v>
      </c>
      <c r="G124" s="45">
        <v>1200</v>
      </c>
      <c r="H124" s="45" t="s">
        <v>517</v>
      </c>
      <c r="I124" s="45" t="s">
        <v>555</v>
      </c>
      <c r="J124" s="70"/>
      <c r="K124" s="71"/>
      <c r="L124" s="71"/>
      <c r="M124" s="72" t="s">
        <v>544</v>
      </c>
      <c r="N124" s="48"/>
    </row>
    <row r="125" spans="1:14" ht="18" hidden="1" customHeight="1">
      <c r="A125" s="23">
        <v>122</v>
      </c>
      <c r="B125" s="24" t="s">
        <v>221</v>
      </c>
      <c r="C125" s="25" t="s">
        <v>13</v>
      </c>
      <c r="D125" s="25" t="s">
        <v>1</v>
      </c>
      <c r="E125" s="26" t="s">
        <v>38</v>
      </c>
      <c r="F125" s="26" t="s">
        <v>108</v>
      </c>
      <c r="G125" s="28">
        <v>1366</v>
      </c>
      <c r="H125" s="28" t="s">
        <v>475</v>
      </c>
      <c r="I125" s="28"/>
      <c r="J125" s="64"/>
      <c r="K125" s="65"/>
      <c r="L125" s="65" t="s">
        <v>544</v>
      </c>
      <c r="M125" s="66"/>
      <c r="N125" s="48"/>
    </row>
    <row r="126" spans="1:14" ht="18" hidden="1" customHeight="1">
      <c r="A126" s="46">
        <v>123</v>
      </c>
      <c r="B126" s="50" t="s">
        <v>221</v>
      </c>
      <c r="C126" s="44" t="s">
        <v>13</v>
      </c>
      <c r="D126" s="44" t="s">
        <v>1</v>
      </c>
      <c r="E126" s="44" t="s">
        <v>148</v>
      </c>
      <c r="F126" s="44" t="s">
        <v>108</v>
      </c>
      <c r="G126" s="45">
        <v>1366</v>
      </c>
      <c r="H126" s="45" t="s">
        <v>476</v>
      </c>
      <c r="I126" s="45" t="s">
        <v>555</v>
      </c>
      <c r="J126" s="70"/>
      <c r="K126" s="71"/>
      <c r="L126" s="71"/>
      <c r="M126" s="72" t="s">
        <v>544</v>
      </c>
      <c r="N126" s="48"/>
    </row>
    <row r="127" spans="1:14" ht="18" hidden="1" customHeight="1">
      <c r="A127" s="30">
        <v>124</v>
      </c>
      <c r="B127" s="31" t="s">
        <v>221</v>
      </c>
      <c r="C127" s="26" t="s">
        <v>182</v>
      </c>
      <c r="D127" s="26" t="s">
        <v>1</v>
      </c>
      <c r="E127" s="26" t="s">
        <v>3</v>
      </c>
      <c r="F127" s="26" t="s">
        <v>108</v>
      </c>
      <c r="G127" s="28">
        <v>1366</v>
      </c>
      <c r="H127" s="28" t="s">
        <v>477</v>
      </c>
      <c r="I127" s="28"/>
      <c r="J127" s="64"/>
      <c r="K127" s="65"/>
      <c r="L127" s="65"/>
      <c r="M127" s="66" t="s">
        <v>544</v>
      </c>
      <c r="N127" s="48"/>
    </row>
    <row r="128" spans="1:14" ht="18" hidden="1" customHeight="1">
      <c r="A128" s="30">
        <v>125</v>
      </c>
      <c r="B128" s="31" t="s">
        <v>221</v>
      </c>
      <c r="C128" s="26" t="s">
        <v>183</v>
      </c>
      <c r="D128" s="26" t="s">
        <v>1</v>
      </c>
      <c r="E128" s="26" t="s">
        <v>2</v>
      </c>
      <c r="F128" s="26" t="s">
        <v>102</v>
      </c>
      <c r="G128" s="28">
        <v>1080</v>
      </c>
      <c r="H128" s="28" t="s">
        <v>502</v>
      </c>
      <c r="I128" s="28"/>
      <c r="J128" s="64" t="s">
        <v>544</v>
      </c>
      <c r="K128" s="65"/>
      <c r="L128" s="65"/>
      <c r="M128" s="66"/>
      <c r="N128" s="48"/>
    </row>
    <row r="129" spans="1:14" ht="18" hidden="1" customHeight="1">
      <c r="A129" s="30">
        <v>126</v>
      </c>
      <c r="B129" s="31" t="s">
        <v>221</v>
      </c>
      <c r="C129" s="26" t="s">
        <v>15</v>
      </c>
      <c r="D129" s="26" t="s">
        <v>1</v>
      </c>
      <c r="E129" s="26" t="s">
        <v>4</v>
      </c>
      <c r="F129" s="26" t="s">
        <v>89</v>
      </c>
      <c r="G129" s="28">
        <v>1660</v>
      </c>
      <c r="H129" s="28" t="s">
        <v>503</v>
      </c>
      <c r="I129" s="28"/>
      <c r="J129" s="64"/>
      <c r="K129" s="65" t="s">
        <v>544</v>
      </c>
      <c r="L129" s="65"/>
      <c r="M129" s="66"/>
      <c r="N129" s="48"/>
    </row>
    <row r="130" spans="1:14" ht="18" hidden="1" customHeight="1">
      <c r="A130" s="46">
        <v>127</v>
      </c>
      <c r="B130" s="50" t="s">
        <v>221</v>
      </c>
      <c r="C130" s="44" t="s">
        <v>86</v>
      </c>
      <c r="D130" s="44" t="s">
        <v>8</v>
      </c>
      <c r="E130" s="44" t="s">
        <v>2</v>
      </c>
      <c r="F130" s="44" t="s">
        <v>85</v>
      </c>
      <c r="G130" s="45">
        <v>1100</v>
      </c>
      <c r="H130" s="45" t="s">
        <v>504</v>
      </c>
      <c r="I130" s="45" t="s">
        <v>555</v>
      </c>
      <c r="J130" s="70"/>
      <c r="K130" s="71"/>
      <c r="L130" s="71"/>
      <c r="M130" s="72" t="s">
        <v>544</v>
      </c>
      <c r="N130" s="48" t="s">
        <v>300</v>
      </c>
    </row>
    <row r="131" spans="1:14" ht="18" hidden="1" customHeight="1">
      <c r="A131" s="46">
        <v>128</v>
      </c>
      <c r="B131" s="50" t="s">
        <v>221</v>
      </c>
      <c r="C131" s="44" t="s">
        <v>29</v>
      </c>
      <c r="D131" s="44" t="s">
        <v>8</v>
      </c>
      <c r="E131" s="44" t="s">
        <v>2</v>
      </c>
      <c r="F131" s="44" t="s">
        <v>82</v>
      </c>
      <c r="G131" s="45">
        <v>1200</v>
      </c>
      <c r="H131" s="45" t="s">
        <v>505</v>
      </c>
      <c r="I131" s="45" t="s">
        <v>555</v>
      </c>
      <c r="J131" s="70"/>
      <c r="K131" s="71"/>
      <c r="L131" s="71"/>
      <c r="M131" s="72" t="s">
        <v>544</v>
      </c>
      <c r="N131" s="48" t="s">
        <v>301</v>
      </c>
    </row>
    <row r="132" spans="1:14" ht="18" hidden="1" customHeight="1">
      <c r="A132" s="30">
        <v>129</v>
      </c>
      <c r="B132" s="31" t="s">
        <v>221</v>
      </c>
      <c r="C132" s="26" t="s">
        <v>184</v>
      </c>
      <c r="D132" s="26" t="s">
        <v>1</v>
      </c>
      <c r="E132" s="26" t="s">
        <v>5</v>
      </c>
      <c r="F132" s="26" t="s">
        <v>360</v>
      </c>
      <c r="G132" s="28">
        <v>1550</v>
      </c>
      <c r="H132" s="28" t="s">
        <v>506</v>
      </c>
      <c r="I132" s="28"/>
      <c r="J132" s="64" t="s">
        <v>544</v>
      </c>
      <c r="K132" s="65"/>
      <c r="L132" s="65"/>
      <c r="M132" s="66"/>
      <c r="N132" s="48"/>
    </row>
    <row r="133" spans="1:14" ht="18" hidden="1" customHeight="1">
      <c r="A133" s="46">
        <v>130</v>
      </c>
      <c r="B133" s="50" t="s">
        <v>221</v>
      </c>
      <c r="C133" s="44" t="s">
        <v>185</v>
      </c>
      <c r="D133" s="44" t="s">
        <v>1</v>
      </c>
      <c r="E133" s="44" t="s">
        <v>151</v>
      </c>
      <c r="F133" s="44" t="s">
        <v>81</v>
      </c>
      <c r="G133" s="45">
        <v>1678</v>
      </c>
      <c r="H133" s="45" t="s">
        <v>496</v>
      </c>
      <c r="I133" s="45" t="s">
        <v>555</v>
      </c>
      <c r="J133" s="70"/>
      <c r="K133" s="71"/>
      <c r="L133" s="71"/>
      <c r="M133" s="72" t="s">
        <v>544</v>
      </c>
      <c r="N133" s="48"/>
    </row>
    <row r="134" spans="1:14" ht="18" hidden="1" customHeight="1">
      <c r="A134" s="46">
        <v>131</v>
      </c>
      <c r="B134" s="50" t="s">
        <v>221</v>
      </c>
      <c r="C134" s="44" t="s">
        <v>185</v>
      </c>
      <c r="D134" s="44" t="s">
        <v>1</v>
      </c>
      <c r="E134" s="44" t="s">
        <v>124</v>
      </c>
      <c r="F134" s="44" t="s">
        <v>81</v>
      </c>
      <c r="G134" s="45">
        <v>1678</v>
      </c>
      <c r="H134" s="45" t="s">
        <v>497</v>
      </c>
      <c r="I134" s="45" t="s">
        <v>555</v>
      </c>
      <c r="J134" s="70"/>
      <c r="K134" s="71"/>
      <c r="L134" s="71"/>
      <c r="M134" s="72" t="s">
        <v>544</v>
      </c>
      <c r="N134" s="48"/>
    </row>
    <row r="135" spans="1:14" ht="18" hidden="1" customHeight="1">
      <c r="A135" s="30">
        <v>132</v>
      </c>
      <c r="B135" s="31" t="s">
        <v>221</v>
      </c>
      <c r="C135" s="26" t="s">
        <v>186</v>
      </c>
      <c r="D135" s="26" t="s">
        <v>1</v>
      </c>
      <c r="E135" s="26" t="s">
        <v>3</v>
      </c>
      <c r="F135" s="26" t="s">
        <v>102</v>
      </c>
      <c r="G135" s="28">
        <v>1200</v>
      </c>
      <c r="H135" s="28" t="s">
        <v>498</v>
      </c>
      <c r="I135" s="28"/>
      <c r="J135" s="64" t="s">
        <v>544</v>
      </c>
      <c r="K135" s="65"/>
      <c r="L135" s="65"/>
      <c r="M135" s="66"/>
      <c r="N135" s="48"/>
    </row>
    <row r="136" spans="1:14" ht="18" hidden="1" customHeight="1">
      <c r="A136" s="46">
        <v>133</v>
      </c>
      <c r="B136" s="50" t="s">
        <v>221</v>
      </c>
      <c r="C136" s="44" t="s">
        <v>186</v>
      </c>
      <c r="D136" s="44" t="s">
        <v>1</v>
      </c>
      <c r="E136" s="44" t="s">
        <v>39</v>
      </c>
      <c r="F136" s="44" t="s">
        <v>102</v>
      </c>
      <c r="G136" s="45">
        <v>1200</v>
      </c>
      <c r="H136" s="45" t="s">
        <v>499</v>
      </c>
      <c r="I136" s="45" t="s">
        <v>555</v>
      </c>
      <c r="J136" s="70"/>
      <c r="K136" s="71"/>
      <c r="L136" s="71"/>
      <c r="M136" s="72" t="s">
        <v>544</v>
      </c>
      <c r="N136" s="48"/>
    </row>
    <row r="137" spans="1:14" ht="18" hidden="1" customHeight="1">
      <c r="A137" s="46">
        <v>134</v>
      </c>
      <c r="B137" s="50" t="s">
        <v>221</v>
      </c>
      <c r="C137" s="44" t="s">
        <v>22</v>
      </c>
      <c r="D137" s="44" t="s">
        <v>1</v>
      </c>
      <c r="E137" s="44" t="s">
        <v>3</v>
      </c>
      <c r="F137" s="44" t="s">
        <v>83</v>
      </c>
      <c r="G137" s="45">
        <v>1100</v>
      </c>
      <c r="H137" s="45" t="s">
        <v>500</v>
      </c>
      <c r="I137" s="45" t="s">
        <v>555</v>
      </c>
      <c r="J137" s="70"/>
      <c r="K137" s="71"/>
      <c r="L137" s="71"/>
      <c r="M137" s="72" t="s">
        <v>544</v>
      </c>
      <c r="N137" s="48"/>
    </row>
    <row r="138" spans="1:14" ht="18" hidden="1" customHeight="1">
      <c r="A138" s="46">
        <v>135</v>
      </c>
      <c r="B138" s="50" t="s">
        <v>221</v>
      </c>
      <c r="C138" s="44" t="s">
        <v>24</v>
      </c>
      <c r="D138" s="44" t="s">
        <v>1</v>
      </c>
      <c r="E138" s="44" t="s">
        <v>3</v>
      </c>
      <c r="F138" s="44" t="s">
        <v>359</v>
      </c>
      <c r="G138" s="45">
        <v>976</v>
      </c>
      <c r="H138" s="45" t="s">
        <v>501</v>
      </c>
      <c r="I138" s="45" t="s">
        <v>555</v>
      </c>
      <c r="J138" s="70"/>
      <c r="K138" s="71"/>
      <c r="L138" s="71"/>
      <c r="M138" s="72" t="s">
        <v>544</v>
      </c>
      <c r="N138" s="48"/>
    </row>
    <row r="139" spans="1:14" ht="18" hidden="1" customHeight="1">
      <c r="A139" s="46">
        <v>136</v>
      </c>
      <c r="B139" s="50" t="s">
        <v>221</v>
      </c>
      <c r="C139" s="44" t="s">
        <v>6</v>
      </c>
      <c r="D139" s="44" t="s">
        <v>1</v>
      </c>
      <c r="E139" s="44" t="s">
        <v>148</v>
      </c>
      <c r="F139" s="44" t="s">
        <v>91</v>
      </c>
      <c r="G139" s="45">
        <v>674</v>
      </c>
      <c r="H139" s="45" t="s">
        <v>478</v>
      </c>
      <c r="I139" s="45" t="s">
        <v>555</v>
      </c>
      <c r="J139" s="70"/>
      <c r="K139" s="71"/>
      <c r="L139" s="71"/>
      <c r="M139" s="72" t="s">
        <v>544</v>
      </c>
      <c r="N139" s="48"/>
    </row>
    <row r="140" spans="1:14" ht="18" hidden="1" customHeight="1">
      <c r="A140" s="46">
        <v>137</v>
      </c>
      <c r="B140" s="50" t="s">
        <v>221</v>
      </c>
      <c r="C140" s="44" t="s">
        <v>6</v>
      </c>
      <c r="D140" s="44" t="s">
        <v>1</v>
      </c>
      <c r="E140" s="44" t="s">
        <v>149</v>
      </c>
      <c r="F140" s="44" t="s">
        <v>91</v>
      </c>
      <c r="G140" s="45">
        <v>674</v>
      </c>
      <c r="H140" s="45" t="s">
        <v>479</v>
      </c>
      <c r="I140" s="45" t="s">
        <v>555</v>
      </c>
      <c r="J140" s="70"/>
      <c r="K140" s="71"/>
      <c r="L140" s="71"/>
      <c r="M140" s="72" t="s">
        <v>544</v>
      </c>
      <c r="N140" s="48"/>
    </row>
    <row r="141" spans="1:14" ht="18" hidden="1" customHeight="1">
      <c r="A141" s="46">
        <v>138</v>
      </c>
      <c r="B141" s="50" t="s">
        <v>221</v>
      </c>
      <c r="C141" s="44" t="s">
        <v>6</v>
      </c>
      <c r="D141" s="44" t="s">
        <v>1</v>
      </c>
      <c r="E141" s="44" t="s">
        <v>2</v>
      </c>
      <c r="F141" s="44" t="s">
        <v>91</v>
      </c>
      <c r="G141" s="45">
        <v>674</v>
      </c>
      <c r="H141" s="45" t="s">
        <v>480</v>
      </c>
      <c r="I141" s="45" t="s">
        <v>555</v>
      </c>
      <c r="J141" s="70"/>
      <c r="K141" s="71"/>
      <c r="L141" s="71"/>
      <c r="M141" s="72" t="s">
        <v>544</v>
      </c>
      <c r="N141" s="48"/>
    </row>
    <row r="142" spans="1:14" ht="18" hidden="1" customHeight="1">
      <c r="A142" s="46">
        <v>139</v>
      </c>
      <c r="B142" s="50" t="s">
        <v>221</v>
      </c>
      <c r="C142" s="44" t="s">
        <v>187</v>
      </c>
      <c r="D142" s="44" t="s">
        <v>1</v>
      </c>
      <c r="E142" s="44" t="s">
        <v>2</v>
      </c>
      <c r="F142" s="44" t="s">
        <v>197</v>
      </c>
      <c r="G142" s="45">
        <v>600</v>
      </c>
      <c r="H142" s="45" t="s">
        <v>481</v>
      </c>
      <c r="I142" s="45" t="s">
        <v>555</v>
      </c>
      <c r="J142" s="70"/>
      <c r="K142" s="71"/>
      <c r="L142" s="71"/>
      <c r="M142" s="72" t="s">
        <v>544</v>
      </c>
      <c r="N142" s="48"/>
    </row>
    <row r="143" spans="1:14" ht="18" hidden="1" customHeight="1">
      <c r="A143" s="30">
        <v>140</v>
      </c>
      <c r="B143" s="31" t="s">
        <v>221</v>
      </c>
      <c r="C143" s="26" t="s">
        <v>187</v>
      </c>
      <c r="D143" s="26" t="s">
        <v>1</v>
      </c>
      <c r="E143" s="26" t="s">
        <v>148</v>
      </c>
      <c r="F143" s="26" t="s">
        <v>197</v>
      </c>
      <c r="G143" s="28">
        <v>600</v>
      </c>
      <c r="H143" s="28" t="s">
        <v>482</v>
      </c>
      <c r="I143" s="28"/>
      <c r="J143" s="64" t="s">
        <v>544</v>
      </c>
      <c r="K143" s="65"/>
      <c r="L143" s="65"/>
      <c r="M143" s="66"/>
      <c r="N143" s="48"/>
    </row>
    <row r="144" spans="1:14" ht="18" hidden="1" customHeight="1">
      <c r="A144" s="23">
        <v>141</v>
      </c>
      <c r="B144" s="24" t="s">
        <v>221</v>
      </c>
      <c r="C144" s="25" t="s">
        <v>12</v>
      </c>
      <c r="D144" s="25" t="s">
        <v>1</v>
      </c>
      <c r="E144" s="25" t="s">
        <v>2</v>
      </c>
      <c r="F144" s="25" t="s">
        <v>84</v>
      </c>
      <c r="G144" s="47">
        <v>550</v>
      </c>
      <c r="H144" s="47" t="s">
        <v>483</v>
      </c>
      <c r="I144" s="47" t="s">
        <v>556</v>
      </c>
      <c r="J144" s="76"/>
      <c r="K144" s="77"/>
      <c r="L144" s="77"/>
      <c r="M144" s="78" t="s">
        <v>544</v>
      </c>
      <c r="N144" s="48"/>
    </row>
    <row r="145" spans="1:14" ht="18" hidden="1" customHeight="1">
      <c r="A145" s="30">
        <v>142</v>
      </c>
      <c r="B145" s="31" t="s">
        <v>221</v>
      </c>
      <c r="C145" s="26" t="s">
        <v>12</v>
      </c>
      <c r="D145" s="26" t="s">
        <v>1</v>
      </c>
      <c r="E145" s="26" t="s">
        <v>5</v>
      </c>
      <c r="F145" s="26" t="s">
        <v>84</v>
      </c>
      <c r="G145" s="28">
        <v>550</v>
      </c>
      <c r="H145" s="28" t="s">
        <v>484</v>
      </c>
      <c r="I145" s="28"/>
      <c r="J145" s="64" t="s">
        <v>544</v>
      </c>
      <c r="K145" s="65"/>
      <c r="L145" s="65"/>
      <c r="M145" s="66"/>
      <c r="N145" s="48"/>
    </row>
    <row r="146" spans="1:14" ht="18" hidden="1" customHeight="1">
      <c r="A146" s="30">
        <v>143</v>
      </c>
      <c r="B146" s="31" t="s">
        <v>221</v>
      </c>
      <c r="C146" s="26" t="s">
        <v>12</v>
      </c>
      <c r="D146" s="26" t="s">
        <v>1</v>
      </c>
      <c r="E146" s="26" t="s">
        <v>148</v>
      </c>
      <c r="F146" s="26" t="s">
        <v>84</v>
      </c>
      <c r="G146" s="28">
        <v>550</v>
      </c>
      <c r="H146" s="28" t="s">
        <v>485</v>
      </c>
      <c r="I146" s="28"/>
      <c r="J146" s="64" t="s">
        <v>544</v>
      </c>
      <c r="K146" s="65"/>
      <c r="L146" s="65"/>
      <c r="M146" s="66"/>
      <c r="N146" s="48"/>
    </row>
    <row r="147" spans="1:14" ht="18" hidden="1" customHeight="1">
      <c r="A147" s="23">
        <v>144</v>
      </c>
      <c r="B147" s="24" t="s">
        <v>221</v>
      </c>
      <c r="C147" s="25" t="s">
        <v>188</v>
      </c>
      <c r="D147" s="25" t="s">
        <v>1</v>
      </c>
      <c r="E147" s="25" t="s">
        <v>150</v>
      </c>
      <c r="F147" s="25" t="s">
        <v>101</v>
      </c>
      <c r="G147" s="47">
        <v>365</v>
      </c>
      <c r="H147" s="47" t="s">
        <v>486</v>
      </c>
      <c r="I147" s="47" t="s">
        <v>556</v>
      </c>
      <c r="J147" s="76"/>
      <c r="K147" s="77"/>
      <c r="L147" s="77"/>
      <c r="M147" s="78" t="s">
        <v>544</v>
      </c>
      <c r="N147" s="48"/>
    </row>
    <row r="148" spans="1:14" ht="18" hidden="1" customHeight="1">
      <c r="A148" s="23">
        <v>145</v>
      </c>
      <c r="B148" s="24" t="s">
        <v>221</v>
      </c>
      <c r="C148" s="25" t="s">
        <v>188</v>
      </c>
      <c r="D148" s="25" t="s">
        <v>1</v>
      </c>
      <c r="E148" s="25" t="s">
        <v>190</v>
      </c>
      <c r="F148" s="25" t="s">
        <v>101</v>
      </c>
      <c r="G148" s="47">
        <v>365</v>
      </c>
      <c r="H148" s="47" t="s">
        <v>487</v>
      </c>
      <c r="I148" s="47" t="s">
        <v>556</v>
      </c>
      <c r="J148" s="76"/>
      <c r="K148" s="77"/>
      <c r="L148" s="77"/>
      <c r="M148" s="78" t="s">
        <v>544</v>
      </c>
      <c r="N148" s="48" t="s">
        <v>241</v>
      </c>
    </row>
    <row r="149" spans="1:14" ht="18" hidden="1" customHeight="1">
      <c r="A149" s="23">
        <v>146</v>
      </c>
      <c r="B149" s="24" t="s">
        <v>221</v>
      </c>
      <c r="C149" s="25" t="s">
        <v>188</v>
      </c>
      <c r="D149" s="25" t="s">
        <v>1</v>
      </c>
      <c r="E149" s="25" t="s">
        <v>189</v>
      </c>
      <c r="F149" s="25" t="s">
        <v>101</v>
      </c>
      <c r="G149" s="47">
        <v>365</v>
      </c>
      <c r="H149" s="47" t="s">
        <v>488</v>
      </c>
      <c r="I149" s="47" t="s">
        <v>556</v>
      </c>
      <c r="J149" s="76"/>
      <c r="K149" s="77"/>
      <c r="L149" s="77"/>
      <c r="M149" s="78" t="s">
        <v>544</v>
      </c>
      <c r="N149" s="48" t="s">
        <v>241</v>
      </c>
    </row>
    <row r="150" spans="1:14" ht="18" hidden="1" customHeight="1">
      <c r="A150" s="30">
        <v>147</v>
      </c>
      <c r="B150" s="31" t="s">
        <v>221</v>
      </c>
      <c r="C150" s="26" t="s">
        <v>191</v>
      </c>
      <c r="D150" s="26" t="s">
        <v>1</v>
      </c>
      <c r="E150" s="26" t="s">
        <v>39</v>
      </c>
      <c r="F150" s="26" t="s">
        <v>106</v>
      </c>
      <c r="G150" s="28">
        <v>300</v>
      </c>
      <c r="H150" s="28" t="s">
        <v>489</v>
      </c>
      <c r="I150" s="28"/>
      <c r="J150" s="64" t="s">
        <v>544</v>
      </c>
      <c r="K150" s="65"/>
      <c r="L150" s="65"/>
      <c r="M150" s="66"/>
      <c r="N150" s="48"/>
    </row>
    <row r="151" spans="1:14" ht="18" hidden="1" customHeight="1">
      <c r="A151" s="30">
        <v>148</v>
      </c>
      <c r="B151" s="31" t="s">
        <v>221</v>
      </c>
      <c r="C151" s="26" t="s">
        <v>192</v>
      </c>
      <c r="D151" s="26" t="s">
        <v>1</v>
      </c>
      <c r="E151" s="26" t="s">
        <v>39</v>
      </c>
      <c r="F151" s="26" t="s">
        <v>106</v>
      </c>
      <c r="G151" s="28">
        <v>300</v>
      </c>
      <c r="H151" s="28" t="s">
        <v>490</v>
      </c>
      <c r="I151" s="28"/>
      <c r="J151" s="64" t="s">
        <v>544</v>
      </c>
      <c r="K151" s="65"/>
      <c r="L151" s="65"/>
      <c r="M151" s="66"/>
      <c r="N151" s="48" t="s">
        <v>299</v>
      </c>
    </row>
    <row r="152" spans="1:14" ht="18" hidden="1" customHeight="1">
      <c r="A152" s="30">
        <v>149</v>
      </c>
      <c r="B152" s="31" t="s">
        <v>221</v>
      </c>
      <c r="C152" s="26" t="s">
        <v>23</v>
      </c>
      <c r="D152" s="26" t="s">
        <v>1</v>
      </c>
      <c r="E152" s="26" t="s">
        <v>147</v>
      </c>
      <c r="F152" s="26" t="s">
        <v>92</v>
      </c>
      <c r="G152" s="28">
        <v>380</v>
      </c>
      <c r="H152" s="28" t="s">
        <v>491</v>
      </c>
      <c r="I152" s="28"/>
      <c r="J152" s="64" t="s">
        <v>544</v>
      </c>
      <c r="K152" s="65"/>
      <c r="L152" s="65"/>
      <c r="M152" s="66"/>
      <c r="N152" s="48" t="s">
        <v>358</v>
      </c>
    </row>
    <row r="153" spans="1:14" ht="18" hidden="1" customHeight="1">
      <c r="A153" s="30">
        <v>150</v>
      </c>
      <c r="B153" s="31" t="s">
        <v>221</v>
      </c>
      <c r="C153" s="26" t="s">
        <v>27</v>
      </c>
      <c r="D153" s="26" t="s">
        <v>1</v>
      </c>
      <c r="E153" s="26" t="s">
        <v>3</v>
      </c>
      <c r="F153" s="26" t="s">
        <v>228</v>
      </c>
      <c r="G153" s="28">
        <v>335</v>
      </c>
      <c r="H153" s="28" t="s">
        <v>492</v>
      </c>
      <c r="I153" s="28"/>
      <c r="J153" s="64" t="s">
        <v>544</v>
      </c>
      <c r="K153" s="65"/>
      <c r="L153" s="65"/>
      <c r="M153" s="66"/>
      <c r="N153" s="48" t="s">
        <v>230</v>
      </c>
    </row>
    <row r="154" spans="1:14" ht="18" hidden="1" customHeight="1">
      <c r="A154" s="23">
        <v>151</v>
      </c>
      <c r="B154" s="24" t="s">
        <v>221</v>
      </c>
      <c r="C154" s="25" t="s">
        <v>193</v>
      </c>
      <c r="D154" s="25" t="s">
        <v>1</v>
      </c>
      <c r="E154" s="25" t="s">
        <v>39</v>
      </c>
      <c r="F154" s="25" t="s">
        <v>107</v>
      </c>
      <c r="G154" s="47">
        <v>280</v>
      </c>
      <c r="H154" s="47" t="s">
        <v>493</v>
      </c>
      <c r="I154" s="47" t="s">
        <v>556</v>
      </c>
      <c r="J154" s="76"/>
      <c r="K154" s="77"/>
      <c r="L154" s="77"/>
      <c r="M154" s="78" t="s">
        <v>544</v>
      </c>
      <c r="N154" s="48"/>
    </row>
    <row r="155" spans="1:14" ht="18" hidden="1" customHeight="1">
      <c r="A155" s="23">
        <v>152</v>
      </c>
      <c r="B155" s="24" t="s">
        <v>221</v>
      </c>
      <c r="C155" s="25" t="s">
        <v>193</v>
      </c>
      <c r="D155" s="25" t="s">
        <v>1</v>
      </c>
      <c r="E155" s="25" t="s">
        <v>3</v>
      </c>
      <c r="F155" s="25" t="s">
        <v>107</v>
      </c>
      <c r="G155" s="47">
        <v>280</v>
      </c>
      <c r="H155" s="47" t="s">
        <v>494</v>
      </c>
      <c r="I155" s="47" t="s">
        <v>556</v>
      </c>
      <c r="J155" s="76"/>
      <c r="K155" s="77"/>
      <c r="L155" s="77"/>
      <c r="M155" s="78" t="s">
        <v>544</v>
      </c>
      <c r="N155" s="48" t="s">
        <v>241</v>
      </c>
    </row>
    <row r="156" spans="1:14" ht="18" hidden="1" customHeight="1">
      <c r="A156" s="30">
        <v>153</v>
      </c>
      <c r="B156" s="31" t="s">
        <v>221</v>
      </c>
      <c r="C156" s="26" t="s">
        <v>18</v>
      </c>
      <c r="D156" s="26" t="s">
        <v>7</v>
      </c>
      <c r="E156" s="26" t="s">
        <v>151</v>
      </c>
      <c r="F156" s="26" t="s">
        <v>87</v>
      </c>
      <c r="G156" s="28">
        <v>750</v>
      </c>
      <c r="H156" s="28" t="s">
        <v>495</v>
      </c>
      <c r="I156" s="28"/>
      <c r="J156" s="64" t="s">
        <v>544</v>
      </c>
      <c r="K156" s="65"/>
      <c r="L156" s="65"/>
      <c r="M156" s="66"/>
      <c r="N156" s="48" t="s">
        <v>296</v>
      </c>
    </row>
    <row r="157" spans="1:14" ht="20.25" customHeight="1">
      <c r="A157" s="82">
        <v>154</v>
      </c>
      <c r="B157" s="83" t="s">
        <v>221</v>
      </c>
      <c r="C157" s="27" t="s">
        <v>10</v>
      </c>
      <c r="D157" s="27" t="s">
        <v>33</v>
      </c>
      <c r="E157" s="27" t="s">
        <v>54</v>
      </c>
      <c r="F157" s="27" t="s">
        <v>105</v>
      </c>
      <c r="G157" s="28">
        <v>1570</v>
      </c>
      <c r="H157" s="28"/>
      <c r="I157" s="28"/>
      <c r="J157" s="64" t="s">
        <v>544</v>
      </c>
      <c r="K157" s="65"/>
      <c r="L157" s="65"/>
      <c r="M157" s="66"/>
      <c r="N157" s="48" t="s">
        <v>296</v>
      </c>
    </row>
    <row r="158" spans="1:14" ht="20.25" hidden="1" customHeight="1">
      <c r="A158" s="82">
        <v>155</v>
      </c>
      <c r="B158" s="83" t="s">
        <v>221</v>
      </c>
      <c r="C158" s="27" t="s">
        <v>19</v>
      </c>
      <c r="D158" s="27" t="s">
        <v>7</v>
      </c>
      <c r="E158" s="27" t="s">
        <v>124</v>
      </c>
      <c r="F158" s="27" t="s">
        <v>114</v>
      </c>
      <c r="G158" s="28">
        <v>400</v>
      </c>
      <c r="H158" s="28"/>
      <c r="I158" s="28"/>
      <c r="J158" s="64" t="s">
        <v>544</v>
      </c>
      <c r="K158" s="65"/>
      <c r="L158" s="65"/>
      <c r="M158" s="66"/>
      <c r="N158" s="48" t="s">
        <v>296</v>
      </c>
    </row>
    <row r="159" spans="1:14" ht="20.25" hidden="1" customHeight="1">
      <c r="A159" s="82">
        <v>156</v>
      </c>
      <c r="B159" s="83" t="s">
        <v>221</v>
      </c>
      <c r="C159" s="27" t="s">
        <v>17</v>
      </c>
      <c r="D159" s="27" t="s">
        <v>7</v>
      </c>
      <c r="E159" s="27" t="s">
        <v>150</v>
      </c>
      <c r="F159" s="27" t="s">
        <v>88</v>
      </c>
      <c r="G159" s="28">
        <v>580</v>
      </c>
      <c r="H159" s="84"/>
      <c r="I159" s="84"/>
      <c r="J159" s="64" t="s">
        <v>544</v>
      </c>
      <c r="K159" s="85"/>
      <c r="L159" s="85"/>
      <c r="M159" s="86"/>
      <c r="N159" s="48" t="s">
        <v>296</v>
      </c>
    </row>
    <row r="160" spans="1:14" ht="20.25" hidden="1" customHeight="1">
      <c r="A160" s="82">
        <v>157</v>
      </c>
      <c r="B160" s="83" t="s">
        <v>221</v>
      </c>
      <c r="C160" s="27" t="s">
        <v>16</v>
      </c>
      <c r="D160" s="27" t="s">
        <v>33</v>
      </c>
      <c r="E160" s="27" t="s">
        <v>53</v>
      </c>
      <c r="F160" s="27" t="s">
        <v>113</v>
      </c>
      <c r="G160" s="28">
        <v>935</v>
      </c>
      <c r="H160" s="84"/>
      <c r="I160" s="84"/>
      <c r="J160" s="64" t="s">
        <v>544</v>
      </c>
      <c r="K160" s="85"/>
      <c r="L160" s="85"/>
      <c r="M160" s="86"/>
      <c r="N160" s="48" t="s">
        <v>297</v>
      </c>
    </row>
    <row r="161" spans="1:14" ht="20.25" hidden="1" customHeight="1">
      <c r="A161" s="82">
        <v>158</v>
      </c>
      <c r="B161" s="83" t="s">
        <v>221</v>
      </c>
      <c r="C161" s="27" t="s">
        <v>109</v>
      </c>
      <c r="D161" s="27" t="s">
        <v>7</v>
      </c>
      <c r="E161" s="27" t="s">
        <v>147</v>
      </c>
      <c r="F161" s="27" t="s">
        <v>115</v>
      </c>
      <c r="G161" s="28">
        <v>1070</v>
      </c>
      <c r="H161" s="84"/>
      <c r="I161" s="84"/>
      <c r="J161" s="64" t="s">
        <v>544</v>
      </c>
      <c r="K161" s="85"/>
      <c r="L161" s="85"/>
      <c r="M161" s="86"/>
      <c r="N161" s="48" t="s">
        <v>297</v>
      </c>
    </row>
    <row r="162" spans="1:14" ht="20.25" hidden="1" customHeight="1">
      <c r="A162" s="82">
        <v>159</v>
      </c>
      <c r="B162" s="83" t="s">
        <v>221</v>
      </c>
      <c r="C162" s="27" t="s">
        <v>110</v>
      </c>
      <c r="D162" s="27" t="s">
        <v>7</v>
      </c>
      <c r="E162" s="27" t="s">
        <v>147</v>
      </c>
      <c r="F162" s="27" t="s">
        <v>78</v>
      </c>
      <c r="G162" s="28">
        <v>967</v>
      </c>
      <c r="H162" s="84"/>
      <c r="I162" s="84"/>
      <c r="J162" s="64" t="s">
        <v>544</v>
      </c>
      <c r="K162" s="85"/>
      <c r="L162" s="85"/>
      <c r="M162" s="86"/>
      <c r="N162" s="48" t="s">
        <v>297</v>
      </c>
    </row>
    <row r="163" spans="1:14" ht="20.25" hidden="1" customHeight="1">
      <c r="A163" s="82">
        <v>160</v>
      </c>
      <c r="B163" s="83" t="s">
        <v>221</v>
      </c>
      <c r="C163" s="27" t="s">
        <v>111</v>
      </c>
      <c r="D163" s="27" t="s">
        <v>7</v>
      </c>
      <c r="E163" s="27" t="s">
        <v>147</v>
      </c>
      <c r="F163" s="27" t="s">
        <v>78</v>
      </c>
      <c r="G163" s="28">
        <v>967</v>
      </c>
      <c r="H163" s="84"/>
      <c r="I163" s="84"/>
      <c r="J163" s="64" t="s">
        <v>544</v>
      </c>
      <c r="K163" s="85"/>
      <c r="L163" s="85"/>
      <c r="M163" s="86"/>
      <c r="N163" s="48" t="s">
        <v>297</v>
      </c>
    </row>
    <row r="164" spans="1:14" ht="20.25" hidden="1" customHeight="1">
      <c r="A164" s="82">
        <v>161</v>
      </c>
      <c r="B164" s="83" t="s">
        <v>221</v>
      </c>
      <c r="C164" s="27" t="s">
        <v>112</v>
      </c>
      <c r="D164" s="27" t="s">
        <v>7</v>
      </c>
      <c r="E164" s="27" t="s">
        <v>147</v>
      </c>
      <c r="F164" s="27" t="s">
        <v>80</v>
      </c>
      <c r="G164" s="28">
        <v>1283</v>
      </c>
      <c r="H164" s="84"/>
      <c r="I164" s="84"/>
      <c r="J164" s="64" t="s">
        <v>544</v>
      </c>
      <c r="K164" s="85"/>
      <c r="L164" s="85"/>
      <c r="M164" s="86"/>
      <c r="N164" s="48" t="s">
        <v>297</v>
      </c>
    </row>
    <row r="165" spans="1:14" ht="20.25" hidden="1" customHeight="1">
      <c r="A165" s="82">
        <v>162</v>
      </c>
      <c r="B165" s="83" t="s">
        <v>221</v>
      </c>
      <c r="C165" s="27" t="s">
        <v>14</v>
      </c>
      <c r="D165" s="27" t="s">
        <v>1</v>
      </c>
      <c r="E165" s="27" t="s">
        <v>54</v>
      </c>
      <c r="F165" s="27" t="s">
        <v>217</v>
      </c>
      <c r="G165" s="28">
        <v>1411</v>
      </c>
      <c r="H165" s="84"/>
      <c r="I165" s="84"/>
      <c r="J165" s="64" t="s">
        <v>544</v>
      </c>
      <c r="K165" s="85"/>
      <c r="L165" s="85"/>
      <c r="M165" s="86"/>
      <c r="N165" s="48" t="s">
        <v>298</v>
      </c>
    </row>
    <row r="166" spans="1:14" ht="20.25" hidden="1" customHeight="1">
      <c r="A166" s="82">
        <v>163</v>
      </c>
      <c r="B166" s="83" t="s">
        <v>221</v>
      </c>
      <c r="C166" s="27" t="s">
        <v>14</v>
      </c>
      <c r="D166" s="27" t="s">
        <v>1</v>
      </c>
      <c r="E166" s="27" t="s">
        <v>52</v>
      </c>
      <c r="F166" s="27" t="s">
        <v>217</v>
      </c>
      <c r="G166" s="28">
        <v>1411</v>
      </c>
      <c r="H166" s="84"/>
      <c r="I166" s="84"/>
      <c r="J166" s="64" t="s">
        <v>544</v>
      </c>
      <c r="K166" s="85"/>
      <c r="L166" s="85"/>
      <c r="M166" s="86"/>
      <c r="N166" s="48" t="s">
        <v>298</v>
      </c>
    </row>
    <row r="167" spans="1:14" ht="20.25" hidden="1" customHeight="1">
      <c r="A167" s="82">
        <v>164</v>
      </c>
      <c r="B167" s="83" t="s">
        <v>221</v>
      </c>
      <c r="C167" s="27" t="s">
        <v>181</v>
      </c>
      <c r="D167" s="27" t="s">
        <v>1</v>
      </c>
      <c r="E167" s="27" t="s">
        <v>126</v>
      </c>
      <c r="F167" s="27" t="s">
        <v>103</v>
      </c>
      <c r="G167" s="28">
        <v>1402</v>
      </c>
      <c r="H167" s="84"/>
      <c r="I167" s="84"/>
      <c r="J167" s="64" t="s">
        <v>544</v>
      </c>
      <c r="K167" s="85"/>
      <c r="L167" s="85"/>
      <c r="M167" s="86"/>
      <c r="N167" s="48" t="s">
        <v>298</v>
      </c>
    </row>
    <row r="168" spans="1:14" ht="20.25" hidden="1" customHeight="1">
      <c r="A168" s="82">
        <v>165</v>
      </c>
      <c r="B168" s="83" t="s">
        <v>221</v>
      </c>
      <c r="C168" s="27" t="s">
        <v>181</v>
      </c>
      <c r="D168" s="27" t="s">
        <v>1</v>
      </c>
      <c r="E168" s="27" t="s">
        <v>122</v>
      </c>
      <c r="F168" s="27" t="s">
        <v>103</v>
      </c>
      <c r="G168" s="28">
        <v>1402</v>
      </c>
      <c r="H168" s="84"/>
      <c r="I168" s="84"/>
      <c r="J168" s="64" t="s">
        <v>544</v>
      </c>
      <c r="K168" s="85"/>
      <c r="L168" s="85"/>
      <c r="M168" s="86"/>
      <c r="N168" s="48" t="s">
        <v>298</v>
      </c>
    </row>
    <row r="169" spans="1:14" ht="20.25" hidden="1" customHeight="1">
      <c r="A169" s="82">
        <v>166</v>
      </c>
      <c r="B169" s="83" t="s">
        <v>221</v>
      </c>
      <c r="C169" s="27" t="s">
        <v>178</v>
      </c>
      <c r="D169" s="27" t="s">
        <v>33</v>
      </c>
      <c r="E169" s="27" t="s">
        <v>39</v>
      </c>
      <c r="F169" s="27" t="s">
        <v>99</v>
      </c>
      <c r="G169" s="28">
        <v>1499</v>
      </c>
      <c r="H169" s="84"/>
      <c r="I169" s="84"/>
      <c r="J169" s="64" t="s">
        <v>544</v>
      </c>
      <c r="K169" s="85"/>
      <c r="L169" s="85"/>
      <c r="M169" s="86"/>
      <c r="N169" s="48" t="s">
        <v>297</v>
      </c>
    </row>
    <row r="170" spans="1:14" ht="20.25" hidden="1" customHeight="1">
      <c r="A170" s="82">
        <v>167</v>
      </c>
      <c r="B170" s="83" t="s">
        <v>221</v>
      </c>
      <c r="C170" s="27" t="s">
        <v>179</v>
      </c>
      <c r="D170" s="27" t="s">
        <v>33</v>
      </c>
      <c r="E170" s="27" t="s">
        <v>38</v>
      </c>
      <c r="F170" s="27" t="s">
        <v>93</v>
      </c>
      <c r="G170" s="28">
        <v>1218</v>
      </c>
      <c r="H170" s="84"/>
      <c r="I170" s="84"/>
      <c r="J170" s="64" t="s">
        <v>544</v>
      </c>
      <c r="K170" s="85"/>
      <c r="L170" s="85"/>
      <c r="M170" s="86"/>
      <c r="N170" s="48" t="s">
        <v>297</v>
      </c>
    </row>
    <row r="171" spans="1:14" ht="20.25" customHeight="1" thickBot="1">
      <c r="A171" s="87"/>
      <c r="B171" s="88"/>
      <c r="C171" s="89"/>
      <c r="D171" s="88"/>
      <c r="E171" s="88"/>
      <c r="F171" s="88"/>
      <c r="G171" s="88"/>
      <c r="H171" s="88"/>
      <c r="I171" s="88"/>
      <c r="J171" s="90"/>
      <c r="K171" s="91"/>
      <c r="L171" s="91"/>
      <c r="M171" s="92"/>
      <c r="N171" s="93"/>
    </row>
    <row r="172" spans="1:14" ht="27" customHeight="1" thickTop="1" thickBot="1">
      <c r="A172" s="52"/>
      <c r="B172" s="53"/>
      <c r="C172" s="41"/>
      <c r="D172" s="53"/>
      <c r="E172" s="53"/>
      <c r="F172" s="53"/>
      <c r="G172" s="53"/>
      <c r="H172" s="53"/>
      <c r="I172" s="53"/>
      <c r="J172" s="79">
        <f>COUNTA(J4:J170)</f>
        <v>76</v>
      </c>
      <c r="K172" s="80">
        <f t="shared" ref="K172:M172" si="0">COUNTA(K4:K170)</f>
        <v>31</v>
      </c>
      <c r="L172" s="80">
        <f t="shared" si="0"/>
        <v>15</v>
      </c>
      <c r="M172" s="81">
        <f t="shared" si="0"/>
        <v>45</v>
      </c>
      <c r="N172" s="54">
        <f>SUM(J172:M172)</f>
        <v>167</v>
      </c>
    </row>
  </sheetData>
  <autoFilter ref="A2:I170" xr:uid="{00000000-0009-0000-0000-000000000000}">
    <filterColumn colId="5">
      <filters>
        <filter val="620x1765x570"/>
      </filters>
    </filterColumn>
  </autoFilter>
  <sortState xmlns:xlrd2="http://schemas.microsoft.com/office/spreadsheetml/2017/richdata2" ref="A4:O119">
    <sortCondition ref="C4:C119"/>
  </sortState>
  <mergeCells count="12">
    <mergeCell ref="A1:F1"/>
    <mergeCell ref="A2:A3"/>
    <mergeCell ref="C2:C3"/>
    <mergeCell ref="D2:D3"/>
    <mergeCell ref="E2:E3"/>
    <mergeCell ref="N2:N3"/>
    <mergeCell ref="H2:H3"/>
    <mergeCell ref="B2:B3"/>
    <mergeCell ref="I2:I3"/>
    <mergeCell ref="F2:F3"/>
    <mergeCell ref="G2:G3"/>
    <mergeCell ref="J2:M2"/>
  </mergeCells>
  <phoneticPr fontId="3" type="noConversion"/>
  <pageMargins left="0.7" right="0.7" top="0.75" bottom="0.75" header="0.3" footer="0.3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"/>
  <sheetViews>
    <sheetView view="pageBreakPreview" zoomScale="115" zoomScaleNormal="100" zoomScaleSheetLayoutView="115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J52" sqref="J52:L52"/>
    </sheetView>
  </sheetViews>
  <sheetFormatPr defaultRowHeight="14.25"/>
  <cols>
    <col min="1" max="1" width="4.75" customWidth="1"/>
    <col min="2" max="2" width="15" customWidth="1"/>
    <col min="3" max="3" width="13.375" style="3" customWidth="1"/>
    <col min="4" max="4" width="15.625" style="3" customWidth="1"/>
    <col min="5" max="5" width="11.375" style="3" customWidth="1"/>
    <col min="6" max="6" width="17.125" customWidth="1"/>
    <col min="7" max="7" width="10.125" customWidth="1"/>
    <col min="8" max="9" width="14" customWidth="1"/>
    <col min="10" max="13" width="7.875" customWidth="1"/>
    <col min="14" max="14" width="9.625" customWidth="1"/>
    <col min="15" max="15" width="19.75" customWidth="1"/>
    <col min="16" max="18" width="12.625" customWidth="1"/>
  </cols>
  <sheetData>
    <row r="1" spans="1:14" ht="24.75" customHeight="1" thickBot="1">
      <c r="A1" s="139" t="s">
        <v>223</v>
      </c>
      <c r="B1" s="139"/>
      <c r="C1" s="139"/>
      <c r="D1" s="139"/>
      <c r="E1" s="139"/>
      <c r="F1" s="139"/>
    </row>
    <row r="2" spans="1:14" ht="25.5" customHeight="1">
      <c r="A2" s="140" t="s">
        <v>0</v>
      </c>
      <c r="B2" s="142" t="s">
        <v>220</v>
      </c>
      <c r="C2" s="144" t="s">
        <v>546</v>
      </c>
      <c r="D2" s="144" t="s">
        <v>547</v>
      </c>
      <c r="E2" s="144" t="s">
        <v>548</v>
      </c>
      <c r="F2" s="142" t="s">
        <v>35</v>
      </c>
      <c r="G2" s="135" t="s">
        <v>554</v>
      </c>
      <c r="H2" s="135" t="s">
        <v>219</v>
      </c>
      <c r="I2" s="135" t="s">
        <v>222</v>
      </c>
      <c r="J2" s="146" t="s">
        <v>549</v>
      </c>
      <c r="K2" s="147"/>
      <c r="L2" s="147"/>
      <c r="M2" s="148"/>
      <c r="N2" s="137" t="s">
        <v>229</v>
      </c>
    </row>
    <row r="3" spans="1:14" ht="24" customHeight="1" thickBot="1">
      <c r="A3" s="141"/>
      <c r="B3" s="143"/>
      <c r="C3" s="143"/>
      <c r="D3" s="145"/>
      <c r="E3" s="145"/>
      <c r="F3" s="143"/>
      <c r="G3" s="136"/>
      <c r="H3" s="136"/>
      <c r="I3" s="136"/>
      <c r="J3" s="58" t="s">
        <v>550</v>
      </c>
      <c r="K3" s="59" t="s">
        <v>551</v>
      </c>
      <c r="L3" s="59" t="s">
        <v>552</v>
      </c>
      <c r="M3" s="60" t="s">
        <v>553</v>
      </c>
      <c r="N3" s="138"/>
    </row>
    <row r="4" spans="1:14" ht="18" customHeight="1" thickTop="1">
      <c r="A4" s="16">
        <v>1</v>
      </c>
      <c r="B4" s="17" t="s">
        <v>224</v>
      </c>
      <c r="C4" s="18" t="s">
        <v>37</v>
      </c>
      <c r="D4" s="19" t="s">
        <v>34</v>
      </c>
      <c r="E4" s="20" t="s">
        <v>3</v>
      </c>
      <c r="F4" s="19" t="s">
        <v>233</v>
      </c>
      <c r="G4" s="21">
        <v>656</v>
      </c>
      <c r="H4" s="21" t="s">
        <v>247</v>
      </c>
      <c r="I4" s="21"/>
      <c r="J4" s="61"/>
      <c r="K4" s="62"/>
      <c r="L4" s="62" t="s">
        <v>544</v>
      </c>
      <c r="M4" s="63"/>
      <c r="N4" s="22" t="s">
        <v>234</v>
      </c>
    </row>
    <row r="5" spans="1:14" ht="18" customHeight="1">
      <c r="A5" s="23">
        <v>2</v>
      </c>
      <c r="B5" s="24" t="s">
        <v>224</v>
      </c>
      <c r="C5" s="25" t="s">
        <v>40</v>
      </c>
      <c r="D5" s="26" t="s">
        <v>34</v>
      </c>
      <c r="E5" s="27" t="s">
        <v>3</v>
      </c>
      <c r="F5" s="26" t="s">
        <v>233</v>
      </c>
      <c r="G5" s="28">
        <v>652</v>
      </c>
      <c r="H5" s="28" t="s">
        <v>248</v>
      </c>
      <c r="I5" s="28"/>
      <c r="J5" s="64"/>
      <c r="K5" s="65"/>
      <c r="L5" s="65" t="s">
        <v>544</v>
      </c>
      <c r="M5" s="66"/>
      <c r="N5" s="29" t="s">
        <v>235</v>
      </c>
    </row>
    <row r="6" spans="1:14" ht="18" customHeight="1">
      <c r="A6" s="23">
        <v>3</v>
      </c>
      <c r="B6" s="24" t="s">
        <v>224</v>
      </c>
      <c r="C6" s="25" t="s">
        <v>40</v>
      </c>
      <c r="D6" s="26" t="s">
        <v>34</v>
      </c>
      <c r="E6" s="27" t="s">
        <v>41</v>
      </c>
      <c r="F6" s="26" t="s">
        <v>233</v>
      </c>
      <c r="G6" s="28">
        <v>653</v>
      </c>
      <c r="H6" s="28" t="s">
        <v>249</v>
      </c>
      <c r="I6" s="28"/>
      <c r="J6" s="64"/>
      <c r="K6" s="65"/>
      <c r="L6" s="65" t="s">
        <v>544</v>
      </c>
      <c r="M6" s="66"/>
      <c r="N6" s="29" t="s">
        <v>236</v>
      </c>
    </row>
    <row r="7" spans="1:14" ht="18" customHeight="1">
      <c r="A7" s="23">
        <v>4</v>
      </c>
      <c r="B7" s="24" t="s">
        <v>224</v>
      </c>
      <c r="C7" s="25" t="s">
        <v>40</v>
      </c>
      <c r="D7" s="26" t="s">
        <v>34</v>
      </c>
      <c r="E7" s="27" t="s">
        <v>42</v>
      </c>
      <c r="F7" s="26" t="s">
        <v>233</v>
      </c>
      <c r="G7" s="28">
        <v>653</v>
      </c>
      <c r="H7" s="28" t="s">
        <v>250</v>
      </c>
      <c r="I7" s="28"/>
      <c r="J7" s="64"/>
      <c r="K7" s="65"/>
      <c r="L7" s="65" t="s">
        <v>544</v>
      </c>
      <c r="M7" s="66"/>
      <c r="N7" s="29" t="s">
        <v>236</v>
      </c>
    </row>
    <row r="8" spans="1:14" ht="18" customHeight="1">
      <c r="A8" s="23">
        <v>5</v>
      </c>
      <c r="B8" s="24" t="s">
        <v>224</v>
      </c>
      <c r="C8" s="25" t="s">
        <v>40</v>
      </c>
      <c r="D8" s="26" t="s">
        <v>34</v>
      </c>
      <c r="E8" s="27" t="s">
        <v>43</v>
      </c>
      <c r="F8" s="26" t="s">
        <v>233</v>
      </c>
      <c r="G8" s="28">
        <v>653</v>
      </c>
      <c r="H8" s="28" t="s">
        <v>251</v>
      </c>
      <c r="I8" s="28"/>
      <c r="J8" s="64"/>
      <c r="K8" s="65"/>
      <c r="L8" s="65" t="s">
        <v>544</v>
      </c>
      <c r="M8" s="66"/>
      <c r="N8" s="29" t="s">
        <v>236</v>
      </c>
    </row>
    <row r="9" spans="1:14" ht="15.75" customHeight="1">
      <c r="A9" s="23">
        <v>6</v>
      </c>
      <c r="B9" s="24" t="s">
        <v>224</v>
      </c>
      <c r="C9" s="25" t="s">
        <v>40</v>
      </c>
      <c r="D9" s="26" t="s">
        <v>34</v>
      </c>
      <c r="E9" s="27" t="s">
        <v>44</v>
      </c>
      <c r="F9" s="26" t="s">
        <v>233</v>
      </c>
      <c r="G9" s="28">
        <v>653</v>
      </c>
      <c r="H9" s="28" t="s">
        <v>252</v>
      </c>
      <c r="I9" s="28"/>
      <c r="J9" s="64"/>
      <c r="K9" s="65"/>
      <c r="L9" s="65" t="s">
        <v>544</v>
      </c>
      <c r="M9" s="66"/>
      <c r="N9" s="29" t="s">
        <v>236</v>
      </c>
    </row>
    <row r="10" spans="1:14" ht="17.25" customHeight="1">
      <c r="A10" s="23">
        <v>7</v>
      </c>
      <c r="B10" s="24" t="s">
        <v>224</v>
      </c>
      <c r="C10" s="25" t="s">
        <v>40</v>
      </c>
      <c r="D10" s="26" t="s">
        <v>34</v>
      </c>
      <c r="E10" s="27" t="s">
        <v>45</v>
      </c>
      <c r="F10" s="26" t="s">
        <v>233</v>
      </c>
      <c r="G10" s="28">
        <v>653</v>
      </c>
      <c r="H10" s="28" t="s">
        <v>253</v>
      </c>
      <c r="I10" s="28"/>
      <c r="J10" s="64"/>
      <c r="K10" s="65"/>
      <c r="L10" s="65" t="s">
        <v>544</v>
      </c>
      <c r="M10" s="66"/>
      <c r="N10" s="29" t="s">
        <v>236</v>
      </c>
    </row>
    <row r="11" spans="1:14" ht="18" customHeight="1">
      <c r="A11" s="23">
        <v>8</v>
      </c>
      <c r="B11" s="24" t="s">
        <v>224</v>
      </c>
      <c r="C11" s="25" t="s">
        <v>40</v>
      </c>
      <c r="D11" s="26" t="s">
        <v>34</v>
      </c>
      <c r="E11" s="27" t="s">
        <v>46</v>
      </c>
      <c r="F11" s="26" t="s">
        <v>233</v>
      </c>
      <c r="G11" s="28">
        <v>653</v>
      </c>
      <c r="H11" s="28" t="s">
        <v>254</v>
      </c>
      <c r="I11" s="28"/>
      <c r="J11" s="64"/>
      <c r="K11" s="65"/>
      <c r="L11" s="65" t="s">
        <v>544</v>
      </c>
      <c r="M11" s="66"/>
      <c r="N11" s="29" t="s">
        <v>236</v>
      </c>
    </row>
    <row r="12" spans="1:14" ht="18" customHeight="1">
      <c r="A12" s="23">
        <v>9</v>
      </c>
      <c r="B12" s="24" t="s">
        <v>224</v>
      </c>
      <c r="C12" s="25" t="s">
        <v>47</v>
      </c>
      <c r="D12" s="26" t="s">
        <v>34</v>
      </c>
      <c r="E12" s="27" t="s">
        <v>45</v>
      </c>
      <c r="F12" s="26" t="s">
        <v>233</v>
      </c>
      <c r="G12" s="28">
        <v>653</v>
      </c>
      <c r="H12" s="28" t="s">
        <v>255</v>
      </c>
      <c r="I12" s="28"/>
      <c r="J12" s="64"/>
      <c r="K12" s="65"/>
      <c r="L12" s="65" t="s">
        <v>544</v>
      </c>
      <c r="M12" s="66"/>
      <c r="N12" s="29" t="s">
        <v>236</v>
      </c>
    </row>
    <row r="13" spans="1:14" ht="18" customHeight="1">
      <c r="A13" s="23">
        <v>10</v>
      </c>
      <c r="B13" s="24" t="s">
        <v>224</v>
      </c>
      <c r="C13" s="25" t="s">
        <v>47</v>
      </c>
      <c r="D13" s="26" t="s">
        <v>34</v>
      </c>
      <c r="E13" s="27" t="s">
        <v>46</v>
      </c>
      <c r="F13" s="26" t="s">
        <v>233</v>
      </c>
      <c r="G13" s="28">
        <v>653</v>
      </c>
      <c r="H13" s="28" t="s">
        <v>256</v>
      </c>
      <c r="I13" s="28"/>
      <c r="J13" s="64"/>
      <c r="K13" s="65"/>
      <c r="L13" s="65" t="s">
        <v>544</v>
      </c>
      <c r="M13" s="66"/>
      <c r="N13" s="29" t="s">
        <v>236</v>
      </c>
    </row>
    <row r="14" spans="1:14" ht="18" customHeight="1">
      <c r="A14" s="23">
        <v>11</v>
      </c>
      <c r="B14" s="24" t="s">
        <v>224</v>
      </c>
      <c r="C14" s="25" t="s">
        <v>47</v>
      </c>
      <c r="D14" s="26" t="s">
        <v>34</v>
      </c>
      <c r="E14" s="27" t="s">
        <v>43</v>
      </c>
      <c r="F14" s="26" t="s">
        <v>233</v>
      </c>
      <c r="G14" s="28">
        <v>653</v>
      </c>
      <c r="H14" s="28" t="s">
        <v>257</v>
      </c>
      <c r="I14" s="28"/>
      <c r="J14" s="64"/>
      <c r="K14" s="65"/>
      <c r="L14" s="65" t="s">
        <v>544</v>
      </c>
      <c r="M14" s="66"/>
      <c r="N14" s="29" t="s">
        <v>236</v>
      </c>
    </row>
    <row r="15" spans="1:14" ht="18" customHeight="1">
      <c r="A15" s="23">
        <v>12</v>
      </c>
      <c r="B15" s="24" t="s">
        <v>224</v>
      </c>
      <c r="C15" s="25" t="s">
        <v>47</v>
      </c>
      <c r="D15" s="26" t="s">
        <v>34</v>
      </c>
      <c r="E15" s="27" t="s">
        <v>42</v>
      </c>
      <c r="F15" s="26" t="s">
        <v>233</v>
      </c>
      <c r="G15" s="28">
        <v>653</v>
      </c>
      <c r="H15" s="28" t="s">
        <v>258</v>
      </c>
      <c r="I15" s="28"/>
      <c r="J15" s="64"/>
      <c r="K15" s="65"/>
      <c r="L15" s="65" t="s">
        <v>544</v>
      </c>
      <c r="M15" s="66"/>
      <c r="N15" s="29" t="s">
        <v>236</v>
      </c>
    </row>
    <row r="16" spans="1:14" ht="18" customHeight="1">
      <c r="A16" s="23">
        <v>13</v>
      </c>
      <c r="B16" s="24" t="s">
        <v>224</v>
      </c>
      <c r="C16" s="25" t="s">
        <v>47</v>
      </c>
      <c r="D16" s="26" t="s">
        <v>34</v>
      </c>
      <c r="E16" s="27" t="s">
        <v>41</v>
      </c>
      <c r="F16" s="26" t="s">
        <v>233</v>
      </c>
      <c r="G16" s="28">
        <v>653</v>
      </c>
      <c r="H16" s="28" t="s">
        <v>259</v>
      </c>
      <c r="I16" s="28"/>
      <c r="J16" s="64"/>
      <c r="K16" s="65"/>
      <c r="L16" s="65" t="s">
        <v>544</v>
      </c>
      <c r="M16" s="66"/>
      <c r="N16" s="29" t="s">
        <v>236</v>
      </c>
    </row>
    <row r="17" spans="1:14" ht="18" customHeight="1">
      <c r="A17" s="23">
        <v>14</v>
      </c>
      <c r="B17" s="24" t="s">
        <v>224</v>
      </c>
      <c r="C17" s="25" t="s">
        <v>47</v>
      </c>
      <c r="D17" s="26" t="s">
        <v>34</v>
      </c>
      <c r="E17" s="27" t="s">
        <v>123</v>
      </c>
      <c r="F17" s="26" t="s">
        <v>233</v>
      </c>
      <c r="G17" s="28">
        <v>653</v>
      </c>
      <c r="H17" s="28" t="s">
        <v>260</v>
      </c>
      <c r="I17" s="28"/>
      <c r="J17" s="64"/>
      <c r="K17" s="65"/>
      <c r="L17" s="65" t="s">
        <v>544</v>
      </c>
      <c r="M17" s="66"/>
      <c r="N17" s="29" t="s">
        <v>236</v>
      </c>
    </row>
    <row r="18" spans="1:14" ht="18" customHeight="1">
      <c r="A18" s="23">
        <v>15</v>
      </c>
      <c r="B18" s="24" t="s">
        <v>224</v>
      </c>
      <c r="C18" s="25" t="s">
        <v>47</v>
      </c>
      <c r="D18" s="26" t="s">
        <v>34</v>
      </c>
      <c r="E18" s="27" t="s">
        <v>48</v>
      </c>
      <c r="F18" s="26" t="s">
        <v>233</v>
      </c>
      <c r="G18" s="28">
        <v>653</v>
      </c>
      <c r="H18" s="28" t="s">
        <v>261</v>
      </c>
      <c r="I18" s="28"/>
      <c r="J18" s="64"/>
      <c r="K18" s="65"/>
      <c r="L18" s="65" t="s">
        <v>544</v>
      </c>
      <c r="M18" s="66"/>
      <c r="N18" s="29" t="s">
        <v>236</v>
      </c>
    </row>
    <row r="19" spans="1:14" ht="18" customHeight="1">
      <c r="A19" s="23">
        <v>16</v>
      </c>
      <c r="B19" s="24" t="s">
        <v>224</v>
      </c>
      <c r="C19" s="25" t="s">
        <v>47</v>
      </c>
      <c r="D19" s="26" t="s">
        <v>34</v>
      </c>
      <c r="E19" s="27" t="s">
        <v>2</v>
      </c>
      <c r="F19" s="26" t="s">
        <v>233</v>
      </c>
      <c r="G19" s="28">
        <v>653</v>
      </c>
      <c r="H19" s="28" t="s">
        <v>262</v>
      </c>
      <c r="I19" s="28"/>
      <c r="J19" s="64"/>
      <c r="K19" s="65"/>
      <c r="L19" s="65" t="s">
        <v>544</v>
      </c>
      <c r="M19" s="66"/>
      <c r="N19" s="29" t="s">
        <v>236</v>
      </c>
    </row>
    <row r="20" spans="1:14" ht="18" customHeight="1">
      <c r="A20" s="23">
        <v>17</v>
      </c>
      <c r="B20" s="24" t="s">
        <v>224</v>
      </c>
      <c r="C20" s="25" t="s">
        <v>49</v>
      </c>
      <c r="D20" s="26" t="s">
        <v>34</v>
      </c>
      <c r="E20" s="27" t="s">
        <v>50</v>
      </c>
      <c r="F20" s="26" t="s">
        <v>233</v>
      </c>
      <c r="G20" s="28">
        <v>653</v>
      </c>
      <c r="H20" s="28" t="s">
        <v>263</v>
      </c>
      <c r="I20" s="28"/>
      <c r="J20" s="64"/>
      <c r="K20" s="65"/>
      <c r="L20" s="65" t="s">
        <v>544</v>
      </c>
      <c r="M20" s="66"/>
      <c r="N20" s="29" t="s">
        <v>236</v>
      </c>
    </row>
    <row r="21" spans="1:14" ht="18" customHeight="1">
      <c r="A21" s="30">
        <v>18</v>
      </c>
      <c r="B21" s="31" t="s">
        <v>224</v>
      </c>
      <c r="C21" s="26" t="s">
        <v>51</v>
      </c>
      <c r="D21" s="26" t="s">
        <v>34</v>
      </c>
      <c r="E21" s="27" t="s">
        <v>52</v>
      </c>
      <c r="F21" s="26" t="s">
        <v>76</v>
      </c>
      <c r="G21" s="28">
        <v>653</v>
      </c>
      <c r="H21" s="28" t="s">
        <v>264</v>
      </c>
      <c r="I21" s="28"/>
      <c r="J21" s="64" t="s">
        <v>544</v>
      </c>
      <c r="K21" s="65"/>
      <c r="L21" s="65"/>
      <c r="M21" s="66"/>
      <c r="N21" s="29" t="s">
        <v>238</v>
      </c>
    </row>
    <row r="22" spans="1:14" ht="18" customHeight="1">
      <c r="A22" s="30">
        <v>19</v>
      </c>
      <c r="B22" s="31" t="s">
        <v>224</v>
      </c>
      <c r="C22" s="26" t="s">
        <v>51</v>
      </c>
      <c r="D22" s="26" t="s">
        <v>34</v>
      </c>
      <c r="E22" s="27" t="s">
        <v>53</v>
      </c>
      <c r="F22" s="26" t="s">
        <v>76</v>
      </c>
      <c r="G22" s="28">
        <v>652</v>
      </c>
      <c r="H22" s="28" t="s">
        <v>265</v>
      </c>
      <c r="I22" s="28"/>
      <c r="J22" s="64" t="s">
        <v>544</v>
      </c>
      <c r="K22" s="65"/>
      <c r="L22" s="65"/>
      <c r="M22" s="66"/>
      <c r="N22" s="29" t="s">
        <v>238</v>
      </c>
    </row>
    <row r="23" spans="1:14" ht="18" customHeight="1">
      <c r="A23" s="30">
        <v>20</v>
      </c>
      <c r="B23" s="31" t="s">
        <v>224</v>
      </c>
      <c r="C23" s="26" t="s">
        <v>51</v>
      </c>
      <c r="D23" s="26" t="s">
        <v>34</v>
      </c>
      <c r="E23" s="27" t="s">
        <v>3</v>
      </c>
      <c r="F23" s="26" t="s">
        <v>76</v>
      </c>
      <c r="G23" s="28">
        <v>652</v>
      </c>
      <c r="H23" s="28" t="s">
        <v>266</v>
      </c>
      <c r="I23" s="28"/>
      <c r="J23" s="64" t="s">
        <v>544</v>
      </c>
      <c r="K23" s="65"/>
      <c r="L23" s="65"/>
      <c r="M23" s="66"/>
      <c r="N23" s="29" t="s">
        <v>238</v>
      </c>
    </row>
    <row r="24" spans="1:14" ht="18" customHeight="1">
      <c r="A24" s="30">
        <v>21</v>
      </c>
      <c r="B24" s="31" t="s">
        <v>224</v>
      </c>
      <c r="C24" s="26" t="s">
        <v>51</v>
      </c>
      <c r="D24" s="26" t="s">
        <v>34</v>
      </c>
      <c r="E24" s="27" t="s">
        <v>54</v>
      </c>
      <c r="F24" s="26" t="s">
        <v>76</v>
      </c>
      <c r="G24" s="28">
        <v>652</v>
      </c>
      <c r="H24" s="28" t="s">
        <v>267</v>
      </c>
      <c r="I24" s="28"/>
      <c r="J24" s="64" t="s">
        <v>544</v>
      </c>
      <c r="K24" s="65"/>
      <c r="L24" s="65"/>
      <c r="M24" s="66"/>
      <c r="N24" s="29" t="s">
        <v>238</v>
      </c>
    </row>
    <row r="25" spans="1:14" ht="18" customHeight="1">
      <c r="A25" s="23">
        <v>22</v>
      </c>
      <c r="B25" s="24" t="s">
        <v>224</v>
      </c>
      <c r="C25" s="25" t="s">
        <v>55</v>
      </c>
      <c r="D25" s="26" t="s">
        <v>34</v>
      </c>
      <c r="E25" s="27" t="s">
        <v>3</v>
      </c>
      <c r="F25" s="26" t="s">
        <v>233</v>
      </c>
      <c r="G25" s="28">
        <v>658</v>
      </c>
      <c r="H25" s="28" t="s">
        <v>268</v>
      </c>
      <c r="I25" s="28"/>
      <c r="J25" s="64"/>
      <c r="K25" s="65"/>
      <c r="L25" s="65" t="s">
        <v>544</v>
      </c>
      <c r="M25" s="66"/>
      <c r="N25" s="29" t="s">
        <v>237</v>
      </c>
    </row>
    <row r="26" spans="1:14" ht="18" customHeight="1">
      <c r="A26" s="23">
        <v>23</v>
      </c>
      <c r="B26" s="24" t="s">
        <v>224</v>
      </c>
      <c r="C26" s="25" t="s">
        <v>55</v>
      </c>
      <c r="D26" s="26" t="s">
        <v>34</v>
      </c>
      <c r="E26" s="27" t="s">
        <v>56</v>
      </c>
      <c r="F26" s="26" t="s">
        <v>233</v>
      </c>
      <c r="G26" s="28">
        <v>658</v>
      </c>
      <c r="H26" s="28" t="s">
        <v>269</v>
      </c>
      <c r="I26" s="28"/>
      <c r="J26" s="64"/>
      <c r="K26" s="65"/>
      <c r="L26" s="65" t="s">
        <v>544</v>
      </c>
      <c r="M26" s="66"/>
      <c r="N26" s="29" t="s">
        <v>239</v>
      </c>
    </row>
    <row r="27" spans="1:14" ht="18" customHeight="1">
      <c r="A27" s="23">
        <v>24</v>
      </c>
      <c r="B27" s="24" t="s">
        <v>224</v>
      </c>
      <c r="C27" s="25" t="s">
        <v>55</v>
      </c>
      <c r="D27" s="26" t="s">
        <v>34</v>
      </c>
      <c r="E27" s="27" t="s">
        <v>57</v>
      </c>
      <c r="F27" s="26" t="s">
        <v>233</v>
      </c>
      <c r="G27" s="28">
        <v>658</v>
      </c>
      <c r="H27" s="28" t="s">
        <v>270</v>
      </c>
      <c r="I27" s="28"/>
      <c r="J27" s="64"/>
      <c r="K27" s="65"/>
      <c r="L27" s="65" t="s">
        <v>544</v>
      </c>
      <c r="M27" s="66"/>
      <c r="N27" s="29" t="s">
        <v>240</v>
      </c>
    </row>
    <row r="28" spans="1:14" ht="18" customHeight="1">
      <c r="A28" s="23">
        <v>25</v>
      </c>
      <c r="B28" s="24" t="s">
        <v>224</v>
      </c>
      <c r="C28" s="25" t="s">
        <v>55</v>
      </c>
      <c r="D28" s="26" t="s">
        <v>34</v>
      </c>
      <c r="E28" s="26" t="s">
        <v>53</v>
      </c>
      <c r="F28" s="26" t="s">
        <v>233</v>
      </c>
      <c r="G28" s="28">
        <v>658</v>
      </c>
      <c r="H28" s="28" t="s">
        <v>271</v>
      </c>
      <c r="I28" s="28"/>
      <c r="J28" s="64"/>
      <c r="K28" s="65"/>
      <c r="L28" s="65" t="s">
        <v>544</v>
      </c>
      <c r="M28" s="66"/>
      <c r="N28" s="29" t="s">
        <v>239</v>
      </c>
    </row>
    <row r="29" spans="1:14" ht="18" customHeight="1">
      <c r="A29" s="23">
        <v>26</v>
      </c>
      <c r="B29" s="24" t="s">
        <v>224</v>
      </c>
      <c r="C29" s="25" t="s">
        <v>55</v>
      </c>
      <c r="D29" s="26" t="s">
        <v>34</v>
      </c>
      <c r="E29" s="26" t="s">
        <v>58</v>
      </c>
      <c r="F29" s="26" t="s">
        <v>233</v>
      </c>
      <c r="G29" s="28">
        <v>658</v>
      </c>
      <c r="H29" s="28" t="s">
        <v>272</v>
      </c>
      <c r="I29" s="28"/>
      <c r="J29" s="64"/>
      <c r="K29" s="65"/>
      <c r="L29" s="65" t="s">
        <v>544</v>
      </c>
      <c r="M29" s="66"/>
      <c r="N29" s="29" t="s">
        <v>239</v>
      </c>
    </row>
    <row r="30" spans="1:14" ht="18" customHeight="1">
      <c r="A30" s="30">
        <v>27</v>
      </c>
      <c r="B30" s="31" t="s">
        <v>224</v>
      </c>
      <c r="C30" s="26" t="s">
        <v>32</v>
      </c>
      <c r="D30" s="26" t="s">
        <v>34</v>
      </c>
      <c r="E30" s="26" t="s">
        <v>59</v>
      </c>
      <c r="F30" s="26" t="s">
        <v>233</v>
      </c>
      <c r="G30" s="28">
        <v>655</v>
      </c>
      <c r="H30" s="28" t="s">
        <v>273</v>
      </c>
      <c r="I30" s="28"/>
      <c r="J30" s="64"/>
      <c r="K30" s="65" t="s">
        <v>544</v>
      </c>
      <c r="L30" s="65"/>
      <c r="M30" s="66"/>
      <c r="N30" s="29" t="s">
        <v>240</v>
      </c>
    </row>
    <row r="31" spans="1:14" ht="18" customHeight="1">
      <c r="A31" s="30">
        <v>28</v>
      </c>
      <c r="B31" s="31" t="s">
        <v>224</v>
      </c>
      <c r="C31" s="26" t="s">
        <v>32</v>
      </c>
      <c r="D31" s="26" t="s">
        <v>34</v>
      </c>
      <c r="E31" s="26" t="s">
        <v>60</v>
      </c>
      <c r="F31" s="26" t="s">
        <v>233</v>
      </c>
      <c r="G31" s="28">
        <v>655</v>
      </c>
      <c r="H31" s="28" t="s">
        <v>274</v>
      </c>
      <c r="I31" s="28"/>
      <c r="J31" s="64"/>
      <c r="K31" s="65" t="s">
        <v>544</v>
      </c>
      <c r="L31" s="65"/>
      <c r="M31" s="66"/>
      <c r="N31" s="29" t="s">
        <v>241</v>
      </c>
    </row>
    <row r="32" spans="1:14" ht="18" customHeight="1">
      <c r="A32" s="30">
        <v>29</v>
      </c>
      <c r="B32" s="31" t="s">
        <v>224</v>
      </c>
      <c r="C32" s="26" t="s">
        <v>32</v>
      </c>
      <c r="D32" s="26" t="s">
        <v>34</v>
      </c>
      <c r="E32" s="26" t="s">
        <v>61</v>
      </c>
      <c r="F32" s="26" t="s">
        <v>233</v>
      </c>
      <c r="G32" s="28">
        <v>655</v>
      </c>
      <c r="H32" s="28" t="s">
        <v>275</v>
      </c>
      <c r="I32" s="28"/>
      <c r="J32" s="64"/>
      <c r="K32" s="65" t="s">
        <v>544</v>
      </c>
      <c r="L32" s="65"/>
      <c r="M32" s="66"/>
      <c r="N32" s="29" t="s">
        <v>240</v>
      </c>
    </row>
    <row r="33" spans="1:14" ht="18" customHeight="1">
      <c r="A33" s="30">
        <v>30</v>
      </c>
      <c r="B33" s="31" t="s">
        <v>224</v>
      </c>
      <c r="C33" s="26" t="s">
        <v>32</v>
      </c>
      <c r="D33" s="26" t="s">
        <v>34</v>
      </c>
      <c r="E33" s="26" t="s">
        <v>62</v>
      </c>
      <c r="F33" s="26" t="s">
        <v>233</v>
      </c>
      <c r="G33" s="28">
        <v>655</v>
      </c>
      <c r="H33" s="28" t="s">
        <v>276</v>
      </c>
      <c r="I33" s="28"/>
      <c r="J33" s="64"/>
      <c r="K33" s="65" t="s">
        <v>544</v>
      </c>
      <c r="L33" s="65"/>
      <c r="M33" s="66"/>
      <c r="N33" s="29" t="s">
        <v>240</v>
      </c>
    </row>
    <row r="34" spans="1:14" ht="18" customHeight="1">
      <c r="A34" s="30">
        <v>31</v>
      </c>
      <c r="B34" s="31" t="s">
        <v>224</v>
      </c>
      <c r="C34" s="26" t="s">
        <v>32</v>
      </c>
      <c r="D34" s="26" t="s">
        <v>34</v>
      </c>
      <c r="E34" s="26" t="s">
        <v>63</v>
      </c>
      <c r="F34" s="26" t="s">
        <v>233</v>
      </c>
      <c r="G34" s="28">
        <v>655</v>
      </c>
      <c r="H34" s="28" t="s">
        <v>277</v>
      </c>
      <c r="I34" s="28"/>
      <c r="J34" s="64"/>
      <c r="K34" s="65" t="s">
        <v>544</v>
      </c>
      <c r="L34" s="65"/>
      <c r="M34" s="66"/>
      <c r="N34" s="29" t="s">
        <v>240</v>
      </c>
    </row>
    <row r="35" spans="1:14" ht="18" customHeight="1">
      <c r="A35" s="30">
        <v>32</v>
      </c>
      <c r="B35" s="31" t="s">
        <v>224</v>
      </c>
      <c r="C35" s="26" t="s">
        <v>32</v>
      </c>
      <c r="D35" s="26" t="s">
        <v>34</v>
      </c>
      <c r="E35" s="26" t="s">
        <v>64</v>
      </c>
      <c r="F35" s="26" t="s">
        <v>233</v>
      </c>
      <c r="G35" s="28">
        <v>655</v>
      </c>
      <c r="H35" s="28" t="s">
        <v>278</v>
      </c>
      <c r="I35" s="28"/>
      <c r="J35" s="64"/>
      <c r="K35" s="65" t="s">
        <v>544</v>
      </c>
      <c r="L35" s="65"/>
      <c r="M35" s="66"/>
      <c r="N35" s="29" t="s">
        <v>240</v>
      </c>
    </row>
    <row r="36" spans="1:14" ht="18" customHeight="1">
      <c r="A36" s="23">
        <v>33</v>
      </c>
      <c r="B36" s="24" t="s">
        <v>224</v>
      </c>
      <c r="C36" s="25" t="s">
        <v>65</v>
      </c>
      <c r="D36" s="26" t="s">
        <v>34</v>
      </c>
      <c r="E36" s="26" t="s">
        <v>66</v>
      </c>
      <c r="F36" s="26" t="s">
        <v>233</v>
      </c>
      <c r="G36" s="28">
        <v>646</v>
      </c>
      <c r="H36" s="28" t="s">
        <v>279</v>
      </c>
      <c r="I36" s="28"/>
      <c r="J36" s="64"/>
      <c r="K36" s="65"/>
      <c r="L36" s="65" t="s">
        <v>544</v>
      </c>
      <c r="M36" s="66"/>
      <c r="N36" s="29" t="s">
        <v>242</v>
      </c>
    </row>
    <row r="37" spans="1:14" ht="18" customHeight="1">
      <c r="A37" s="23">
        <v>34</v>
      </c>
      <c r="B37" s="24" t="s">
        <v>224</v>
      </c>
      <c r="C37" s="25" t="s">
        <v>65</v>
      </c>
      <c r="D37" s="26" t="s">
        <v>34</v>
      </c>
      <c r="E37" s="26" t="s">
        <v>67</v>
      </c>
      <c r="F37" s="26" t="s">
        <v>233</v>
      </c>
      <c r="G37" s="28">
        <v>646</v>
      </c>
      <c r="H37" s="28" t="s">
        <v>280</v>
      </c>
      <c r="I37" s="32"/>
      <c r="J37" s="67"/>
      <c r="K37" s="68"/>
      <c r="L37" s="65" t="s">
        <v>544</v>
      </c>
      <c r="M37" s="69"/>
      <c r="N37" s="29" t="s">
        <v>242</v>
      </c>
    </row>
    <row r="38" spans="1:14" ht="18" customHeight="1">
      <c r="A38" s="23">
        <v>35</v>
      </c>
      <c r="B38" s="24" t="s">
        <v>224</v>
      </c>
      <c r="C38" s="25" t="s">
        <v>65</v>
      </c>
      <c r="D38" s="26" t="s">
        <v>34</v>
      </c>
      <c r="E38" s="26" t="s">
        <v>68</v>
      </c>
      <c r="F38" s="26" t="s">
        <v>233</v>
      </c>
      <c r="G38" s="28">
        <v>646</v>
      </c>
      <c r="H38" s="28" t="s">
        <v>281</v>
      </c>
      <c r="I38" s="32"/>
      <c r="J38" s="67"/>
      <c r="K38" s="68"/>
      <c r="L38" s="65" t="s">
        <v>544</v>
      </c>
      <c r="M38" s="69"/>
      <c r="N38" s="29" t="s">
        <v>242</v>
      </c>
    </row>
    <row r="39" spans="1:14" ht="18" customHeight="1">
      <c r="A39" s="23">
        <v>36</v>
      </c>
      <c r="B39" s="24" t="s">
        <v>224</v>
      </c>
      <c r="C39" s="25" t="s">
        <v>65</v>
      </c>
      <c r="D39" s="26" t="s">
        <v>34</v>
      </c>
      <c r="E39" s="26" t="s">
        <v>69</v>
      </c>
      <c r="F39" s="26" t="s">
        <v>233</v>
      </c>
      <c r="G39" s="28">
        <v>646</v>
      </c>
      <c r="H39" s="28" t="s">
        <v>282</v>
      </c>
      <c r="I39" s="28"/>
      <c r="J39" s="64"/>
      <c r="K39" s="65"/>
      <c r="L39" s="65" t="s">
        <v>544</v>
      </c>
      <c r="M39" s="66"/>
      <c r="N39" s="29" t="s">
        <v>242</v>
      </c>
    </row>
    <row r="40" spans="1:14" ht="18" customHeight="1">
      <c r="A40" s="23">
        <v>37</v>
      </c>
      <c r="B40" s="24" t="s">
        <v>224</v>
      </c>
      <c r="C40" s="25" t="s">
        <v>65</v>
      </c>
      <c r="D40" s="26" t="s">
        <v>34</v>
      </c>
      <c r="E40" s="26" t="s">
        <v>2</v>
      </c>
      <c r="F40" s="26" t="s">
        <v>233</v>
      </c>
      <c r="G40" s="28">
        <v>646</v>
      </c>
      <c r="H40" s="28" t="s">
        <v>283</v>
      </c>
      <c r="I40" s="28"/>
      <c r="J40" s="64"/>
      <c r="K40" s="65"/>
      <c r="L40" s="65" t="s">
        <v>544</v>
      </c>
      <c r="M40" s="66"/>
      <c r="N40" s="29" t="s">
        <v>243</v>
      </c>
    </row>
    <row r="41" spans="1:14" ht="18" customHeight="1">
      <c r="A41" s="23">
        <v>38</v>
      </c>
      <c r="B41" s="24" t="s">
        <v>224</v>
      </c>
      <c r="C41" s="25" t="s">
        <v>65</v>
      </c>
      <c r="D41" s="26" t="s">
        <v>34</v>
      </c>
      <c r="E41" s="26" t="s">
        <v>70</v>
      </c>
      <c r="F41" s="26" t="s">
        <v>233</v>
      </c>
      <c r="G41" s="28">
        <v>646</v>
      </c>
      <c r="H41" s="28" t="s">
        <v>284</v>
      </c>
      <c r="I41" s="28"/>
      <c r="J41" s="64"/>
      <c r="K41" s="65"/>
      <c r="L41" s="65" t="s">
        <v>544</v>
      </c>
      <c r="M41" s="66"/>
      <c r="N41" s="29" t="s">
        <v>242</v>
      </c>
    </row>
    <row r="42" spans="1:14" ht="18" customHeight="1">
      <c r="A42" s="23">
        <v>39</v>
      </c>
      <c r="B42" s="24" t="s">
        <v>224</v>
      </c>
      <c r="C42" s="25" t="s">
        <v>65</v>
      </c>
      <c r="D42" s="26" t="s">
        <v>34</v>
      </c>
      <c r="E42" s="26" t="s">
        <v>71</v>
      </c>
      <c r="F42" s="26" t="s">
        <v>233</v>
      </c>
      <c r="G42" s="28">
        <v>646</v>
      </c>
      <c r="H42" s="28" t="s">
        <v>285</v>
      </c>
      <c r="I42" s="28"/>
      <c r="J42" s="64"/>
      <c r="K42" s="65"/>
      <c r="L42" s="65" t="s">
        <v>544</v>
      </c>
      <c r="M42" s="66"/>
      <c r="N42" s="29" t="s">
        <v>242</v>
      </c>
    </row>
    <row r="43" spans="1:14" ht="18" customHeight="1">
      <c r="A43" s="23">
        <v>40</v>
      </c>
      <c r="B43" s="24" t="s">
        <v>224</v>
      </c>
      <c r="C43" s="25" t="s">
        <v>65</v>
      </c>
      <c r="D43" s="26" t="s">
        <v>34</v>
      </c>
      <c r="E43" s="26" t="s">
        <v>60</v>
      </c>
      <c r="F43" s="26" t="s">
        <v>233</v>
      </c>
      <c r="G43" s="28">
        <v>646</v>
      </c>
      <c r="H43" s="28" t="s">
        <v>286</v>
      </c>
      <c r="I43" s="28"/>
      <c r="J43" s="64"/>
      <c r="K43" s="65"/>
      <c r="L43" s="65" t="s">
        <v>544</v>
      </c>
      <c r="M43" s="66"/>
      <c r="N43" s="29" t="s">
        <v>242</v>
      </c>
    </row>
    <row r="44" spans="1:14" ht="18" customHeight="1">
      <c r="A44" s="23">
        <v>41</v>
      </c>
      <c r="B44" s="24" t="s">
        <v>224</v>
      </c>
      <c r="C44" s="25" t="s">
        <v>65</v>
      </c>
      <c r="D44" s="26" t="s">
        <v>34</v>
      </c>
      <c r="E44" s="26" t="s">
        <v>72</v>
      </c>
      <c r="F44" s="26" t="s">
        <v>233</v>
      </c>
      <c r="G44" s="28">
        <v>646</v>
      </c>
      <c r="H44" s="28" t="s">
        <v>287</v>
      </c>
      <c r="I44" s="28"/>
      <c r="J44" s="64"/>
      <c r="K44" s="65"/>
      <c r="L44" s="65" t="s">
        <v>544</v>
      </c>
      <c r="M44" s="66"/>
      <c r="N44" s="29" t="s">
        <v>242</v>
      </c>
    </row>
    <row r="45" spans="1:14" ht="18" customHeight="1">
      <c r="A45" s="23">
        <v>42</v>
      </c>
      <c r="B45" s="24" t="s">
        <v>224</v>
      </c>
      <c r="C45" s="25" t="s">
        <v>65</v>
      </c>
      <c r="D45" s="26" t="s">
        <v>34</v>
      </c>
      <c r="E45" s="26" t="s">
        <v>73</v>
      </c>
      <c r="F45" s="26" t="s">
        <v>233</v>
      </c>
      <c r="G45" s="28">
        <v>646</v>
      </c>
      <c r="H45" s="28" t="s">
        <v>288</v>
      </c>
      <c r="I45" s="28"/>
      <c r="J45" s="64"/>
      <c r="K45" s="65"/>
      <c r="L45" s="65" t="s">
        <v>544</v>
      </c>
      <c r="M45" s="66"/>
      <c r="N45" s="29" t="s">
        <v>242</v>
      </c>
    </row>
    <row r="46" spans="1:14" ht="18" customHeight="1">
      <c r="A46" s="23">
        <v>43</v>
      </c>
      <c r="B46" s="24" t="s">
        <v>224</v>
      </c>
      <c r="C46" s="25" t="s">
        <v>65</v>
      </c>
      <c r="D46" s="26" t="s">
        <v>34</v>
      </c>
      <c r="E46" s="26" t="s">
        <v>39</v>
      </c>
      <c r="F46" s="26" t="s">
        <v>233</v>
      </c>
      <c r="G46" s="28">
        <v>646</v>
      </c>
      <c r="H46" s="28" t="s">
        <v>289</v>
      </c>
      <c r="I46" s="28"/>
      <c r="J46" s="64"/>
      <c r="K46" s="65"/>
      <c r="L46" s="65" t="s">
        <v>544</v>
      </c>
      <c r="M46" s="66"/>
      <c r="N46" s="29" t="s">
        <v>244</v>
      </c>
    </row>
    <row r="47" spans="1:14" ht="18" customHeight="1">
      <c r="A47" s="23">
        <v>44</v>
      </c>
      <c r="B47" s="24" t="s">
        <v>224</v>
      </c>
      <c r="C47" s="25" t="s">
        <v>65</v>
      </c>
      <c r="D47" s="26" t="s">
        <v>34</v>
      </c>
      <c r="E47" s="26" t="s">
        <v>63</v>
      </c>
      <c r="F47" s="26" t="s">
        <v>233</v>
      </c>
      <c r="G47" s="28">
        <v>646</v>
      </c>
      <c r="H47" s="28" t="s">
        <v>290</v>
      </c>
      <c r="I47" s="28"/>
      <c r="J47" s="64"/>
      <c r="K47" s="65"/>
      <c r="L47" s="65" t="s">
        <v>544</v>
      </c>
      <c r="M47" s="66"/>
      <c r="N47" s="29" t="s">
        <v>242</v>
      </c>
    </row>
    <row r="48" spans="1:14" ht="18" customHeight="1">
      <c r="A48" s="23">
        <v>45</v>
      </c>
      <c r="B48" s="24" t="s">
        <v>224</v>
      </c>
      <c r="C48" s="25" t="s">
        <v>65</v>
      </c>
      <c r="D48" s="26" t="s">
        <v>34</v>
      </c>
      <c r="E48" s="26" t="s">
        <v>293</v>
      </c>
      <c r="F48" s="26" t="s">
        <v>233</v>
      </c>
      <c r="G48" s="28">
        <v>646</v>
      </c>
      <c r="H48" s="28" t="s">
        <v>291</v>
      </c>
      <c r="I48" s="28"/>
      <c r="J48" s="64"/>
      <c r="K48" s="65"/>
      <c r="L48" s="65" t="s">
        <v>544</v>
      </c>
      <c r="M48" s="66"/>
      <c r="N48" s="29" t="s">
        <v>242</v>
      </c>
    </row>
    <row r="49" spans="1:14" ht="18" customHeight="1">
      <c r="A49" s="23">
        <v>46</v>
      </c>
      <c r="B49" s="24" t="s">
        <v>224</v>
      </c>
      <c r="C49" s="25" t="s">
        <v>74</v>
      </c>
      <c r="D49" s="26" t="s">
        <v>34</v>
      </c>
      <c r="E49" s="26" t="s">
        <v>38</v>
      </c>
      <c r="F49" s="26" t="s">
        <v>233</v>
      </c>
      <c r="G49" s="28">
        <v>656</v>
      </c>
      <c r="H49" s="28" t="s">
        <v>292</v>
      </c>
      <c r="I49" s="28"/>
      <c r="J49" s="64"/>
      <c r="K49" s="65"/>
      <c r="L49" s="65" t="s">
        <v>544</v>
      </c>
      <c r="M49" s="66"/>
      <c r="N49" s="29" t="s">
        <v>245</v>
      </c>
    </row>
    <row r="50" spans="1:14" ht="18" customHeight="1">
      <c r="A50" s="23">
        <v>47</v>
      </c>
      <c r="B50" s="24" t="s">
        <v>224</v>
      </c>
      <c r="C50" s="25" t="s">
        <v>65</v>
      </c>
      <c r="D50" s="26" t="s">
        <v>34</v>
      </c>
      <c r="E50" s="26" t="s">
        <v>64</v>
      </c>
      <c r="F50" s="26" t="s">
        <v>233</v>
      </c>
      <c r="G50" s="28">
        <v>646</v>
      </c>
      <c r="H50" s="28" t="s">
        <v>294</v>
      </c>
      <c r="I50" s="28"/>
      <c r="J50" s="64"/>
      <c r="K50" s="65"/>
      <c r="L50" s="65" t="s">
        <v>544</v>
      </c>
      <c r="M50" s="66"/>
      <c r="N50" s="29" t="s">
        <v>246</v>
      </c>
    </row>
    <row r="51" spans="1:14" ht="18" customHeight="1" thickBot="1">
      <c r="A51" s="33">
        <v>48</v>
      </c>
      <c r="B51" s="34" t="s">
        <v>224</v>
      </c>
      <c r="C51" s="35" t="s">
        <v>75</v>
      </c>
      <c r="D51" s="36" t="s">
        <v>34</v>
      </c>
      <c r="E51" s="36" t="s">
        <v>46</v>
      </c>
      <c r="F51" s="36" t="s">
        <v>233</v>
      </c>
      <c r="G51" s="37">
        <v>653</v>
      </c>
      <c r="H51" s="37" t="s">
        <v>295</v>
      </c>
      <c r="I51" s="37"/>
      <c r="J51" s="94"/>
      <c r="K51" s="95"/>
      <c r="L51" s="95" t="s">
        <v>544</v>
      </c>
      <c r="M51" s="96"/>
      <c r="N51" s="38" t="s">
        <v>236</v>
      </c>
    </row>
    <row r="52" spans="1:14" ht="31.5" customHeight="1" thickTop="1" thickBot="1">
      <c r="A52" s="39"/>
      <c r="B52" s="40"/>
      <c r="C52" s="41"/>
      <c r="D52" s="41"/>
      <c r="E52" s="41"/>
      <c r="F52" s="41"/>
      <c r="G52" s="42"/>
      <c r="H52" s="42"/>
      <c r="I52" s="42"/>
      <c r="J52" s="97">
        <f>COUNTA(J4:J51)</f>
        <v>4</v>
      </c>
      <c r="K52" s="98">
        <f t="shared" ref="K52:M52" si="0">COUNTA(K4:K51)</f>
        <v>6</v>
      </c>
      <c r="L52" s="98">
        <f t="shared" si="0"/>
        <v>38</v>
      </c>
      <c r="M52" s="99">
        <f t="shared" si="0"/>
        <v>0</v>
      </c>
      <c r="N52" s="43"/>
    </row>
  </sheetData>
  <autoFilter ref="A2:N52" xr:uid="{00000000-0009-0000-0000-000001000000}"/>
  <mergeCells count="12">
    <mergeCell ref="G2:G3"/>
    <mergeCell ref="H2:H3"/>
    <mergeCell ref="N2:N3"/>
    <mergeCell ref="A1:F1"/>
    <mergeCell ref="A2:A3"/>
    <mergeCell ref="B2:B3"/>
    <mergeCell ref="C2:C3"/>
    <mergeCell ref="D2:D3"/>
    <mergeCell ref="E2:E3"/>
    <mergeCell ref="F2:F3"/>
    <mergeCell ref="I2:I3"/>
    <mergeCell ref="J2:M2"/>
  </mergeCells>
  <phoneticPr fontId="3" type="noConversion"/>
  <pageMargins left="0.7" right="0.7" top="0.75" bottom="0.75" header="0.3" footer="0.3"/>
  <pageSetup paperSize="9" scale="52" orientation="portrait" r:id="rId1"/>
  <rowBreaks count="1" manualBreakCount="1">
    <brk id="5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148"/>
  <sheetViews>
    <sheetView view="pageBreakPreview" zoomScale="115" zoomScaleNormal="100" zoomScaleSheetLayoutView="115" workbookViewId="0">
      <selection activeCell="D157" sqref="D157"/>
    </sheetView>
  </sheetViews>
  <sheetFormatPr defaultRowHeight="14.25"/>
  <cols>
    <col min="1" max="1" width="4.75" customWidth="1"/>
    <col min="2" max="2" width="15.875" style="10" customWidth="1"/>
    <col min="3" max="3" width="13.375" style="3" customWidth="1"/>
    <col min="4" max="4" width="15.625" style="3" customWidth="1"/>
    <col min="5" max="5" width="11.375" style="3" customWidth="1"/>
    <col min="6" max="6" width="17.125" style="3" customWidth="1"/>
    <col min="7" max="7" width="10.125" customWidth="1"/>
    <col min="8" max="8" width="14" customWidth="1"/>
    <col min="9" max="12" width="8" customWidth="1"/>
    <col min="13" max="13" width="19.75" customWidth="1"/>
    <col min="14" max="14" width="9.5" customWidth="1"/>
    <col min="15" max="15" width="13.25" customWidth="1"/>
    <col min="16" max="17" width="12.625" customWidth="1"/>
  </cols>
  <sheetData>
    <row r="1" spans="1:14" ht="24.75" customHeight="1" thickBot="1">
      <c r="A1" s="139" t="s">
        <v>223</v>
      </c>
      <c r="B1" s="139"/>
      <c r="C1" s="139"/>
      <c r="D1" s="139"/>
      <c r="E1" s="139"/>
      <c r="F1" s="139"/>
    </row>
    <row r="2" spans="1:14" s="113" customFormat="1" ht="21" customHeight="1">
      <c r="A2" s="140" t="s">
        <v>0</v>
      </c>
      <c r="B2" s="142" t="s">
        <v>220</v>
      </c>
      <c r="C2" s="144" t="s">
        <v>546</v>
      </c>
      <c r="D2" s="144" t="s">
        <v>547</v>
      </c>
      <c r="E2" s="144" t="s">
        <v>548</v>
      </c>
      <c r="F2" s="142" t="s">
        <v>35</v>
      </c>
      <c r="G2" s="133" t="s">
        <v>218</v>
      </c>
      <c r="H2" s="135" t="s">
        <v>219</v>
      </c>
      <c r="I2" s="146" t="s">
        <v>549</v>
      </c>
      <c r="J2" s="147"/>
      <c r="K2" s="147"/>
      <c r="L2" s="148"/>
      <c r="M2" s="135" t="s">
        <v>222</v>
      </c>
      <c r="N2" s="137" t="s">
        <v>229</v>
      </c>
    </row>
    <row r="3" spans="1:14" s="113" customFormat="1" ht="17.25" hidden="1" customHeight="1" thickBot="1">
      <c r="A3" s="141"/>
      <c r="B3" s="143"/>
      <c r="C3" s="143"/>
      <c r="D3" s="145"/>
      <c r="E3" s="145"/>
      <c r="F3" s="143"/>
      <c r="G3" s="134"/>
      <c r="H3" s="136"/>
      <c r="I3" s="58" t="s">
        <v>550</v>
      </c>
      <c r="J3" s="59" t="s">
        <v>551</v>
      </c>
      <c r="K3" s="59" t="s">
        <v>552</v>
      </c>
      <c r="L3" s="60" t="s">
        <v>553</v>
      </c>
      <c r="M3" s="136"/>
      <c r="N3" s="138"/>
    </row>
    <row r="4" spans="1:14" s="113" customFormat="1" ht="17.25" hidden="1" customHeight="1" thickTop="1">
      <c r="A4" s="55">
        <v>134</v>
      </c>
      <c r="B4" s="106" t="s">
        <v>319</v>
      </c>
      <c r="C4" s="19" t="s">
        <v>22</v>
      </c>
      <c r="D4" s="19" t="s">
        <v>1</v>
      </c>
      <c r="E4" s="107">
        <v>1</v>
      </c>
      <c r="F4" s="19" t="s">
        <v>434</v>
      </c>
      <c r="G4" s="21">
        <v>85</v>
      </c>
      <c r="H4" s="108"/>
      <c r="I4" s="109" t="s">
        <v>545</v>
      </c>
      <c r="J4" s="110"/>
      <c r="K4" s="110"/>
      <c r="L4" s="111"/>
      <c r="M4" s="108"/>
      <c r="N4" s="112"/>
    </row>
    <row r="5" spans="1:14" s="113" customFormat="1" ht="18" hidden="1" customHeight="1">
      <c r="A5" s="30">
        <v>135</v>
      </c>
      <c r="B5" s="83" t="s">
        <v>319</v>
      </c>
      <c r="C5" s="26" t="s">
        <v>178</v>
      </c>
      <c r="D5" s="26" t="s">
        <v>1</v>
      </c>
      <c r="E5" s="114">
        <v>1</v>
      </c>
      <c r="F5" s="26" t="s">
        <v>435</v>
      </c>
      <c r="G5" s="28">
        <v>92</v>
      </c>
      <c r="H5" s="115"/>
      <c r="I5" s="116" t="s">
        <v>545</v>
      </c>
      <c r="J5" s="117"/>
      <c r="K5" s="117"/>
      <c r="L5" s="118"/>
      <c r="M5" s="115"/>
      <c r="N5" s="119"/>
    </row>
    <row r="6" spans="1:14" s="113" customFormat="1" ht="18" hidden="1" customHeight="1">
      <c r="A6" s="30">
        <v>132</v>
      </c>
      <c r="B6" s="83" t="s">
        <v>319</v>
      </c>
      <c r="C6" s="26" t="s">
        <v>433</v>
      </c>
      <c r="D6" s="26" t="s">
        <v>33</v>
      </c>
      <c r="E6" s="114">
        <v>1</v>
      </c>
      <c r="F6" s="26" t="s">
        <v>436</v>
      </c>
      <c r="G6" s="28">
        <v>60</v>
      </c>
      <c r="H6" s="115"/>
      <c r="I6" s="116" t="s">
        <v>545</v>
      </c>
      <c r="J6" s="117"/>
      <c r="K6" s="117"/>
      <c r="L6" s="118"/>
      <c r="M6" s="115"/>
      <c r="N6" s="119"/>
    </row>
    <row r="7" spans="1:14" s="113" customFormat="1" ht="18" hidden="1" customHeight="1">
      <c r="A7" s="30">
        <v>133</v>
      </c>
      <c r="B7" s="83" t="s">
        <v>319</v>
      </c>
      <c r="C7" s="26" t="s">
        <v>20</v>
      </c>
      <c r="D7" s="26" t="s">
        <v>33</v>
      </c>
      <c r="E7" s="114">
        <v>1</v>
      </c>
      <c r="F7" s="26" t="s">
        <v>436</v>
      </c>
      <c r="G7" s="28">
        <v>58</v>
      </c>
      <c r="H7" s="115"/>
      <c r="I7" s="116" t="s">
        <v>545</v>
      </c>
      <c r="J7" s="117"/>
      <c r="K7" s="117"/>
      <c r="L7" s="118"/>
      <c r="M7" s="115"/>
      <c r="N7" s="119"/>
    </row>
    <row r="8" spans="1:14" s="113" customFormat="1" ht="18" hidden="1" customHeight="1">
      <c r="A8" s="23">
        <v>23</v>
      </c>
      <c r="B8" s="24" t="s">
        <v>311</v>
      </c>
      <c r="C8" s="123" t="s">
        <v>316</v>
      </c>
      <c r="D8" s="26" t="s">
        <v>34</v>
      </c>
      <c r="E8" s="114">
        <v>34</v>
      </c>
      <c r="F8" s="26"/>
      <c r="G8" s="28"/>
      <c r="H8" s="28"/>
      <c r="I8" s="64"/>
      <c r="J8" s="65"/>
      <c r="K8" s="65" t="s">
        <v>545</v>
      </c>
      <c r="L8" s="66"/>
      <c r="M8" s="28"/>
      <c r="N8" s="119"/>
    </row>
    <row r="9" spans="1:14" s="113" customFormat="1" ht="15.75" hidden="1" customHeight="1">
      <c r="A9" s="23">
        <v>58</v>
      </c>
      <c r="B9" s="24" t="s">
        <v>319</v>
      </c>
      <c r="C9" s="123" t="s">
        <v>316</v>
      </c>
      <c r="D9" s="26" t="s">
        <v>34</v>
      </c>
      <c r="E9" s="114">
        <v>34</v>
      </c>
      <c r="F9" s="124"/>
      <c r="G9" s="28"/>
      <c r="H9" s="28"/>
      <c r="I9" s="64"/>
      <c r="J9" s="65"/>
      <c r="K9" s="65" t="s">
        <v>545</v>
      </c>
      <c r="L9" s="66"/>
      <c r="M9" s="28"/>
      <c r="N9" s="119"/>
    </row>
    <row r="10" spans="1:14" s="113" customFormat="1" ht="17.25" hidden="1" customHeight="1">
      <c r="A10" s="30">
        <v>45</v>
      </c>
      <c r="B10" s="31" t="s">
        <v>311</v>
      </c>
      <c r="C10" s="114" t="s">
        <v>329</v>
      </c>
      <c r="D10" s="26" t="s">
        <v>34</v>
      </c>
      <c r="E10" s="114">
        <v>2</v>
      </c>
      <c r="F10" s="26"/>
      <c r="G10" s="28"/>
      <c r="H10" s="28" t="s">
        <v>370</v>
      </c>
      <c r="I10" s="64" t="s">
        <v>545</v>
      </c>
      <c r="J10" s="65"/>
      <c r="K10" s="65"/>
      <c r="L10" s="66"/>
      <c r="M10" s="28"/>
      <c r="N10" s="119"/>
    </row>
    <row r="11" spans="1:14" s="113" customFormat="1" ht="18" hidden="1" customHeight="1">
      <c r="A11" s="30">
        <v>44</v>
      </c>
      <c r="B11" s="31" t="s">
        <v>311</v>
      </c>
      <c r="C11" s="114" t="s">
        <v>329</v>
      </c>
      <c r="D11" s="26" t="s">
        <v>34</v>
      </c>
      <c r="E11" s="114">
        <v>13</v>
      </c>
      <c r="F11" s="26"/>
      <c r="G11" s="28"/>
      <c r="H11" s="28" t="s">
        <v>369</v>
      </c>
      <c r="I11" s="64" t="s">
        <v>545</v>
      </c>
      <c r="J11" s="65"/>
      <c r="K11" s="65"/>
      <c r="L11" s="66"/>
      <c r="M11" s="28"/>
      <c r="N11" s="119"/>
    </row>
    <row r="12" spans="1:14" s="113" customFormat="1" ht="18" hidden="1" customHeight="1">
      <c r="A12" s="30">
        <v>42</v>
      </c>
      <c r="B12" s="31" t="s">
        <v>311</v>
      </c>
      <c r="C12" s="114" t="s">
        <v>329</v>
      </c>
      <c r="D12" s="26" t="s">
        <v>34</v>
      </c>
      <c r="E12" s="114">
        <v>14</v>
      </c>
      <c r="F12" s="26"/>
      <c r="G12" s="28"/>
      <c r="H12" s="28" t="s">
        <v>367</v>
      </c>
      <c r="I12" s="64" t="s">
        <v>545</v>
      </c>
      <c r="J12" s="65"/>
      <c r="K12" s="65"/>
      <c r="L12" s="66"/>
      <c r="M12" s="28"/>
      <c r="N12" s="119"/>
    </row>
    <row r="13" spans="1:14" s="113" customFormat="1" ht="18" hidden="1" customHeight="1">
      <c r="A13" s="30">
        <v>41</v>
      </c>
      <c r="B13" s="31" t="s">
        <v>311</v>
      </c>
      <c r="C13" s="114" t="s">
        <v>329</v>
      </c>
      <c r="D13" s="26" t="s">
        <v>34</v>
      </c>
      <c r="E13" s="114">
        <v>15</v>
      </c>
      <c r="F13" s="26"/>
      <c r="G13" s="28"/>
      <c r="H13" s="28" t="s">
        <v>366</v>
      </c>
      <c r="I13" s="64" t="s">
        <v>545</v>
      </c>
      <c r="J13" s="65"/>
      <c r="K13" s="65"/>
      <c r="L13" s="66"/>
      <c r="M13" s="28"/>
      <c r="N13" s="119"/>
    </row>
    <row r="14" spans="1:14" s="113" customFormat="1" ht="18" hidden="1" customHeight="1">
      <c r="A14" s="30">
        <v>40</v>
      </c>
      <c r="B14" s="31" t="s">
        <v>311</v>
      </c>
      <c r="C14" s="114" t="s">
        <v>329</v>
      </c>
      <c r="D14" s="26" t="s">
        <v>34</v>
      </c>
      <c r="E14" s="114">
        <v>16</v>
      </c>
      <c r="F14" s="26"/>
      <c r="G14" s="28"/>
      <c r="H14" s="28" t="s">
        <v>365</v>
      </c>
      <c r="I14" s="64" t="s">
        <v>545</v>
      </c>
      <c r="J14" s="65"/>
      <c r="K14" s="65"/>
      <c r="L14" s="66"/>
      <c r="M14" s="28"/>
      <c r="N14" s="119"/>
    </row>
    <row r="15" spans="1:14" s="113" customFormat="1" ht="18" hidden="1" customHeight="1">
      <c r="A15" s="30">
        <v>43</v>
      </c>
      <c r="B15" s="31" t="s">
        <v>311</v>
      </c>
      <c r="C15" s="114" t="s">
        <v>329</v>
      </c>
      <c r="D15" s="26" t="s">
        <v>34</v>
      </c>
      <c r="E15" s="114">
        <v>17</v>
      </c>
      <c r="F15" s="26"/>
      <c r="G15" s="28"/>
      <c r="H15" s="28" t="s">
        <v>368</v>
      </c>
      <c r="I15" s="64" t="s">
        <v>545</v>
      </c>
      <c r="J15" s="65"/>
      <c r="K15" s="65"/>
      <c r="L15" s="66"/>
      <c r="M15" s="28"/>
      <c r="N15" s="119"/>
    </row>
    <row r="16" spans="1:14" s="113" customFormat="1" ht="18" hidden="1" customHeight="1">
      <c r="A16" s="30">
        <v>102</v>
      </c>
      <c r="B16" s="83" t="s">
        <v>319</v>
      </c>
      <c r="C16" s="114" t="s">
        <v>329</v>
      </c>
      <c r="D16" s="26" t="s">
        <v>34</v>
      </c>
      <c r="E16" s="114">
        <v>2</v>
      </c>
      <c r="F16" s="124" t="s">
        <v>227</v>
      </c>
      <c r="G16" s="28">
        <v>54.8</v>
      </c>
      <c r="H16" s="28" t="s">
        <v>420</v>
      </c>
      <c r="I16" s="64" t="s">
        <v>545</v>
      </c>
      <c r="J16" s="65"/>
      <c r="K16" s="65"/>
      <c r="L16" s="66"/>
      <c r="M16" s="28"/>
      <c r="N16" s="119"/>
    </row>
    <row r="17" spans="1:14" s="113" customFormat="1" ht="18" hidden="1" customHeight="1">
      <c r="A17" s="30">
        <v>100</v>
      </c>
      <c r="B17" s="83" t="s">
        <v>319</v>
      </c>
      <c r="C17" s="114" t="s">
        <v>329</v>
      </c>
      <c r="D17" s="26" t="s">
        <v>34</v>
      </c>
      <c r="E17" s="114">
        <v>13</v>
      </c>
      <c r="F17" s="124" t="s">
        <v>227</v>
      </c>
      <c r="G17" s="28">
        <v>54.8</v>
      </c>
      <c r="H17" s="28" t="s">
        <v>422</v>
      </c>
      <c r="I17" s="64" t="s">
        <v>545</v>
      </c>
      <c r="J17" s="65"/>
      <c r="K17" s="65"/>
      <c r="L17" s="66"/>
      <c r="M17" s="28"/>
      <c r="N17" s="119"/>
    </row>
    <row r="18" spans="1:14" s="113" customFormat="1" ht="18" hidden="1" customHeight="1">
      <c r="A18" s="30">
        <v>99</v>
      </c>
      <c r="B18" s="83" t="s">
        <v>319</v>
      </c>
      <c r="C18" s="114" t="s">
        <v>329</v>
      </c>
      <c r="D18" s="26" t="s">
        <v>34</v>
      </c>
      <c r="E18" s="114">
        <v>14</v>
      </c>
      <c r="F18" s="124" t="s">
        <v>227</v>
      </c>
      <c r="G18" s="28">
        <v>54.8</v>
      </c>
      <c r="H18" s="28" t="s">
        <v>423</v>
      </c>
      <c r="I18" s="64" t="s">
        <v>545</v>
      </c>
      <c r="J18" s="65"/>
      <c r="K18" s="65"/>
      <c r="L18" s="66"/>
      <c r="M18" s="28"/>
      <c r="N18" s="119"/>
    </row>
    <row r="19" spans="1:14" s="113" customFormat="1" ht="18" hidden="1" customHeight="1">
      <c r="A19" s="30">
        <v>101</v>
      </c>
      <c r="B19" s="83" t="s">
        <v>319</v>
      </c>
      <c r="C19" s="114" t="s">
        <v>329</v>
      </c>
      <c r="D19" s="26" t="s">
        <v>34</v>
      </c>
      <c r="E19" s="114">
        <v>15</v>
      </c>
      <c r="F19" s="124" t="s">
        <v>227</v>
      </c>
      <c r="G19" s="28">
        <v>54.8</v>
      </c>
      <c r="H19" s="28" t="s">
        <v>421</v>
      </c>
      <c r="I19" s="64" t="s">
        <v>545</v>
      </c>
      <c r="J19" s="65"/>
      <c r="K19" s="65"/>
      <c r="L19" s="66"/>
      <c r="M19" s="28"/>
      <c r="N19" s="119"/>
    </row>
    <row r="20" spans="1:14" s="113" customFormat="1" ht="18" hidden="1" customHeight="1">
      <c r="A20" s="30">
        <v>98</v>
      </c>
      <c r="B20" s="83" t="s">
        <v>319</v>
      </c>
      <c r="C20" s="114" t="s">
        <v>329</v>
      </c>
      <c r="D20" s="26" t="s">
        <v>34</v>
      </c>
      <c r="E20" s="114">
        <v>16</v>
      </c>
      <c r="F20" s="124" t="s">
        <v>227</v>
      </c>
      <c r="G20" s="28">
        <v>54.8</v>
      </c>
      <c r="H20" s="28" t="s">
        <v>424</v>
      </c>
      <c r="I20" s="64" t="s">
        <v>545</v>
      </c>
      <c r="J20" s="65"/>
      <c r="K20" s="65"/>
      <c r="L20" s="66"/>
      <c r="M20" s="28"/>
      <c r="N20" s="119"/>
    </row>
    <row r="21" spans="1:14" s="113" customFormat="1" ht="18" hidden="1" customHeight="1">
      <c r="A21" s="30">
        <v>97</v>
      </c>
      <c r="B21" s="83" t="s">
        <v>319</v>
      </c>
      <c r="C21" s="114" t="s">
        <v>329</v>
      </c>
      <c r="D21" s="26" t="s">
        <v>34</v>
      </c>
      <c r="E21" s="114">
        <v>17</v>
      </c>
      <c r="F21" s="124" t="s">
        <v>227</v>
      </c>
      <c r="G21" s="28">
        <v>54.8</v>
      </c>
      <c r="H21" s="28" t="s">
        <v>425</v>
      </c>
      <c r="I21" s="64" t="s">
        <v>545</v>
      </c>
      <c r="J21" s="65"/>
      <c r="K21" s="65"/>
      <c r="L21" s="66"/>
      <c r="M21" s="28"/>
      <c r="N21" s="119" t="s">
        <v>357</v>
      </c>
    </row>
    <row r="22" spans="1:14" s="113" customFormat="1" ht="18" hidden="1" customHeight="1">
      <c r="A22" s="30">
        <v>11</v>
      </c>
      <c r="B22" s="31" t="s">
        <v>311</v>
      </c>
      <c r="C22" s="27" t="s">
        <v>31</v>
      </c>
      <c r="D22" s="26" t="s">
        <v>34</v>
      </c>
      <c r="E22" s="27" t="s">
        <v>39</v>
      </c>
      <c r="F22" s="26" t="s">
        <v>226</v>
      </c>
      <c r="G22" s="28">
        <v>80</v>
      </c>
      <c r="H22" s="28" t="s">
        <v>383</v>
      </c>
      <c r="I22" s="64" t="s">
        <v>545</v>
      </c>
      <c r="J22" s="65"/>
      <c r="K22" s="65"/>
      <c r="L22" s="66"/>
      <c r="M22" s="28"/>
      <c r="N22" s="119" t="s">
        <v>302</v>
      </c>
    </row>
    <row r="23" spans="1:14" s="113" customFormat="1" ht="18" hidden="1" customHeight="1">
      <c r="A23" s="30">
        <v>6</v>
      </c>
      <c r="B23" s="31" t="s">
        <v>311</v>
      </c>
      <c r="C23" s="27" t="s">
        <v>31</v>
      </c>
      <c r="D23" s="26" t="s">
        <v>34</v>
      </c>
      <c r="E23" s="27" t="s">
        <v>117</v>
      </c>
      <c r="F23" s="26" t="s">
        <v>226</v>
      </c>
      <c r="G23" s="28">
        <v>80</v>
      </c>
      <c r="H23" s="28" t="s">
        <v>260</v>
      </c>
      <c r="I23" s="64" t="s">
        <v>545</v>
      </c>
      <c r="J23" s="65"/>
      <c r="K23" s="65"/>
      <c r="L23" s="66"/>
      <c r="M23" s="28"/>
      <c r="N23" s="119" t="s">
        <v>302</v>
      </c>
    </row>
    <row r="24" spans="1:14" s="113" customFormat="1" ht="18" hidden="1" customHeight="1">
      <c r="A24" s="30">
        <v>1</v>
      </c>
      <c r="B24" s="31" t="s">
        <v>311</v>
      </c>
      <c r="C24" s="27" t="s">
        <v>31</v>
      </c>
      <c r="D24" s="26" t="s">
        <v>34</v>
      </c>
      <c r="E24" s="27" t="s">
        <v>118</v>
      </c>
      <c r="F24" s="26" t="s">
        <v>226</v>
      </c>
      <c r="G24" s="28">
        <v>80</v>
      </c>
      <c r="H24" s="28" t="s">
        <v>255</v>
      </c>
      <c r="I24" s="64" t="s">
        <v>545</v>
      </c>
      <c r="J24" s="65"/>
      <c r="K24" s="65"/>
      <c r="L24" s="66"/>
      <c r="M24" s="28"/>
      <c r="N24" s="119" t="s">
        <v>302</v>
      </c>
    </row>
    <row r="25" spans="1:14" s="113" customFormat="1" ht="18" hidden="1" customHeight="1">
      <c r="A25" s="30">
        <v>16</v>
      </c>
      <c r="B25" s="31" t="s">
        <v>311</v>
      </c>
      <c r="C25" s="27" t="s">
        <v>31</v>
      </c>
      <c r="D25" s="26" t="s">
        <v>34</v>
      </c>
      <c r="E25" s="27" t="s">
        <v>66</v>
      </c>
      <c r="F25" s="26" t="s">
        <v>226</v>
      </c>
      <c r="G25" s="28">
        <v>80</v>
      </c>
      <c r="H25" s="28" t="s">
        <v>386</v>
      </c>
      <c r="I25" s="64" t="s">
        <v>545</v>
      </c>
      <c r="J25" s="65"/>
      <c r="K25" s="65"/>
      <c r="L25" s="66"/>
      <c r="M25" s="28"/>
      <c r="N25" s="119" t="s">
        <v>302</v>
      </c>
    </row>
    <row r="26" spans="1:14" s="113" customFormat="1" ht="18" hidden="1" customHeight="1">
      <c r="A26" s="30">
        <v>13</v>
      </c>
      <c r="B26" s="31" t="s">
        <v>311</v>
      </c>
      <c r="C26" s="27" t="s">
        <v>31</v>
      </c>
      <c r="D26" s="26" t="s">
        <v>34</v>
      </c>
      <c r="E26" s="27" t="s">
        <v>67</v>
      </c>
      <c r="F26" s="26" t="s">
        <v>226</v>
      </c>
      <c r="G26" s="28">
        <v>80</v>
      </c>
      <c r="H26" s="28" t="s">
        <v>384</v>
      </c>
      <c r="I26" s="64" t="s">
        <v>545</v>
      </c>
      <c r="J26" s="65"/>
      <c r="K26" s="65"/>
      <c r="L26" s="66"/>
      <c r="M26" s="28"/>
      <c r="N26" s="119" t="s">
        <v>302</v>
      </c>
    </row>
    <row r="27" spans="1:14" s="113" customFormat="1" ht="18" hidden="1" customHeight="1">
      <c r="A27" s="30">
        <v>3</v>
      </c>
      <c r="B27" s="31" t="s">
        <v>311</v>
      </c>
      <c r="C27" s="27" t="s">
        <v>31</v>
      </c>
      <c r="D27" s="26" t="s">
        <v>34</v>
      </c>
      <c r="E27" s="27" t="s">
        <v>68</v>
      </c>
      <c r="F27" s="26" t="s">
        <v>226</v>
      </c>
      <c r="G27" s="28">
        <v>80</v>
      </c>
      <c r="H27" s="28" t="s">
        <v>257</v>
      </c>
      <c r="I27" s="64" t="s">
        <v>545</v>
      </c>
      <c r="J27" s="65"/>
      <c r="K27" s="65"/>
      <c r="L27" s="66"/>
      <c r="M27" s="28"/>
      <c r="N27" s="119" t="s">
        <v>302</v>
      </c>
    </row>
    <row r="28" spans="1:14" s="113" customFormat="1" ht="18" hidden="1" customHeight="1">
      <c r="A28" s="30">
        <v>15</v>
      </c>
      <c r="B28" s="31" t="s">
        <v>311</v>
      </c>
      <c r="C28" s="27" t="s">
        <v>31</v>
      </c>
      <c r="D28" s="26" t="s">
        <v>34</v>
      </c>
      <c r="E28" s="27" t="s">
        <v>119</v>
      </c>
      <c r="F28" s="26" t="s">
        <v>226</v>
      </c>
      <c r="G28" s="28">
        <v>80</v>
      </c>
      <c r="H28" s="28" t="s">
        <v>385</v>
      </c>
      <c r="I28" s="64" t="s">
        <v>545</v>
      </c>
      <c r="J28" s="65"/>
      <c r="K28" s="65"/>
      <c r="L28" s="66"/>
      <c r="M28" s="28"/>
      <c r="N28" s="119" t="s">
        <v>302</v>
      </c>
    </row>
    <row r="29" spans="1:14" s="113" customFormat="1" ht="18" hidden="1" customHeight="1">
      <c r="A29" s="30">
        <v>2</v>
      </c>
      <c r="B29" s="31" t="s">
        <v>311</v>
      </c>
      <c r="C29" s="27" t="s">
        <v>31</v>
      </c>
      <c r="D29" s="26" t="s">
        <v>34</v>
      </c>
      <c r="E29" s="27" t="s">
        <v>120</v>
      </c>
      <c r="F29" s="26" t="s">
        <v>226</v>
      </c>
      <c r="G29" s="28">
        <v>80</v>
      </c>
      <c r="H29" s="28" t="s">
        <v>256</v>
      </c>
      <c r="I29" s="64" t="s">
        <v>545</v>
      </c>
      <c r="J29" s="65"/>
      <c r="K29" s="65"/>
      <c r="L29" s="66"/>
      <c r="M29" s="28"/>
      <c r="N29" s="119" t="s">
        <v>302</v>
      </c>
    </row>
    <row r="30" spans="1:14" s="113" customFormat="1" ht="18" hidden="1" customHeight="1">
      <c r="A30" s="30">
        <v>18</v>
      </c>
      <c r="B30" s="31" t="s">
        <v>225</v>
      </c>
      <c r="C30" s="26" t="s">
        <v>31</v>
      </c>
      <c r="D30" s="26" t="s">
        <v>34</v>
      </c>
      <c r="E30" s="27" t="s">
        <v>216</v>
      </c>
      <c r="F30" s="26" t="s">
        <v>227</v>
      </c>
      <c r="G30" s="28">
        <v>55</v>
      </c>
      <c r="H30" s="28" t="s">
        <v>396</v>
      </c>
      <c r="I30" s="64" t="s">
        <v>545</v>
      </c>
      <c r="J30" s="65"/>
      <c r="K30" s="65"/>
      <c r="L30" s="66"/>
      <c r="M30" s="28"/>
      <c r="N30" s="119" t="s">
        <v>302</v>
      </c>
    </row>
    <row r="31" spans="1:14" s="113" customFormat="1" ht="18" hidden="1" customHeight="1">
      <c r="A31" s="30">
        <v>8</v>
      </c>
      <c r="B31" s="31" t="s">
        <v>225</v>
      </c>
      <c r="C31" s="27" t="s">
        <v>31</v>
      </c>
      <c r="D31" s="26" t="s">
        <v>34</v>
      </c>
      <c r="E31" s="27" t="s">
        <v>210</v>
      </c>
      <c r="F31" s="26" t="s">
        <v>227</v>
      </c>
      <c r="G31" s="28">
        <v>55</v>
      </c>
      <c r="H31" s="28" t="s">
        <v>391</v>
      </c>
      <c r="I31" s="64" t="s">
        <v>545</v>
      </c>
      <c r="J31" s="65"/>
      <c r="K31" s="65"/>
      <c r="L31" s="66"/>
      <c r="M31" s="28"/>
      <c r="N31" s="119" t="s">
        <v>302</v>
      </c>
    </row>
    <row r="32" spans="1:14" s="113" customFormat="1" ht="18" hidden="1" customHeight="1">
      <c r="A32" s="30">
        <v>9</v>
      </c>
      <c r="B32" s="31" t="s">
        <v>225</v>
      </c>
      <c r="C32" s="27" t="s">
        <v>31</v>
      </c>
      <c r="D32" s="26" t="s">
        <v>34</v>
      </c>
      <c r="E32" s="27" t="s">
        <v>211</v>
      </c>
      <c r="F32" s="26" t="s">
        <v>227</v>
      </c>
      <c r="G32" s="28">
        <v>55</v>
      </c>
      <c r="H32" s="28" t="s">
        <v>262</v>
      </c>
      <c r="I32" s="64" t="s">
        <v>545</v>
      </c>
      <c r="J32" s="65"/>
      <c r="K32" s="65"/>
      <c r="L32" s="66"/>
      <c r="M32" s="28"/>
      <c r="N32" s="119" t="s">
        <v>302</v>
      </c>
    </row>
    <row r="33" spans="1:14" s="113" customFormat="1" ht="18" hidden="1" customHeight="1">
      <c r="A33" s="30">
        <v>10</v>
      </c>
      <c r="B33" s="31" t="s">
        <v>225</v>
      </c>
      <c r="C33" s="27" t="s">
        <v>31</v>
      </c>
      <c r="D33" s="26" t="s">
        <v>34</v>
      </c>
      <c r="E33" s="27" t="s">
        <v>212</v>
      </c>
      <c r="F33" s="26" t="s">
        <v>227</v>
      </c>
      <c r="G33" s="28">
        <v>55</v>
      </c>
      <c r="H33" s="28" t="s">
        <v>392</v>
      </c>
      <c r="I33" s="64" t="s">
        <v>545</v>
      </c>
      <c r="J33" s="65"/>
      <c r="K33" s="65"/>
      <c r="L33" s="66"/>
      <c r="M33" s="28"/>
      <c r="N33" s="119" t="s">
        <v>302</v>
      </c>
    </row>
    <row r="34" spans="1:14" s="113" customFormat="1" ht="18" hidden="1" customHeight="1">
      <c r="A34" s="30">
        <v>14</v>
      </c>
      <c r="B34" s="31" t="s">
        <v>225</v>
      </c>
      <c r="C34" s="27" t="s">
        <v>31</v>
      </c>
      <c r="D34" s="26" t="s">
        <v>34</v>
      </c>
      <c r="E34" s="27" t="s">
        <v>214</v>
      </c>
      <c r="F34" s="26" t="s">
        <v>227</v>
      </c>
      <c r="G34" s="28">
        <v>55</v>
      </c>
      <c r="H34" s="28" t="s">
        <v>394</v>
      </c>
      <c r="I34" s="64" t="s">
        <v>545</v>
      </c>
      <c r="J34" s="65"/>
      <c r="K34" s="65"/>
      <c r="L34" s="66"/>
      <c r="M34" s="28"/>
      <c r="N34" s="119" t="s">
        <v>302</v>
      </c>
    </row>
    <row r="35" spans="1:14" s="113" customFormat="1" ht="18" hidden="1" customHeight="1">
      <c r="A35" s="30">
        <v>17</v>
      </c>
      <c r="B35" s="31" t="s">
        <v>225</v>
      </c>
      <c r="C35" s="26" t="s">
        <v>31</v>
      </c>
      <c r="D35" s="26" t="s">
        <v>34</v>
      </c>
      <c r="E35" s="27" t="s">
        <v>215</v>
      </c>
      <c r="F35" s="26" t="s">
        <v>227</v>
      </c>
      <c r="G35" s="28">
        <v>55</v>
      </c>
      <c r="H35" s="28" t="s">
        <v>395</v>
      </c>
      <c r="I35" s="64" t="s">
        <v>545</v>
      </c>
      <c r="J35" s="65"/>
      <c r="K35" s="65"/>
      <c r="L35" s="66"/>
      <c r="M35" s="28"/>
      <c r="N35" s="119" t="s">
        <v>302</v>
      </c>
    </row>
    <row r="36" spans="1:14" s="113" customFormat="1" ht="18" hidden="1" customHeight="1">
      <c r="A36" s="30">
        <v>12</v>
      </c>
      <c r="B36" s="31" t="s">
        <v>225</v>
      </c>
      <c r="C36" s="27" t="s">
        <v>31</v>
      </c>
      <c r="D36" s="26" t="s">
        <v>34</v>
      </c>
      <c r="E36" s="27" t="s">
        <v>213</v>
      </c>
      <c r="F36" s="26" t="s">
        <v>227</v>
      </c>
      <c r="G36" s="28">
        <v>55</v>
      </c>
      <c r="H36" s="28" t="s">
        <v>393</v>
      </c>
      <c r="I36" s="64" t="s">
        <v>545</v>
      </c>
      <c r="J36" s="65"/>
      <c r="K36" s="65"/>
      <c r="L36" s="66"/>
      <c r="M36" s="28"/>
      <c r="N36" s="119" t="s">
        <v>302</v>
      </c>
    </row>
    <row r="37" spans="1:14" s="113" customFormat="1" ht="18" hidden="1" customHeight="1">
      <c r="A37" s="30">
        <v>5</v>
      </c>
      <c r="B37" s="31" t="s">
        <v>225</v>
      </c>
      <c r="C37" s="27" t="s">
        <v>31</v>
      </c>
      <c r="D37" s="26" t="s">
        <v>34</v>
      </c>
      <c r="E37" s="27" t="s">
        <v>208</v>
      </c>
      <c r="F37" s="26" t="s">
        <v>227</v>
      </c>
      <c r="G37" s="28">
        <v>55</v>
      </c>
      <c r="H37" s="28" t="s">
        <v>259</v>
      </c>
      <c r="I37" s="64" t="s">
        <v>545</v>
      </c>
      <c r="J37" s="65"/>
      <c r="K37" s="65"/>
      <c r="L37" s="66"/>
      <c r="M37" s="28"/>
      <c r="N37" s="119" t="s">
        <v>302</v>
      </c>
    </row>
    <row r="38" spans="1:14" s="113" customFormat="1" ht="18" hidden="1" customHeight="1">
      <c r="A38" s="30">
        <v>4</v>
      </c>
      <c r="B38" s="31" t="s">
        <v>225</v>
      </c>
      <c r="C38" s="27" t="s">
        <v>31</v>
      </c>
      <c r="D38" s="26" t="s">
        <v>34</v>
      </c>
      <c r="E38" s="27" t="s">
        <v>121</v>
      </c>
      <c r="F38" s="26" t="s">
        <v>226</v>
      </c>
      <c r="G38" s="28">
        <v>80</v>
      </c>
      <c r="H38" s="28" t="s">
        <v>258</v>
      </c>
      <c r="I38" s="64" t="s">
        <v>545</v>
      </c>
      <c r="J38" s="65"/>
      <c r="K38" s="65"/>
      <c r="L38" s="66"/>
      <c r="M38" s="28"/>
      <c r="N38" s="119" t="s">
        <v>302</v>
      </c>
    </row>
    <row r="39" spans="1:14" s="113" customFormat="1" ht="18" hidden="1" customHeight="1">
      <c r="A39" s="30">
        <v>7</v>
      </c>
      <c r="B39" s="31" t="s">
        <v>225</v>
      </c>
      <c r="C39" s="27" t="s">
        <v>31</v>
      </c>
      <c r="D39" s="26" t="s">
        <v>34</v>
      </c>
      <c r="E39" s="27" t="s">
        <v>209</v>
      </c>
      <c r="F39" s="26" t="s">
        <v>227</v>
      </c>
      <c r="G39" s="28">
        <v>55</v>
      </c>
      <c r="H39" s="28" t="s">
        <v>261</v>
      </c>
      <c r="I39" s="64" t="s">
        <v>545</v>
      </c>
      <c r="J39" s="65"/>
      <c r="K39" s="65"/>
      <c r="L39" s="66"/>
      <c r="M39" s="28"/>
      <c r="N39" s="119" t="s">
        <v>302</v>
      </c>
    </row>
    <row r="40" spans="1:14" s="113" customFormat="1" ht="18" hidden="1" customHeight="1">
      <c r="A40" s="23">
        <v>20</v>
      </c>
      <c r="B40" s="24" t="s">
        <v>311</v>
      </c>
      <c r="C40" s="123" t="s">
        <v>313</v>
      </c>
      <c r="D40" s="26" t="s">
        <v>34</v>
      </c>
      <c r="E40" s="114">
        <v>49</v>
      </c>
      <c r="F40" s="26"/>
      <c r="G40" s="28"/>
      <c r="H40" s="28" t="s">
        <v>270</v>
      </c>
      <c r="I40" s="64"/>
      <c r="J40" s="65"/>
      <c r="K40" s="65" t="s">
        <v>545</v>
      </c>
      <c r="L40" s="66"/>
      <c r="M40" s="28"/>
      <c r="N40" s="119"/>
    </row>
    <row r="41" spans="1:14" s="113" customFormat="1" ht="18" hidden="1" customHeight="1">
      <c r="A41" s="23">
        <v>52</v>
      </c>
      <c r="B41" s="24" t="s">
        <v>319</v>
      </c>
      <c r="C41" s="123" t="s">
        <v>313</v>
      </c>
      <c r="D41" s="26" t="s">
        <v>34</v>
      </c>
      <c r="E41" s="114">
        <v>53</v>
      </c>
      <c r="F41" s="124"/>
      <c r="G41" s="28"/>
      <c r="H41" s="28"/>
      <c r="I41" s="64"/>
      <c r="J41" s="65"/>
      <c r="K41" s="65" t="s">
        <v>545</v>
      </c>
      <c r="L41" s="66"/>
      <c r="M41" s="28"/>
      <c r="N41" s="119"/>
    </row>
    <row r="42" spans="1:14" s="113" customFormat="1" ht="18" hidden="1" customHeight="1">
      <c r="A42" s="23">
        <v>39</v>
      </c>
      <c r="B42" s="24" t="s">
        <v>311</v>
      </c>
      <c r="C42" s="123" t="s">
        <v>328</v>
      </c>
      <c r="D42" s="26" t="s">
        <v>34</v>
      </c>
      <c r="E42" s="114">
        <v>24</v>
      </c>
      <c r="F42" s="26"/>
      <c r="G42" s="28"/>
      <c r="H42" s="28" t="s">
        <v>268</v>
      </c>
      <c r="I42" s="64"/>
      <c r="J42" s="65"/>
      <c r="K42" s="65" t="s">
        <v>545</v>
      </c>
      <c r="L42" s="66"/>
      <c r="M42" s="28"/>
      <c r="N42" s="119"/>
    </row>
    <row r="43" spans="1:14" s="113" customFormat="1" ht="18" hidden="1" customHeight="1">
      <c r="A43" s="23">
        <v>96</v>
      </c>
      <c r="B43" s="24" t="s">
        <v>319</v>
      </c>
      <c r="C43" s="123" t="s">
        <v>328</v>
      </c>
      <c r="D43" s="26" t="s">
        <v>34</v>
      </c>
      <c r="E43" s="114">
        <v>24</v>
      </c>
      <c r="F43" s="124"/>
      <c r="G43" s="28"/>
      <c r="H43" s="28"/>
      <c r="I43" s="64"/>
      <c r="J43" s="65"/>
      <c r="K43" s="65" t="s">
        <v>545</v>
      </c>
      <c r="L43" s="66"/>
      <c r="M43" s="28"/>
      <c r="N43" s="119"/>
    </row>
    <row r="44" spans="1:14" s="113" customFormat="1" ht="18" hidden="1" customHeight="1">
      <c r="A44" s="23">
        <v>34</v>
      </c>
      <c r="B44" s="24" t="s">
        <v>311</v>
      </c>
      <c r="C44" s="123" t="s">
        <v>323</v>
      </c>
      <c r="D44" s="26" t="s">
        <v>34</v>
      </c>
      <c r="E44" s="114">
        <v>2</v>
      </c>
      <c r="F44" s="26"/>
      <c r="G44" s="32"/>
      <c r="H44" s="32" t="s">
        <v>272</v>
      </c>
      <c r="I44" s="67"/>
      <c r="J44" s="68"/>
      <c r="K44" s="65" t="s">
        <v>545</v>
      </c>
      <c r="L44" s="69"/>
      <c r="M44" s="32"/>
      <c r="N44" s="119"/>
    </row>
    <row r="45" spans="1:14" s="113" customFormat="1" ht="18" hidden="1" customHeight="1">
      <c r="A45" s="23">
        <v>88</v>
      </c>
      <c r="B45" s="24" t="s">
        <v>319</v>
      </c>
      <c r="C45" s="123" t="s">
        <v>323</v>
      </c>
      <c r="D45" s="26" t="s">
        <v>34</v>
      </c>
      <c r="E45" s="114">
        <v>2</v>
      </c>
      <c r="F45" s="124"/>
      <c r="G45" s="28"/>
      <c r="H45" s="28"/>
      <c r="I45" s="64"/>
      <c r="J45" s="65"/>
      <c r="K45" s="65" t="s">
        <v>545</v>
      </c>
      <c r="L45" s="66"/>
      <c r="M45" s="28"/>
      <c r="N45" s="119"/>
    </row>
    <row r="46" spans="1:14" s="113" customFormat="1" ht="18" hidden="1" customHeight="1">
      <c r="A46" s="23">
        <v>36</v>
      </c>
      <c r="B46" s="24" t="s">
        <v>311</v>
      </c>
      <c r="C46" s="123" t="s">
        <v>325</v>
      </c>
      <c r="D46" s="26" t="s">
        <v>34</v>
      </c>
      <c r="E46" s="114">
        <v>3</v>
      </c>
      <c r="F46" s="26"/>
      <c r="G46" s="28"/>
      <c r="H46" s="28"/>
      <c r="I46" s="64"/>
      <c r="J46" s="65"/>
      <c r="K46" s="65" t="s">
        <v>545</v>
      </c>
      <c r="L46" s="66"/>
      <c r="M46" s="28"/>
      <c r="N46" s="119"/>
    </row>
    <row r="47" spans="1:14" s="113" customFormat="1" ht="18" hidden="1" customHeight="1">
      <c r="A47" s="23">
        <v>86</v>
      </c>
      <c r="B47" s="24" t="s">
        <v>319</v>
      </c>
      <c r="C47" s="123" t="s">
        <v>325</v>
      </c>
      <c r="D47" s="26" t="s">
        <v>34</v>
      </c>
      <c r="E47" s="114">
        <v>14</v>
      </c>
      <c r="F47" s="124"/>
      <c r="G47" s="28"/>
      <c r="H47" s="28"/>
      <c r="I47" s="64"/>
      <c r="J47" s="65"/>
      <c r="K47" s="65" t="s">
        <v>545</v>
      </c>
      <c r="L47" s="66"/>
      <c r="M47" s="28"/>
      <c r="N47" s="119"/>
    </row>
    <row r="48" spans="1:14" s="113" customFormat="1" ht="18" customHeight="1">
      <c r="A48" s="30">
        <v>46</v>
      </c>
      <c r="B48" s="31" t="s">
        <v>311</v>
      </c>
      <c r="C48" s="114" t="s">
        <v>330</v>
      </c>
      <c r="D48" s="26" t="s">
        <v>34</v>
      </c>
      <c r="E48" s="114">
        <v>3</v>
      </c>
      <c r="F48" s="26" t="s">
        <v>349</v>
      </c>
      <c r="G48" s="28">
        <v>120</v>
      </c>
      <c r="H48" s="28" t="s">
        <v>375</v>
      </c>
      <c r="I48" s="64" t="s">
        <v>545</v>
      </c>
      <c r="J48" s="65"/>
      <c r="K48" s="65"/>
      <c r="L48" s="66"/>
      <c r="M48" s="28"/>
      <c r="N48" s="119"/>
    </row>
    <row r="49" spans="1:14" s="113" customFormat="1" ht="18" customHeight="1">
      <c r="A49" s="30">
        <v>47</v>
      </c>
      <c r="B49" s="31" t="s">
        <v>311</v>
      </c>
      <c r="C49" s="114" t="s">
        <v>330</v>
      </c>
      <c r="D49" s="26" t="s">
        <v>34</v>
      </c>
      <c r="E49" s="114">
        <v>14</v>
      </c>
      <c r="F49" s="26" t="s">
        <v>349</v>
      </c>
      <c r="G49" s="28">
        <v>120</v>
      </c>
      <c r="H49" s="28" t="s">
        <v>374</v>
      </c>
      <c r="I49" s="64" t="s">
        <v>545</v>
      </c>
      <c r="J49" s="65"/>
      <c r="K49" s="65"/>
      <c r="L49" s="66"/>
      <c r="M49" s="28"/>
      <c r="N49" s="119"/>
    </row>
    <row r="50" spans="1:14" s="113" customFormat="1" ht="18" customHeight="1">
      <c r="A50" s="30">
        <v>49</v>
      </c>
      <c r="B50" s="31" t="s">
        <v>311</v>
      </c>
      <c r="C50" s="114" t="s">
        <v>330</v>
      </c>
      <c r="D50" s="26" t="s">
        <v>34</v>
      </c>
      <c r="E50" s="114">
        <v>15</v>
      </c>
      <c r="F50" s="26" t="s">
        <v>349</v>
      </c>
      <c r="G50" s="28">
        <v>120</v>
      </c>
      <c r="H50" s="28" t="s">
        <v>372</v>
      </c>
      <c r="I50" s="64" t="s">
        <v>545</v>
      </c>
      <c r="J50" s="65"/>
      <c r="K50" s="65"/>
      <c r="L50" s="66"/>
      <c r="M50" s="28"/>
      <c r="N50" s="119" t="s">
        <v>350</v>
      </c>
    </row>
    <row r="51" spans="1:14" s="113" customFormat="1" ht="18" customHeight="1">
      <c r="A51" s="30">
        <v>48</v>
      </c>
      <c r="B51" s="31" t="s">
        <v>311</v>
      </c>
      <c r="C51" s="114" t="s">
        <v>330</v>
      </c>
      <c r="D51" s="26" t="s">
        <v>34</v>
      </c>
      <c r="E51" s="114">
        <v>16</v>
      </c>
      <c r="F51" s="26" t="s">
        <v>349</v>
      </c>
      <c r="G51" s="28">
        <v>120</v>
      </c>
      <c r="H51" s="28" t="s">
        <v>373</v>
      </c>
      <c r="I51" s="64" t="s">
        <v>545</v>
      </c>
      <c r="J51" s="65"/>
      <c r="K51" s="65"/>
      <c r="L51" s="66"/>
      <c r="M51" s="28"/>
      <c r="N51" s="119"/>
    </row>
    <row r="52" spans="1:14" s="113" customFormat="1" ht="18" customHeight="1">
      <c r="A52" s="30">
        <v>50</v>
      </c>
      <c r="B52" s="31" t="s">
        <v>311</v>
      </c>
      <c r="C52" s="114" t="s">
        <v>330</v>
      </c>
      <c r="D52" s="26" t="s">
        <v>34</v>
      </c>
      <c r="E52" s="114">
        <v>34</v>
      </c>
      <c r="F52" s="26" t="s">
        <v>349</v>
      </c>
      <c r="G52" s="28">
        <v>120</v>
      </c>
      <c r="H52" s="28" t="s">
        <v>371</v>
      </c>
      <c r="I52" s="64" t="s">
        <v>545</v>
      </c>
      <c r="J52" s="65"/>
      <c r="K52" s="65"/>
      <c r="L52" s="66"/>
      <c r="M52" s="28"/>
      <c r="N52" s="119"/>
    </row>
    <row r="53" spans="1:14" s="113" customFormat="1" ht="18" hidden="1" customHeight="1">
      <c r="A53" s="30">
        <v>104</v>
      </c>
      <c r="B53" s="83" t="s">
        <v>319</v>
      </c>
      <c r="C53" s="114" t="s">
        <v>330</v>
      </c>
      <c r="D53" s="26" t="s">
        <v>34</v>
      </c>
      <c r="E53" s="114">
        <v>3</v>
      </c>
      <c r="F53" s="124" t="s">
        <v>355</v>
      </c>
      <c r="G53" s="28">
        <v>56</v>
      </c>
      <c r="H53" s="28" t="s">
        <v>411</v>
      </c>
      <c r="I53" s="64" t="s">
        <v>545</v>
      </c>
      <c r="J53" s="65"/>
      <c r="K53" s="65"/>
      <c r="L53" s="66"/>
      <c r="M53" s="28"/>
      <c r="N53" s="119" t="s">
        <v>238</v>
      </c>
    </row>
    <row r="54" spans="1:14" s="113" customFormat="1" ht="18" hidden="1" customHeight="1">
      <c r="A54" s="30">
        <v>108</v>
      </c>
      <c r="B54" s="83" t="s">
        <v>319</v>
      </c>
      <c r="C54" s="114" t="s">
        <v>330</v>
      </c>
      <c r="D54" s="26" t="s">
        <v>34</v>
      </c>
      <c r="E54" s="114">
        <v>14</v>
      </c>
      <c r="F54" s="124" t="s">
        <v>355</v>
      </c>
      <c r="G54" s="32">
        <v>56</v>
      </c>
      <c r="H54" s="32" t="s">
        <v>405</v>
      </c>
      <c r="I54" s="64" t="s">
        <v>545</v>
      </c>
      <c r="J54" s="68"/>
      <c r="K54" s="68"/>
      <c r="L54" s="69"/>
      <c r="M54" s="32"/>
      <c r="N54" s="119"/>
    </row>
    <row r="55" spans="1:14" s="113" customFormat="1" ht="18" hidden="1" customHeight="1">
      <c r="A55" s="30">
        <v>109</v>
      </c>
      <c r="B55" s="83" t="s">
        <v>319</v>
      </c>
      <c r="C55" s="114" t="s">
        <v>330</v>
      </c>
      <c r="D55" s="26" t="s">
        <v>34</v>
      </c>
      <c r="E55" s="114">
        <v>15</v>
      </c>
      <c r="F55" s="124" t="s">
        <v>355</v>
      </c>
      <c r="G55" s="28">
        <v>56</v>
      </c>
      <c r="H55" s="28" t="s">
        <v>413</v>
      </c>
      <c r="I55" s="64" t="s">
        <v>545</v>
      </c>
      <c r="J55" s="65"/>
      <c r="K55" s="65"/>
      <c r="L55" s="66"/>
      <c r="M55" s="28"/>
      <c r="N55" s="119"/>
    </row>
    <row r="56" spans="1:14" s="113" customFormat="1" ht="18" hidden="1" customHeight="1">
      <c r="A56" s="30">
        <v>112</v>
      </c>
      <c r="B56" s="83" t="s">
        <v>319</v>
      </c>
      <c r="C56" s="114" t="s">
        <v>330</v>
      </c>
      <c r="D56" s="26" t="s">
        <v>34</v>
      </c>
      <c r="E56" s="114">
        <v>16</v>
      </c>
      <c r="F56" s="124" t="s">
        <v>355</v>
      </c>
      <c r="G56" s="28">
        <v>56</v>
      </c>
      <c r="H56" s="28" t="s">
        <v>414</v>
      </c>
      <c r="I56" s="64" t="s">
        <v>545</v>
      </c>
      <c r="J56" s="65"/>
      <c r="K56" s="65"/>
      <c r="L56" s="66"/>
      <c r="M56" s="28"/>
      <c r="N56" s="119"/>
    </row>
    <row r="57" spans="1:14" s="113" customFormat="1" ht="18" hidden="1" customHeight="1">
      <c r="A57" s="30">
        <v>117</v>
      </c>
      <c r="B57" s="83" t="s">
        <v>319</v>
      </c>
      <c r="C57" s="114" t="s">
        <v>330</v>
      </c>
      <c r="D57" s="26" t="s">
        <v>34</v>
      </c>
      <c r="E57" s="114">
        <v>34</v>
      </c>
      <c r="F57" s="124" t="s">
        <v>355</v>
      </c>
      <c r="G57" s="28">
        <v>56</v>
      </c>
      <c r="H57" s="28" t="s">
        <v>417</v>
      </c>
      <c r="I57" s="64" t="s">
        <v>545</v>
      </c>
      <c r="J57" s="65"/>
      <c r="K57" s="65"/>
      <c r="L57" s="66"/>
      <c r="M57" s="28"/>
      <c r="N57" s="119"/>
    </row>
    <row r="58" spans="1:14" s="113" customFormat="1" ht="18" hidden="1" customHeight="1">
      <c r="A58" s="30">
        <v>103</v>
      </c>
      <c r="B58" s="83" t="s">
        <v>321</v>
      </c>
      <c r="C58" s="114" t="s">
        <v>330</v>
      </c>
      <c r="D58" s="26" t="s">
        <v>34</v>
      </c>
      <c r="E58" s="114">
        <v>3</v>
      </c>
      <c r="F58" s="124" t="s">
        <v>348</v>
      </c>
      <c r="G58" s="28">
        <v>48</v>
      </c>
      <c r="H58" s="28" t="s">
        <v>412</v>
      </c>
      <c r="I58" s="64" t="s">
        <v>545</v>
      </c>
      <c r="J58" s="65"/>
      <c r="K58" s="65"/>
      <c r="L58" s="66"/>
      <c r="M58" s="28"/>
      <c r="N58" s="119"/>
    </row>
    <row r="59" spans="1:14" s="113" customFormat="1" ht="18" hidden="1" customHeight="1">
      <c r="A59" s="30">
        <v>107</v>
      </c>
      <c r="B59" s="83" t="s">
        <v>321</v>
      </c>
      <c r="C59" s="114" t="s">
        <v>330</v>
      </c>
      <c r="D59" s="26" t="s">
        <v>34</v>
      </c>
      <c r="E59" s="114">
        <v>14</v>
      </c>
      <c r="F59" s="124" t="s">
        <v>348</v>
      </c>
      <c r="G59" s="28">
        <v>48</v>
      </c>
      <c r="H59" s="28" t="s">
        <v>409</v>
      </c>
      <c r="I59" s="64" t="s">
        <v>545</v>
      </c>
      <c r="J59" s="65"/>
      <c r="K59" s="65"/>
      <c r="L59" s="66"/>
      <c r="M59" s="28"/>
      <c r="N59" s="119" t="s">
        <v>350</v>
      </c>
    </row>
    <row r="60" spans="1:14" s="113" customFormat="1" ht="18" hidden="1" customHeight="1">
      <c r="A60" s="30">
        <v>114</v>
      </c>
      <c r="B60" s="83" t="s">
        <v>321</v>
      </c>
      <c r="C60" s="114" t="s">
        <v>330</v>
      </c>
      <c r="D60" s="26" t="s">
        <v>34</v>
      </c>
      <c r="E60" s="114">
        <v>15</v>
      </c>
      <c r="F60" s="124" t="s">
        <v>348</v>
      </c>
      <c r="G60" s="28">
        <v>48</v>
      </c>
      <c r="H60" s="28" t="s">
        <v>416</v>
      </c>
      <c r="I60" s="64" t="s">
        <v>545</v>
      </c>
      <c r="J60" s="65"/>
      <c r="K60" s="65"/>
      <c r="L60" s="66"/>
      <c r="M60" s="28"/>
      <c r="N60" s="119"/>
    </row>
    <row r="61" spans="1:14" s="113" customFormat="1" ht="18" hidden="1" customHeight="1">
      <c r="A61" s="30">
        <v>110</v>
      </c>
      <c r="B61" s="83" t="s">
        <v>321</v>
      </c>
      <c r="C61" s="114" t="s">
        <v>330</v>
      </c>
      <c r="D61" s="26" t="s">
        <v>34</v>
      </c>
      <c r="E61" s="114">
        <v>16</v>
      </c>
      <c r="F61" s="124" t="s">
        <v>348</v>
      </c>
      <c r="G61" s="28">
        <v>48</v>
      </c>
      <c r="H61" s="28" t="s">
        <v>408</v>
      </c>
      <c r="I61" s="64" t="s">
        <v>545</v>
      </c>
      <c r="J61" s="65"/>
      <c r="K61" s="65"/>
      <c r="L61" s="66"/>
      <c r="M61" s="28"/>
      <c r="N61" s="119"/>
    </row>
    <row r="62" spans="1:14" s="113" customFormat="1" ht="18" hidden="1" customHeight="1">
      <c r="A62" s="30">
        <v>115</v>
      </c>
      <c r="B62" s="83" t="s">
        <v>321</v>
      </c>
      <c r="C62" s="114" t="s">
        <v>330</v>
      </c>
      <c r="D62" s="26" t="s">
        <v>34</v>
      </c>
      <c r="E62" s="114">
        <v>34</v>
      </c>
      <c r="F62" s="124" t="s">
        <v>348</v>
      </c>
      <c r="G62" s="28">
        <v>48</v>
      </c>
      <c r="H62" s="28" t="s">
        <v>419</v>
      </c>
      <c r="I62" s="64" t="s">
        <v>545</v>
      </c>
      <c r="J62" s="65"/>
      <c r="K62" s="65"/>
      <c r="L62" s="66"/>
      <c r="M62" s="28"/>
      <c r="N62" s="119"/>
    </row>
    <row r="63" spans="1:14" s="113" customFormat="1" ht="18" hidden="1" customHeight="1">
      <c r="A63" s="30">
        <v>105</v>
      </c>
      <c r="B63" s="83" t="s">
        <v>320</v>
      </c>
      <c r="C63" s="114" t="s">
        <v>330</v>
      </c>
      <c r="D63" s="26" t="s">
        <v>34</v>
      </c>
      <c r="E63" s="114">
        <v>3</v>
      </c>
      <c r="F63" s="124" t="s">
        <v>356</v>
      </c>
      <c r="G63" s="28">
        <v>48</v>
      </c>
      <c r="H63" s="28" t="s">
        <v>406</v>
      </c>
      <c r="I63" s="64" t="s">
        <v>545</v>
      </c>
      <c r="J63" s="65"/>
      <c r="K63" s="65"/>
      <c r="L63" s="66"/>
      <c r="M63" s="28"/>
      <c r="N63" s="119" t="s">
        <v>238</v>
      </c>
    </row>
    <row r="64" spans="1:14" s="113" customFormat="1" ht="18" hidden="1" customHeight="1">
      <c r="A64" s="30">
        <v>106</v>
      </c>
      <c r="B64" s="83" t="s">
        <v>320</v>
      </c>
      <c r="C64" s="114" t="s">
        <v>330</v>
      </c>
      <c r="D64" s="26" t="s">
        <v>34</v>
      </c>
      <c r="E64" s="114">
        <v>14</v>
      </c>
      <c r="F64" s="124" t="s">
        <v>356</v>
      </c>
      <c r="G64" s="28">
        <v>48</v>
      </c>
      <c r="H64" s="28" t="s">
        <v>407</v>
      </c>
      <c r="I64" s="64" t="s">
        <v>545</v>
      </c>
      <c r="J64" s="65"/>
      <c r="K64" s="65"/>
      <c r="L64" s="66"/>
      <c r="M64" s="28"/>
      <c r="N64" s="119"/>
    </row>
    <row r="65" spans="1:14" s="113" customFormat="1" ht="18" hidden="1" customHeight="1">
      <c r="A65" s="30">
        <v>113</v>
      </c>
      <c r="B65" s="83" t="s">
        <v>320</v>
      </c>
      <c r="C65" s="114" t="s">
        <v>330</v>
      </c>
      <c r="D65" s="26" t="s">
        <v>34</v>
      </c>
      <c r="E65" s="114">
        <v>15</v>
      </c>
      <c r="F65" s="124" t="s">
        <v>356</v>
      </c>
      <c r="G65" s="28">
        <v>48</v>
      </c>
      <c r="H65" s="28" t="s">
        <v>410</v>
      </c>
      <c r="I65" s="64" t="s">
        <v>545</v>
      </c>
      <c r="J65" s="65"/>
      <c r="K65" s="65"/>
      <c r="L65" s="66"/>
      <c r="M65" s="28"/>
      <c r="N65" s="119"/>
    </row>
    <row r="66" spans="1:14" s="113" customFormat="1" ht="18" hidden="1" customHeight="1">
      <c r="A66" s="30">
        <v>111</v>
      </c>
      <c r="B66" s="83" t="s">
        <v>320</v>
      </c>
      <c r="C66" s="114" t="s">
        <v>330</v>
      </c>
      <c r="D66" s="26" t="s">
        <v>34</v>
      </c>
      <c r="E66" s="114">
        <v>16</v>
      </c>
      <c r="F66" s="124" t="s">
        <v>356</v>
      </c>
      <c r="G66" s="28">
        <v>48</v>
      </c>
      <c r="H66" s="28" t="s">
        <v>415</v>
      </c>
      <c r="I66" s="64" t="s">
        <v>545</v>
      </c>
      <c r="J66" s="65"/>
      <c r="K66" s="65"/>
      <c r="L66" s="66"/>
      <c r="M66" s="28"/>
      <c r="N66" s="119"/>
    </row>
    <row r="67" spans="1:14" s="113" customFormat="1" ht="18" hidden="1" customHeight="1">
      <c r="A67" s="30">
        <v>116</v>
      </c>
      <c r="B67" s="83" t="s">
        <v>320</v>
      </c>
      <c r="C67" s="114" t="s">
        <v>330</v>
      </c>
      <c r="D67" s="26" t="s">
        <v>34</v>
      </c>
      <c r="E67" s="114">
        <v>34</v>
      </c>
      <c r="F67" s="124" t="s">
        <v>356</v>
      </c>
      <c r="G67" s="28">
        <v>48</v>
      </c>
      <c r="H67" s="28" t="s">
        <v>418</v>
      </c>
      <c r="I67" s="64" t="s">
        <v>545</v>
      </c>
      <c r="J67" s="65"/>
      <c r="K67" s="65"/>
      <c r="L67" s="66"/>
      <c r="M67" s="28"/>
      <c r="N67" s="119"/>
    </row>
    <row r="68" spans="1:14" s="113" customFormat="1" ht="18" hidden="1" customHeight="1">
      <c r="A68" s="23">
        <v>21</v>
      </c>
      <c r="B68" s="24" t="s">
        <v>311</v>
      </c>
      <c r="C68" s="123" t="s">
        <v>314</v>
      </c>
      <c r="D68" s="26" t="s">
        <v>34</v>
      </c>
      <c r="E68" s="114">
        <v>3</v>
      </c>
      <c r="F68" s="26"/>
      <c r="G68" s="28"/>
      <c r="H68" s="28" t="s">
        <v>269</v>
      </c>
      <c r="I68" s="64"/>
      <c r="J68" s="65"/>
      <c r="K68" s="65" t="s">
        <v>545</v>
      </c>
      <c r="L68" s="66"/>
      <c r="M68" s="28"/>
      <c r="N68" s="119"/>
    </row>
    <row r="69" spans="1:14" s="113" customFormat="1" ht="18" hidden="1" customHeight="1">
      <c r="A69" s="23">
        <v>55</v>
      </c>
      <c r="B69" s="24" t="s">
        <v>319</v>
      </c>
      <c r="C69" s="123" t="s">
        <v>314</v>
      </c>
      <c r="D69" s="26" t="s">
        <v>34</v>
      </c>
      <c r="E69" s="114">
        <v>27</v>
      </c>
      <c r="F69" s="124"/>
      <c r="G69" s="28"/>
      <c r="H69" s="28"/>
      <c r="I69" s="64"/>
      <c r="J69" s="65"/>
      <c r="K69" s="65" t="s">
        <v>545</v>
      </c>
      <c r="L69" s="66"/>
      <c r="M69" s="28"/>
      <c r="N69" s="119"/>
    </row>
    <row r="70" spans="1:14" s="113" customFormat="1" ht="18" hidden="1" customHeight="1">
      <c r="A70" s="23">
        <v>54</v>
      </c>
      <c r="B70" s="24" t="s">
        <v>321</v>
      </c>
      <c r="C70" s="123" t="s">
        <v>314</v>
      </c>
      <c r="D70" s="26" t="s">
        <v>34</v>
      </c>
      <c r="E70" s="114">
        <v>31</v>
      </c>
      <c r="F70" s="124"/>
      <c r="G70" s="28"/>
      <c r="H70" s="28"/>
      <c r="I70" s="64"/>
      <c r="J70" s="65"/>
      <c r="K70" s="65" t="s">
        <v>545</v>
      </c>
      <c r="L70" s="66"/>
      <c r="M70" s="28"/>
      <c r="N70" s="119"/>
    </row>
    <row r="71" spans="1:14" s="113" customFormat="1" ht="18" hidden="1" customHeight="1">
      <c r="A71" s="23">
        <v>53</v>
      </c>
      <c r="B71" s="24" t="s">
        <v>320</v>
      </c>
      <c r="C71" s="123" t="s">
        <v>314</v>
      </c>
      <c r="D71" s="26" t="s">
        <v>34</v>
      </c>
      <c r="E71" s="114">
        <v>31</v>
      </c>
      <c r="F71" s="124"/>
      <c r="G71" s="28"/>
      <c r="H71" s="28"/>
      <c r="I71" s="64"/>
      <c r="J71" s="65"/>
      <c r="K71" s="65" t="s">
        <v>545</v>
      </c>
      <c r="L71" s="66"/>
      <c r="M71" s="28"/>
      <c r="N71" s="119"/>
    </row>
    <row r="72" spans="1:14" s="113" customFormat="1" ht="18" hidden="1" customHeight="1">
      <c r="A72" s="23">
        <v>27</v>
      </c>
      <c r="B72" s="24" t="s">
        <v>311</v>
      </c>
      <c r="C72" s="123" t="s">
        <v>317</v>
      </c>
      <c r="D72" s="26" t="s">
        <v>34</v>
      </c>
      <c r="E72" s="114">
        <v>3</v>
      </c>
      <c r="F72" s="26"/>
      <c r="G72" s="28"/>
      <c r="H72" s="28" t="s">
        <v>281</v>
      </c>
      <c r="I72" s="64"/>
      <c r="J72" s="65"/>
      <c r="K72" s="65" t="s">
        <v>545</v>
      </c>
      <c r="L72" s="66"/>
      <c r="M72" s="28"/>
      <c r="N72" s="119"/>
    </row>
    <row r="73" spans="1:14" s="113" customFormat="1" ht="18" hidden="1" customHeight="1">
      <c r="A73" s="23">
        <v>26</v>
      </c>
      <c r="B73" s="24" t="s">
        <v>311</v>
      </c>
      <c r="C73" s="123" t="s">
        <v>317</v>
      </c>
      <c r="D73" s="26" t="s">
        <v>34</v>
      </c>
      <c r="E73" s="114">
        <v>15</v>
      </c>
      <c r="F73" s="26"/>
      <c r="G73" s="28"/>
      <c r="H73" s="28" t="s">
        <v>378</v>
      </c>
      <c r="I73" s="64"/>
      <c r="J73" s="65"/>
      <c r="K73" s="65" t="s">
        <v>545</v>
      </c>
      <c r="L73" s="66"/>
      <c r="M73" s="28"/>
      <c r="N73" s="119"/>
    </row>
    <row r="74" spans="1:14" s="113" customFormat="1" ht="18" hidden="1" customHeight="1">
      <c r="A74" s="23">
        <v>25</v>
      </c>
      <c r="B74" s="24" t="s">
        <v>311</v>
      </c>
      <c r="C74" s="123" t="s">
        <v>317</v>
      </c>
      <c r="D74" s="26" t="s">
        <v>34</v>
      </c>
      <c r="E74" s="114">
        <v>16</v>
      </c>
      <c r="F74" s="26"/>
      <c r="G74" s="28"/>
      <c r="H74" s="28" t="s">
        <v>379</v>
      </c>
      <c r="I74" s="64"/>
      <c r="J74" s="65"/>
      <c r="K74" s="65" t="s">
        <v>545</v>
      </c>
      <c r="L74" s="66"/>
      <c r="M74" s="28"/>
      <c r="N74" s="119"/>
    </row>
    <row r="75" spans="1:14" s="113" customFormat="1" ht="18" hidden="1" customHeight="1">
      <c r="A75" s="23">
        <v>24</v>
      </c>
      <c r="B75" s="24" t="s">
        <v>311</v>
      </c>
      <c r="C75" s="123" t="s">
        <v>317</v>
      </c>
      <c r="D75" s="26" t="s">
        <v>34</v>
      </c>
      <c r="E75" s="114">
        <v>17</v>
      </c>
      <c r="F75" s="26"/>
      <c r="G75" s="28"/>
      <c r="H75" s="28" t="s">
        <v>292</v>
      </c>
      <c r="I75" s="64"/>
      <c r="J75" s="65"/>
      <c r="K75" s="65" t="s">
        <v>545</v>
      </c>
      <c r="L75" s="66"/>
      <c r="M75" s="28"/>
      <c r="N75" s="119"/>
    </row>
    <row r="76" spans="1:14" s="113" customFormat="1" ht="18" hidden="1" customHeight="1">
      <c r="A76" s="23">
        <v>28</v>
      </c>
      <c r="B76" s="24" t="s">
        <v>311</v>
      </c>
      <c r="C76" s="123" t="s">
        <v>317</v>
      </c>
      <c r="D76" s="26" t="s">
        <v>34</v>
      </c>
      <c r="E76" s="114">
        <v>35</v>
      </c>
      <c r="F76" s="26"/>
      <c r="G76" s="28"/>
      <c r="H76" s="28" t="s">
        <v>279</v>
      </c>
      <c r="I76" s="64"/>
      <c r="J76" s="65"/>
      <c r="K76" s="65" t="s">
        <v>545</v>
      </c>
      <c r="L76" s="66"/>
      <c r="M76" s="28"/>
      <c r="N76" s="119"/>
    </row>
    <row r="77" spans="1:14" s="113" customFormat="1" ht="18" hidden="1" customHeight="1">
      <c r="A77" s="23">
        <v>70</v>
      </c>
      <c r="B77" s="24" t="s">
        <v>319</v>
      </c>
      <c r="C77" s="123" t="s">
        <v>317</v>
      </c>
      <c r="D77" s="26" t="s">
        <v>34</v>
      </c>
      <c r="E77" s="114">
        <v>3</v>
      </c>
      <c r="F77" s="124"/>
      <c r="G77" s="28"/>
      <c r="H77" s="28" t="s">
        <v>429</v>
      </c>
      <c r="I77" s="64"/>
      <c r="J77" s="65"/>
      <c r="K77" s="65" t="s">
        <v>545</v>
      </c>
      <c r="L77" s="66"/>
      <c r="M77" s="28"/>
      <c r="N77" s="119"/>
    </row>
    <row r="78" spans="1:14" s="113" customFormat="1" ht="18" hidden="1" customHeight="1">
      <c r="A78" s="23">
        <v>67</v>
      </c>
      <c r="B78" s="24" t="s">
        <v>319</v>
      </c>
      <c r="C78" s="123" t="s">
        <v>317</v>
      </c>
      <c r="D78" s="26" t="s">
        <v>34</v>
      </c>
      <c r="E78" s="114">
        <v>15</v>
      </c>
      <c r="F78" s="124"/>
      <c r="G78" s="28"/>
      <c r="H78" s="28" t="s">
        <v>288</v>
      </c>
      <c r="I78" s="64"/>
      <c r="J78" s="65"/>
      <c r="K78" s="65" t="s">
        <v>545</v>
      </c>
      <c r="L78" s="66"/>
      <c r="M78" s="28"/>
      <c r="N78" s="119"/>
    </row>
    <row r="79" spans="1:14" s="113" customFormat="1" ht="18" hidden="1" customHeight="1">
      <c r="A79" s="23">
        <v>60</v>
      </c>
      <c r="B79" s="24" t="s">
        <v>319</v>
      </c>
      <c r="C79" s="123" t="s">
        <v>317</v>
      </c>
      <c r="D79" s="26" t="s">
        <v>34</v>
      </c>
      <c r="E79" s="114">
        <v>16</v>
      </c>
      <c r="F79" s="124"/>
      <c r="G79" s="28"/>
      <c r="H79" s="28" t="s">
        <v>432</v>
      </c>
      <c r="I79" s="64"/>
      <c r="J79" s="65"/>
      <c r="K79" s="65" t="s">
        <v>545</v>
      </c>
      <c r="L79" s="66"/>
      <c r="M79" s="28"/>
      <c r="N79" s="119"/>
    </row>
    <row r="80" spans="1:14" s="113" customFormat="1" ht="18" hidden="1" customHeight="1">
      <c r="A80" s="23">
        <v>65</v>
      </c>
      <c r="B80" s="24" t="s">
        <v>319</v>
      </c>
      <c r="C80" s="123" t="s">
        <v>317</v>
      </c>
      <c r="D80" s="26" t="s">
        <v>34</v>
      </c>
      <c r="E80" s="114">
        <v>17</v>
      </c>
      <c r="F80" s="124"/>
      <c r="G80" s="28"/>
      <c r="H80" s="28" t="s">
        <v>291</v>
      </c>
      <c r="I80" s="64"/>
      <c r="J80" s="65"/>
      <c r="K80" s="65" t="s">
        <v>545</v>
      </c>
      <c r="L80" s="66"/>
      <c r="M80" s="28"/>
      <c r="N80" s="119"/>
    </row>
    <row r="81" spans="1:14" s="113" customFormat="1" ht="18" hidden="1" customHeight="1">
      <c r="A81" s="23">
        <v>72</v>
      </c>
      <c r="B81" s="24" t="s">
        <v>319</v>
      </c>
      <c r="C81" s="123" t="s">
        <v>317</v>
      </c>
      <c r="D81" s="26" t="s">
        <v>34</v>
      </c>
      <c r="E81" s="114">
        <v>35</v>
      </c>
      <c r="F81" s="124"/>
      <c r="G81" s="28"/>
      <c r="H81" s="28" t="s">
        <v>427</v>
      </c>
      <c r="I81" s="64"/>
      <c r="J81" s="65"/>
      <c r="K81" s="65" t="s">
        <v>545</v>
      </c>
      <c r="L81" s="66"/>
      <c r="M81" s="28"/>
      <c r="N81" s="119"/>
    </row>
    <row r="82" spans="1:14" s="113" customFormat="1" ht="18" hidden="1" customHeight="1">
      <c r="A82" s="23">
        <v>69</v>
      </c>
      <c r="B82" s="24" t="s">
        <v>321</v>
      </c>
      <c r="C82" s="123" t="s">
        <v>317</v>
      </c>
      <c r="D82" s="26" t="s">
        <v>34</v>
      </c>
      <c r="E82" s="114">
        <v>3</v>
      </c>
      <c r="F82" s="124"/>
      <c r="G82" s="28"/>
      <c r="H82" s="28" t="s">
        <v>377</v>
      </c>
      <c r="I82" s="64"/>
      <c r="J82" s="65"/>
      <c r="K82" s="65" t="s">
        <v>545</v>
      </c>
      <c r="L82" s="66"/>
      <c r="M82" s="28"/>
      <c r="N82" s="119"/>
    </row>
    <row r="83" spans="1:14" s="113" customFormat="1" ht="18" hidden="1" customHeight="1">
      <c r="A83" s="23">
        <v>64</v>
      </c>
      <c r="B83" s="24" t="s">
        <v>321</v>
      </c>
      <c r="C83" s="123" t="s">
        <v>317</v>
      </c>
      <c r="D83" s="26" t="s">
        <v>34</v>
      </c>
      <c r="E83" s="114">
        <v>15</v>
      </c>
      <c r="F83" s="124"/>
      <c r="G83" s="28"/>
      <c r="H83" s="28" t="s">
        <v>430</v>
      </c>
      <c r="I83" s="64"/>
      <c r="J83" s="65"/>
      <c r="K83" s="65" t="s">
        <v>545</v>
      </c>
      <c r="L83" s="66"/>
      <c r="M83" s="28"/>
      <c r="N83" s="119"/>
    </row>
    <row r="84" spans="1:14" s="113" customFormat="1" ht="18" hidden="1" customHeight="1">
      <c r="A84" s="23">
        <v>62</v>
      </c>
      <c r="B84" s="24" t="s">
        <v>321</v>
      </c>
      <c r="C84" s="123" t="s">
        <v>317</v>
      </c>
      <c r="D84" s="26" t="s">
        <v>34</v>
      </c>
      <c r="E84" s="114">
        <v>16</v>
      </c>
      <c r="F84" s="124"/>
      <c r="G84" s="28"/>
      <c r="H84" s="28" t="s">
        <v>286</v>
      </c>
      <c r="I84" s="64"/>
      <c r="J84" s="65"/>
      <c r="K84" s="65" t="s">
        <v>545</v>
      </c>
      <c r="L84" s="66"/>
      <c r="M84" s="28"/>
      <c r="N84" s="119"/>
    </row>
    <row r="85" spans="1:14" s="113" customFormat="1" ht="18" hidden="1" customHeight="1">
      <c r="A85" s="23">
        <v>63</v>
      </c>
      <c r="B85" s="24" t="s">
        <v>321</v>
      </c>
      <c r="C85" s="123" t="s">
        <v>317</v>
      </c>
      <c r="D85" s="26" t="s">
        <v>34</v>
      </c>
      <c r="E85" s="114">
        <v>17</v>
      </c>
      <c r="F85" s="124"/>
      <c r="G85" s="28"/>
      <c r="H85" s="28" t="s">
        <v>431</v>
      </c>
      <c r="I85" s="64"/>
      <c r="J85" s="65"/>
      <c r="K85" s="65" t="s">
        <v>545</v>
      </c>
      <c r="L85" s="66"/>
      <c r="M85" s="28"/>
      <c r="N85" s="119"/>
    </row>
    <row r="86" spans="1:14" s="113" customFormat="1" ht="18" hidden="1" customHeight="1">
      <c r="A86" s="23">
        <v>71</v>
      </c>
      <c r="B86" s="24" t="s">
        <v>321</v>
      </c>
      <c r="C86" s="123" t="s">
        <v>317</v>
      </c>
      <c r="D86" s="26" t="s">
        <v>34</v>
      </c>
      <c r="E86" s="114">
        <v>35</v>
      </c>
      <c r="F86" s="124"/>
      <c r="G86" s="28"/>
      <c r="H86" s="28" t="s">
        <v>428</v>
      </c>
      <c r="I86" s="64"/>
      <c r="J86" s="65"/>
      <c r="K86" s="65" t="s">
        <v>545</v>
      </c>
      <c r="L86" s="66"/>
      <c r="M86" s="28"/>
      <c r="N86" s="119"/>
    </row>
    <row r="87" spans="1:14" s="113" customFormat="1" ht="18" hidden="1" customHeight="1">
      <c r="A87" s="23">
        <v>68</v>
      </c>
      <c r="B87" s="24" t="s">
        <v>320</v>
      </c>
      <c r="C87" s="123" t="s">
        <v>317</v>
      </c>
      <c r="D87" s="26" t="s">
        <v>34</v>
      </c>
      <c r="E87" s="114">
        <v>3</v>
      </c>
      <c r="F87" s="124"/>
      <c r="G87" s="28"/>
      <c r="H87" s="28" t="s">
        <v>287</v>
      </c>
      <c r="I87" s="64"/>
      <c r="J87" s="65"/>
      <c r="K87" s="65" t="s">
        <v>545</v>
      </c>
      <c r="L87" s="66"/>
      <c r="M87" s="28"/>
      <c r="N87" s="119"/>
    </row>
    <row r="88" spans="1:14" s="113" customFormat="1" ht="18" hidden="1" customHeight="1">
      <c r="A88" s="23">
        <v>59</v>
      </c>
      <c r="B88" s="24" t="s">
        <v>320</v>
      </c>
      <c r="C88" s="123" t="s">
        <v>317</v>
      </c>
      <c r="D88" s="26" t="s">
        <v>34</v>
      </c>
      <c r="E88" s="114">
        <v>15</v>
      </c>
      <c r="F88" s="124"/>
      <c r="G88" s="28"/>
      <c r="H88" s="28" t="s">
        <v>265</v>
      </c>
      <c r="I88" s="64"/>
      <c r="J88" s="65"/>
      <c r="K88" s="65" t="s">
        <v>545</v>
      </c>
      <c r="L88" s="66"/>
      <c r="M88" s="28"/>
      <c r="N88" s="119"/>
    </row>
    <row r="89" spans="1:14" s="113" customFormat="1" ht="18" hidden="1" customHeight="1">
      <c r="A89" s="23">
        <v>61</v>
      </c>
      <c r="B89" s="24" t="s">
        <v>320</v>
      </c>
      <c r="C89" s="123" t="s">
        <v>317</v>
      </c>
      <c r="D89" s="26" t="s">
        <v>34</v>
      </c>
      <c r="E89" s="114">
        <v>16</v>
      </c>
      <c r="F89" s="124"/>
      <c r="G89" s="28"/>
      <c r="H89" s="28" t="s">
        <v>282</v>
      </c>
      <c r="I89" s="64"/>
      <c r="J89" s="65"/>
      <c r="K89" s="65" t="s">
        <v>545</v>
      </c>
      <c r="L89" s="66"/>
      <c r="M89" s="28"/>
      <c r="N89" s="119"/>
    </row>
    <row r="90" spans="1:14" s="113" customFormat="1" ht="18" hidden="1" customHeight="1">
      <c r="A90" s="23">
        <v>66</v>
      </c>
      <c r="B90" s="24" t="s">
        <v>320</v>
      </c>
      <c r="C90" s="123" t="s">
        <v>317</v>
      </c>
      <c r="D90" s="26" t="s">
        <v>34</v>
      </c>
      <c r="E90" s="114">
        <v>17</v>
      </c>
      <c r="F90" s="124"/>
      <c r="G90" s="28"/>
      <c r="H90" s="28" t="s">
        <v>376</v>
      </c>
      <c r="I90" s="64"/>
      <c r="J90" s="65"/>
      <c r="K90" s="65" t="s">
        <v>545</v>
      </c>
      <c r="L90" s="66"/>
      <c r="M90" s="28"/>
      <c r="N90" s="119"/>
    </row>
    <row r="91" spans="1:14" s="113" customFormat="1" ht="18" hidden="1" customHeight="1">
      <c r="A91" s="23">
        <v>73</v>
      </c>
      <c r="B91" s="24" t="s">
        <v>320</v>
      </c>
      <c r="C91" s="123" t="s">
        <v>317</v>
      </c>
      <c r="D91" s="26" t="s">
        <v>34</v>
      </c>
      <c r="E91" s="114">
        <v>35</v>
      </c>
      <c r="F91" s="124"/>
      <c r="G91" s="28"/>
      <c r="H91" s="28" t="s">
        <v>426</v>
      </c>
      <c r="I91" s="64"/>
      <c r="J91" s="65"/>
      <c r="K91" s="65" t="s">
        <v>545</v>
      </c>
      <c r="L91" s="66"/>
      <c r="M91" s="28"/>
      <c r="N91" s="119"/>
    </row>
    <row r="92" spans="1:14" s="113" customFormat="1" ht="18" customHeight="1">
      <c r="A92" s="30">
        <v>32</v>
      </c>
      <c r="B92" s="31" t="s">
        <v>311</v>
      </c>
      <c r="C92" s="114" t="s">
        <v>318</v>
      </c>
      <c r="D92" s="26" t="s">
        <v>34</v>
      </c>
      <c r="E92" s="114">
        <v>3</v>
      </c>
      <c r="F92" s="26" t="s">
        <v>351</v>
      </c>
      <c r="G92" s="28">
        <v>135</v>
      </c>
      <c r="H92" s="28" t="s">
        <v>375</v>
      </c>
      <c r="I92" s="64" t="s">
        <v>545</v>
      </c>
      <c r="J92" s="65"/>
      <c r="K92" s="65"/>
      <c r="L92" s="66"/>
      <c r="M92" s="28"/>
      <c r="N92" s="119" t="s">
        <v>352</v>
      </c>
    </row>
    <row r="93" spans="1:14" s="113" customFormat="1" ht="18" customHeight="1">
      <c r="A93" s="30">
        <v>31</v>
      </c>
      <c r="B93" s="31" t="s">
        <v>311</v>
      </c>
      <c r="C93" s="114" t="s">
        <v>318</v>
      </c>
      <c r="D93" s="26" t="s">
        <v>34</v>
      </c>
      <c r="E93" s="114">
        <v>17</v>
      </c>
      <c r="F93" s="26" t="s">
        <v>351</v>
      </c>
      <c r="G93" s="28">
        <v>135</v>
      </c>
      <c r="H93" s="28" t="s">
        <v>382</v>
      </c>
      <c r="I93" s="64" t="s">
        <v>545</v>
      </c>
      <c r="J93" s="65"/>
      <c r="K93" s="65"/>
      <c r="L93" s="66"/>
      <c r="M93" s="28"/>
      <c r="N93" s="119"/>
    </row>
    <row r="94" spans="1:14" s="113" customFormat="1" ht="18" customHeight="1">
      <c r="A94" s="30">
        <v>30</v>
      </c>
      <c r="B94" s="31" t="s">
        <v>311</v>
      </c>
      <c r="C94" s="114" t="s">
        <v>318</v>
      </c>
      <c r="D94" s="26" t="s">
        <v>34</v>
      </c>
      <c r="E94" s="114">
        <v>18</v>
      </c>
      <c r="F94" s="26" t="s">
        <v>351</v>
      </c>
      <c r="G94" s="28">
        <v>135</v>
      </c>
      <c r="H94" s="28" t="s">
        <v>381</v>
      </c>
      <c r="I94" s="64" t="s">
        <v>545</v>
      </c>
      <c r="J94" s="65"/>
      <c r="K94" s="65"/>
      <c r="L94" s="66"/>
      <c r="M94" s="28"/>
      <c r="N94" s="119"/>
    </row>
    <row r="95" spans="1:14" s="113" customFormat="1" ht="18" customHeight="1">
      <c r="A95" s="30">
        <v>29</v>
      </c>
      <c r="B95" s="31" t="s">
        <v>311</v>
      </c>
      <c r="C95" s="114" t="s">
        <v>318</v>
      </c>
      <c r="D95" s="26" t="s">
        <v>34</v>
      </c>
      <c r="E95" s="114">
        <v>19</v>
      </c>
      <c r="F95" s="26" t="s">
        <v>351</v>
      </c>
      <c r="G95" s="28">
        <v>135</v>
      </c>
      <c r="H95" s="28" t="s">
        <v>380</v>
      </c>
      <c r="I95" s="64" t="s">
        <v>545</v>
      </c>
      <c r="J95" s="65"/>
      <c r="K95" s="65"/>
      <c r="L95" s="66"/>
      <c r="M95" s="28"/>
      <c r="N95" s="119"/>
    </row>
    <row r="96" spans="1:14" s="113" customFormat="1" ht="18" hidden="1" customHeight="1">
      <c r="A96" s="30">
        <v>85</v>
      </c>
      <c r="B96" s="83" t="s">
        <v>319</v>
      </c>
      <c r="C96" s="114" t="s">
        <v>318</v>
      </c>
      <c r="D96" s="26" t="s">
        <v>34</v>
      </c>
      <c r="E96" s="114">
        <v>3</v>
      </c>
      <c r="F96" s="124" t="s">
        <v>353</v>
      </c>
      <c r="G96" s="28">
        <v>56</v>
      </c>
      <c r="H96" s="28" t="s">
        <v>389</v>
      </c>
      <c r="I96" s="64" t="s">
        <v>545</v>
      </c>
      <c r="J96" s="65"/>
      <c r="K96" s="65"/>
      <c r="L96" s="66"/>
      <c r="M96" s="28"/>
      <c r="N96" s="119"/>
    </row>
    <row r="97" spans="1:14" s="113" customFormat="1" ht="18" hidden="1" customHeight="1">
      <c r="A97" s="30">
        <v>78</v>
      </c>
      <c r="B97" s="83" t="s">
        <v>319</v>
      </c>
      <c r="C97" s="114" t="s">
        <v>318</v>
      </c>
      <c r="D97" s="26" t="s">
        <v>34</v>
      </c>
      <c r="E97" s="114">
        <v>17</v>
      </c>
      <c r="F97" s="124" t="s">
        <v>353</v>
      </c>
      <c r="G97" s="28">
        <v>56</v>
      </c>
      <c r="H97" s="28" t="s">
        <v>403</v>
      </c>
      <c r="I97" s="64" t="s">
        <v>545</v>
      </c>
      <c r="J97" s="65"/>
      <c r="K97" s="65"/>
      <c r="L97" s="66"/>
      <c r="M97" s="28"/>
      <c r="N97" s="119"/>
    </row>
    <row r="98" spans="1:14" s="113" customFormat="1" ht="18" hidden="1" customHeight="1">
      <c r="A98" s="30">
        <v>79</v>
      </c>
      <c r="B98" s="83" t="s">
        <v>319</v>
      </c>
      <c r="C98" s="114" t="s">
        <v>318</v>
      </c>
      <c r="D98" s="26" t="s">
        <v>34</v>
      </c>
      <c r="E98" s="114">
        <v>18</v>
      </c>
      <c r="F98" s="124" t="s">
        <v>353</v>
      </c>
      <c r="G98" s="28">
        <v>56</v>
      </c>
      <c r="H98" s="28" t="s">
        <v>397</v>
      </c>
      <c r="I98" s="64" t="s">
        <v>545</v>
      </c>
      <c r="J98" s="65"/>
      <c r="K98" s="65"/>
      <c r="L98" s="66"/>
      <c r="M98" s="28"/>
      <c r="N98" s="119"/>
    </row>
    <row r="99" spans="1:14" s="113" customFormat="1" ht="18" hidden="1" customHeight="1">
      <c r="A99" s="30">
        <v>81</v>
      </c>
      <c r="B99" s="83" t="s">
        <v>319</v>
      </c>
      <c r="C99" s="114" t="s">
        <v>318</v>
      </c>
      <c r="D99" s="26" t="s">
        <v>34</v>
      </c>
      <c r="E99" s="114">
        <v>19</v>
      </c>
      <c r="F99" s="124" t="s">
        <v>353</v>
      </c>
      <c r="G99" s="28">
        <v>56</v>
      </c>
      <c r="H99" s="28" t="s">
        <v>398</v>
      </c>
      <c r="I99" s="64" t="s">
        <v>545</v>
      </c>
      <c r="J99" s="65"/>
      <c r="K99" s="65"/>
      <c r="L99" s="66"/>
      <c r="M99" s="28"/>
      <c r="N99" s="119" t="s">
        <v>238</v>
      </c>
    </row>
    <row r="100" spans="1:14" s="113" customFormat="1" ht="18" hidden="1" customHeight="1">
      <c r="A100" s="30">
        <v>83</v>
      </c>
      <c r="B100" s="83" t="s">
        <v>321</v>
      </c>
      <c r="C100" s="114" t="s">
        <v>318</v>
      </c>
      <c r="D100" s="26" t="s">
        <v>34</v>
      </c>
      <c r="E100" s="114">
        <v>3</v>
      </c>
      <c r="F100" s="124" t="s">
        <v>354</v>
      </c>
      <c r="G100" s="28">
        <v>51</v>
      </c>
      <c r="H100" s="28" t="s">
        <v>390</v>
      </c>
      <c r="I100" s="64" t="s">
        <v>545</v>
      </c>
      <c r="J100" s="65"/>
      <c r="K100" s="65"/>
      <c r="L100" s="66"/>
      <c r="M100" s="28"/>
      <c r="N100" s="119"/>
    </row>
    <row r="101" spans="1:14" s="113" customFormat="1" ht="18" hidden="1" customHeight="1">
      <c r="A101" s="30">
        <v>76</v>
      </c>
      <c r="B101" s="83" t="s">
        <v>321</v>
      </c>
      <c r="C101" s="114" t="s">
        <v>318</v>
      </c>
      <c r="D101" s="26" t="s">
        <v>34</v>
      </c>
      <c r="E101" s="114">
        <v>17</v>
      </c>
      <c r="F101" s="124" t="s">
        <v>354</v>
      </c>
      <c r="G101" s="28">
        <v>51</v>
      </c>
      <c r="H101" s="28" t="s">
        <v>388</v>
      </c>
      <c r="I101" s="64" t="s">
        <v>545</v>
      </c>
      <c r="J101" s="65"/>
      <c r="K101" s="65"/>
      <c r="L101" s="66"/>
      <c r="M101" s="28"/>
      <c r="N101" s="119"/>
    </row>
    <row r="102" spans="1:14" s="113" customFormat="1" ht="18" hidden="1" customHeight="1">
      <c r="A102" s="30">
        <v>77</v>
      </c>
      <c r="B102" s="83" t="s">
        <v>321</v>
      </c>
      <c r="C102" s="114" t="s">
        <v>318</v>
      </c>
      <c r="D102" s="26" t="s">
        <v>34</v>
      </c>
      <c r="E102" s="114">
        <v>18</v>
      </c>
      <c r="F102" s="124" t="s">
        <v>354</v>
      </c>
      <c r="G102" s="28">
        <v>51</v>
      </c>
      <c r="H102" s="28" t="s">
        <v>399</v>
      </c>
      <c r="I102" s="64" t="s">
        <v>545</v>
      </c>
      <c r="J102" s="65"/>
      <c r="K102" s="65"/>
      <c r="L102" s="66"/>
      <c r="M102" s="28"/>
      <c r="N102" s="119"/>
    </row>
    <row r="103" spans="1:14" s="113" customFormat="1" ht="18" hidden="1" customHeight="1">
      <c r="A103" s="30">
        <v>80</v>
      </c>
      <c r="B103" s="83" t="s">
        <v>321</v>
      </c>
      <c r="C103" s="114" t="s">
        <v>318</v>
      </c>
      <c r="D103" s="26" t="s">
        <v>34</v>
      </c>
      <c r="E103" s="114">
        <v>19</v>
      </c>
      <c r="F103" s="124" t="s">
        <v>354</v>
      </c>
      <c r="G103" s="28">
        <v>51</v>
      </c>
      <c r="H103" s="28" t="s">
        <v>401</v>
      </c>
      <c r="I103" s="64" t="s">
        <v>545</v>
      </c>
      <c r="J103" s="65"/>
      <c r="K103" s="65"/>
      <c r="L103" s="66"/>
      <c r="M103" s="28"/>
      <c r="N103" s="119" t="s">
        <v>238</v>
      </c>
    </row>
    <row r="104" spans="1:14" s="113" customFormat="1" ht="18" hidden="1" customHeight="1">
      <c r="A104" s="30">
        <v>84</v>
      </c>
      <c r="B104" s="83" t="s">
        <v>320</v>
      </c>
      <c r="C104" s="114" t="s">
        <v>318</v>
      </c>
      <c r="D104" s="26" t="s">
        <v>34</v>
      </c>
      <c r="E104" s="114">
        <v>3</v>
      </c>
      <c r="F104" s="124"/>
      <c r="G104" s="28"/>
      <c r="H104" s="28" t="s">
        <v>387</v>
      </c>
      <c r="I104" s="64" t="s">
        <v>545</v>
      </c>
      <c r="J104" s="65"/>
      <c r="K104" s="65"/>
      <c r="L104" s="66"/>
      <c r="M104" s="28"/>
      <c r="N104" s="119"/>
    </row>
    <row r="105" spans="1:14" s="113" customFormat="1" ht="18" hidden="1" customHeight="1">
      <c r="A105" s="30">
        <v>75</v>
      </c>
      <c r="B105" s="83" t="s">
        <v>320</v>
      </c>
      <c r="C105" s="114" t="s">
        <v>318</v>
      </c>
      <c r="D105" s="26" t="s">
        <v>34</v>
      </c>
      <c r="E105" s="114">
        <v>17</v>
      </c>
      <c r="F105" s="124"/>
      <c r="G105" s="28"/>
      <c r="H105" s="28" t="s">
        <v>404</v>
      </c>
      <c r="I105" s="64" t="s">
        <v>545</v>
      </c>
      <c r="J105" s="65"/>
      <c r="K105" s="65"/>
      <c r="L105" s="66"/>
      <c r="M105" s="28"/>
      <c r="N105" s="119"/>
    </row>
    <row r="106" spans="1:14" s="113" customFormat="1" ht="18" hidden="1" customHeight="1">
      <c r="A106" s="30">
        <v>74</v>
      </c>
      <c r="B106" s="83" t="s">
        <v>320</v>
      </c>
      <c r="C106" s="114" t="s">
        <v>318</v>
      </c>
      <c r="D106" s="26" t="s">
        <v>34</v>
      </c>
      <c r="E106" s="114">
        <v>18</v>
      </c>
      <c r="F106" s="124"/>
      <c r="G106" s="28"/>
      <c r="H106" s="28" t="s">
        <v>402</v>
      </c>
      <c r="I106" s="64" t="s">
        <v>545</v>
      </c>
      <c r="J106" s="65"/>
      <c r="K106" s="65"/>
      <c r="L106" s="66"/>
      <c r="M106" s="28"/>
      <c r="N106" s="119"/>
    </row>
    <row r="107" spans="1:14" s="113" customFormat="1" ht="18" hidden="1" customHeight="1">
      <c r="A107" s="30">
        <v>82</v>
      </c>
      <c r="B107" s="83" t="s">
        <v>320</v>
      </c>
      <c r="C107" s="114" t="s">
        <v>318</v>
      </c>
      <c r="D107" s="26" t="s">
        <v>34</v>
      </c>
      <c r="E107" s="114">
        <v>19</v>
      </c>
      <c r="F107" s="124"/>
      <c r="G107" s="28"/>
      <c r="H107" s="28" t="s">
        <v>400</v>
      </c>
      <c r="I107" s="64" t="s">
        <v>545</v>
      </c>
      <c r="J107" s="65"/>
      <c r="K107" s="65"/>
      <c r="L107" s="66"/>
      <c r="M107" s="28"/>
      <c r="N107" s="119"/>
    </row>
    <row r="108" spans="1:14" s="113" customFormat="1" ht="18" hidden="1" customHeight="1">
      <c r="A108" s="23">
        <v>33</v>
      </c>
      <c r="B108" s="24" t="s">
        <v>311</v>
      </c>
      <c r="C108" s="123" t="s">
        <v>322</v>
      </c>
      <c r="D108" s="26" t="s">
        <v>34</v>
      </c>
      <c r="E108" s="114">
        <v>8</v>
      </c>
      <c r="F108" s="26"/>
      <c r="G108" s="32"/>
      <c r="H108" s="32"/>
      <c r="I108" s="67"/>
      <c r="J108" s="68"/>
      <c r="K108" s="68" t="s">
        <v>545</v>
      </c>
      <c r="L108" s="69"/>
      <c r="M108" s="32"/>
      <c r="N108" s="119"/>
    </row>
    <row r="109" spans="1:14" s="113" customFormat="1" ht="18" hidden="1" customHeight="1">
      <c r="A109" s="23">
        <v>87</v>
      </c>
      <c r="B109" s="24" t="s">
        <v>319</v>
      </c>
      <c r="C109" s="123" t="s">
        <v>322</v>
      </c>
      <c r="D109" s="26" t="s">
        <v>34</v>
      </c>
      <c r="E109" s="114">
        <v>8</v>
      </c>
      <c r="F109" s="124"/>
      <c r="G109" s="28"/>
      <c r="H109" s="28" t="s">
        <v>264</v>
      </c>
      <c r="I109" s="64"/>
      <c r="J109" s="65"/>
      <c r="K109" s="68" t="s">
        <v>545</v>
      </c>
      <c r="L109" s="66"/>
      <c r="M109" s="28"/>
      <c r="N109" s="119"/>
    </row>
    <row r="110" spans="1:14" s="113" customFormat="1" ht="18" hidden="1" customHeight="1">
      <c r="A110" s="23">
        <v>37</v>
      </c>
      <c r="B110" s="24" t="s">
        <v>311</v>
      </c>
      <c r="C110" s="123" t="s">
        <v>326</v>
      </c>
      <c r="D110" s="26" t="s">
        <v>34</v>
      </c>
      <c r="E110" s="114">
        <v>53</v>
      </c>
      <c r="F110" s="26"/>
      <c r="G110" s="28"/>
      <c r="H110" s="28"/>
      <c r="I110" s="64"/>
      <c r="J110" s="65"/>
      <c r="K110" s="68" t="s">
        <v>545</v>
      </c>
      <c r="L110" s="66"/>
      <c r="M110" s="28"/>
      <c r="N110" s="119"/>
    </row>
    <row r="111" spans="1:14" s="113" customFormat="1" ht="18" hidden="1" customHeight="1">
      <c r="A111" s="23">
        <v>94</v>
      </c>
      <c r="B111" s="24" t="s">
        <v>319</v>
      </c>
      <c r="C111" s="123" t="s">
        <v>326</v>
      </c>
      <c r="D111" s="26" t="s">
        <v>34</v>
      </c>
      <c r="E111" s="114">
        <v>53</v>
      </c>
      <c r="F111" s="124"/>
      <c r="G111" s="28"/>
      <c r="H111" s="28"/>
      <c r="I111" s="64"/>
      <c r="J111" s="65"/>
      <c r="K111" s="68" t="s">
        <v>545</v>
      </c>
      <c r="L111" s="66"/>
      <c r="M111" s="28"/>
      <c r="N111" s="119"/>
    </row>
    <row r="112" spans="1:14" s="113" customFormat="1" ht="18" hidden="1" customHeight="1">
      <c r="A112" s="23">
        <v>93</v>
      </c>
      <c r="B112" s="24" t="s">
        <v>321</v>
      </c>
      <c r="C112" s="123" t="s">
        <v>326</v>
      </c>
      <c r="D112" s="26" t="s">
        <v>34</v>
      </c>
      <c r="E112" s="114">
        <v>51</v>
      </c>
      <c r="F112" s="124"/>
      <c r="G112" s="28"/>
      <c r="H112" s="28"/>
      <c r="I112" s="64"/>
      <c r="J112" s="65"/>
      <c r="K112" s="68" t="s">
        <v>545</v>
      </c>
      <c r="L112" s="66"/>
      <c r="M112" s="28"/>
      <c r="N112" s="119"/>
    </row>
    <row r="113" spans="1:14" s="113" customFormat="1" ht="18" hidden="1" customHeight="1">
      <c r="A113" s="23">
        <v>92</v>
      </c>
      <c r="B113" s="24" t="s">
        <v>320</v>
      </c>
      <c r="C113" s="123" t="s">
        <v>326</v>
      </c>
      <c r="D113" s="26" t="s">
        <v>34</v>
      </c>
      <c r="E113" s="114">
        <v>51</v>
      </c>
      <c r="F113" s="124"/>
      <c r="G113" s="28"/>
      <c r="H113" s="28" t="s">
        <v>263</v>
      </c>
      <c r="I113" s="64"/>
      <c r="J113" s="65"/>
      <c r="K113" s="68" t="s">
        <v>545</v>
      </c>
      <c r="L113" s="66"/>
      <c r="M113" s="28"/>
      <c r="N113" s="119"/>
    </row>
    <row r="114" spans="1:14" s="113" customFormat="1" ht="18" hidden="1" customHeight="1">
      <c r="A114" s="23">
        <v>35</v>
      </c>
      <c r="B114" s="24" t="s">
        <v>311</v>
      </c>
      <c r="C114" s="123" t="s">
        <v>324</v>
      </c>
      <c r="D114" s="26" t="s">
        <v>34</v>
      </c>
      <c r="E114" s="114">
        <v>4</v>
      </c>
      <c r="F114" s="26"/>
      <c r="G114" s="28"/>
      <c r="H114" s="28" t="s">
        <v>273</v>
      </c>
      <c r="I114" s="64"/>
      <c r="J114" s="65"/>
      <c r="K114" s="68" t="s">
        <v>545</v>
      </c>
      <c r="L114" s="66"/>
      <c r="M114" s="28"/>
      <c r="N114" s="119"/>
    </row>
    <row r="115" spans="1:14" s="113" customFormat="1" ht="18" hidden="1" customHeight="1">
      <c r="A115" s="23">
        <v>89</v>
      </c>
      <c r="B115" s="24" t="s">
        <v>319</v>
      </c>
      <c r="C115" s="123" t="s">
        <v>324</v>
      </c>
      <c r="D115" s="26" t="s">
        <v>34</v>
      </c>
      <c r="E115" s="114">
        <v>26</v>
      </c>
      <c r="F115" s="124"/>
      <c r="G115" s="28"/>
      <c r="H115" s="28"/>
      <c r="I115" s="64"/>
      <c r="J115" s="65"/>
      <c r="K115" s="68" t="s">
        <v>545</v>
      </c>
      <c r="L115" s="66"/>
      <c r="M115" s="28"/>
      <c r="N115" s="119"/>
    </row>
    <row r="116" spans="1:14" s="113" customFormat="1" ht="18" hidden="1" customHeight="1">
      <c r="A116" s="23">
        <v>90</v>
      </c>
      <c r="B116" s="24" t="s">
        <v>321</v>
      </c>
      <c r="C116" s="123" t="s">
        <v>324</v>
      </c>
      <c r="D116" s="26" t="s">
        <v>34</v>
      </c>
      <c r="E116" s="114">
        <v>34</v>
      </c>
      <c r="F116" s="124"/>
      <c r="G116" s="28"/>
      <c r="H116" s="28"/>
      <c r="I116" s="64"/>
      <c r="J116" s="65"/>
      <c r="K116" s="68" t="s">
        <v>545</v>
      </c>
      <c r="L116" s="66"/>
      <c r="M116" s="28"/>
      <c r="N116" s="119"/>
    </row>
    <row r="117" spans="1:14" s="113" customFormat="1" ht="18" hidden="1" customHeight="1">
      <c r="A117" s="23">
        <v>91</v>
      </c>
      <c r="B117" s="24" t="s">
        <v>320</v>
      </c>
      <c r="C117" s="123" t="s">
        <v>324</v>
      </c>
      <c r="D117" s="26" t="s">
        <v>34</v>
      </c>
      <c r="E117" s="114">
        <v>27</v>
      </c>
      <c r="F117" s="124"/>
      <c r="G117" s="28"/>
      <c r="H117" s="28"/>
      <c r="I117" s="64"/>
      <c r="J117" s="65"/>
      <c r="K117" s="68" t="s">
        <v>545</v>
      </c>
      <c r="L117" s="66"/>
      <c r="M117" s="28"/>
      <c r="N117" s="119"/>
    </row>
    <row r="118" spans="1:14" s="113" customFormat="1" ht="18" hidden="1" customHeight="1">
      <c r="A118" s="23">
        <v>38</v>
      </c>
      <c r="B118" s="24" t="s">
        <v>311</v>
      </c>
      <c r="C118" s="123" t="s">
        <v>327</v>
      </c>
      <c r="D118" s="26" t="s">
        <v>34</v>
      </c>
      <c r="E118" s="114">
        <v>2</v>
      </c>
      <c r="F118" s="26"/>
      <c r="G118" s="28"/>
      <c r="H118" s="28" t="s">
        <v>267</v>
      </c>
      <c r="I118" s="64"/>
      <c r="J118" s="65"/>
      <c r="K118" s="68" t="s">
        <v>545</v>
      </c>
      <c r="L118" s="66"/>
      <c r="M118" s="28"/>
      <c r="N118" s="119"/>
    </row>
    <row r="119" spans="1:14" s="113" customFormat="1" ht="18" hidden="1" customHeight="1">
      <c r="A119" s="23">
        <v>95</v>
      </c>
      <c r="B119" s="24" t="s">
        <v>319</v>
      </c>
      <c r="C119" s="123" t="s">
        <v>327</v>
      </c>
      <c r="D119" s="26" t="s">
        <v>34</v>
      </c>
      <c r="E119" s="114">
        <v>2</v>
      </c>
      <c r="F119" s="124"/>
      <c r="G119" s="28"/>
      <c r="H119" s="28"/>
      <c r="I119" s="64"/>
      <c r="J119" s="65"/>
      <c r="K119" s="68" t="s">
        <v>545</v>
      </c>
      <c r="L119" s="66"/>
      <c r="M119" s="28"/>
      <c r="N119" s="119"/>
    </row>
    <row r="120" spans="1:14" s="113" customFormat="1" ht="18" hidden="1" customHeight="1">
      <c r="A120" s="23">
        <v>19</v>
      </c>
      <c r="B120" s="24" t="s">
        <v>311</v>
      </c>
      <c r="C120" s="123" t="s">
        <v>312</v>
      </c>
      <c r="D120" s="26" t="s">
        <v>34</v>
      </c>
      <c r="E120" s="114">
        <v>2</v>
      </c>
      <c r="F120" s="26"/>
      <c r="G120" s="28"/>
      <c r="H120" s="28"/>
      <c r="I120" s="64"/>
      <c r="J120" s="65"/>
      <c r="K120" s="68" t="s">
        <v>545</v>
      </c>
      <c r="L120" s="66"/>
      <c r="M120" s="28"/>
      <c r="N120" s="119"/>
    </row>
    <row r="121" spans="1:14" s="113" customFormat="1" ht="18" hidden="1" customHeight="1">
      <c r="A121" s="23">
        <v>51</v>
      </c>
      <c r="B121" s="24" t="s">
        <v>319</v>
      </c>
      <c r="C121" s="123" t="s">
        <v>312</v>
      </c>
      <c r="D121" s="26" t="s">
        <v>34</v>
      </c>
      <c r="E121" s="114">
        <v>2</v>
      </c>
      <c r="F121" s="124"/>
      <c r="G121" s="28"/>
      <c r="H121" s="28"/>
      <c r="I121" s="64"/>
      <c r="J121" s="65"/>
      <c r="K121" s="68" t="s">
        <v>545</v>
      </c>
      <c r="L121" s="66"/>
      <c r="M121" s="28"/>
      <c r="N121" s="119"/>
    </row>
    <row r="122" spans="1:14" s="113" customFormat="1" ht="18" hidden="1" customHeight="1">
      <c r="A122" s="23">
        <v>22</v>
      </c>
      <c r="B122" s="24" t="s">
        <v>311</v>
      </c>
      <c r="C122" s="123" t="s">
        <v>315</v>
      </c>
      <c r="D122" s="26" t="s">
        <v>34</v>
      </c>
      <c r="E122" s="114">
        <v>2</v>
      </c>
      <c r="F122" s="26"/>
      <c r="G122" s="28"/>
      <c r="H122" s="28"/>
      <c r="I122" s="64"/>
      <c r="J122" s="65"/>
      <c r="K122" s="68" t="s">
        <v>545</v>
      </c>
      <c r="L122" s="66"/>
      <c r="M122" s="28"/>
      <c r="N122" s="119"/>
    </row>
    <row r="123" spans="1:14" s="113" customFormat="1" ht="18" hidden="1" customHeight="1">
      <c r="A123" s="23">
        <v>57</v>
      </c>
      <c r="B123" s="24" t="s">
        <v>319</v>
      </c>
      <c r="C123" s="123" t="s">
        <v>315</v>
      </c>
      <c r="D123" s="26" t="s">
        <v>34</v>
      </c>
      <c r="E123" s="114">
        <v>2</v>
      </c>
      <c r="F123" s="124"/>
      <c r="G123" s="28"/>
      <c r="H123" s="28"/>
      <c r="I123" s="64"/>
      <c r="J123" s="65"/>
      <c r="K123" s="68" t="s">
        <v>545</v>
      </c>
      <c r="L123" s="66"/>
      <c r="M123" s="28"/>
      <c r="N123" s="119"/>
    </row>
    <row r="124" spans="1:14" s="113" customFormat="1" ht="18" hidden="1" customHeight="1">
      <c r="A124" s="23">
        <v>56</v>
      </c>
      <c r="B124" s="24" t="s">
        <v>321</v>
      </c>
      <c r="C124" s="123" t="s">
        <v>315</v>
      </c>
      <c r="D124" s="26" t="s">
        <v>34</v>
      </c>
      <c r="E124" s="114">
        <v>1</v>
      </c>
      <c r="F124" s="124"/>
      <c r="G124" s="28"/>
      <c r="H124" s="28"/>
      <c r="I124" s="64"/>
      <c r="J124" s="65"/>
      <c r="K124" s="68" t="s">
        <v>545</v>
      </c>
      <c r="L124" s="66"/>
      <c r="M124" s="28"/>
      <c r="N124" s="119"/>
    </row>
    <row r="125" spans="1:14" s="113" customFormat="1" ht="18" hidden="1" customHeight="1">
      <c r="A125" s="30">
        <v>119</v>
      </c>
      <c r="B125" s="83" t="s">
        <v>319</v>
      </c>
      <c r="C125" s="26" t="s">
        <v>331</v>
      </c>
      <c r="D125" s="26" t="s">
        <v>7</v>
      </c>
      <c r="E125" s="114">
        <v>1</v>
      </c>
      <c r="F125" s="26" t="s">
        <v>339</v>
      </c>
      <c r="G125" s="28">
        <v>70</v>
      </c>
      <c r="H125" s="28"/>
      <c r="I125" s="64" t="s">
        <v>545</v>
      </c>
      <c r="J125" s="65"/>
      <c r="K125" s="65"/>
      <c r="L125" s="66"/>
      <c r="M125" s="28"/>
      <c r="N125" s="119"/>
    </row>
    <row r="126" spans="1:14" s="113" customFormat="1" ht="18" hidden="1" customHeight="1">
      <c r="A126" s="30">
        <v>118</v>
      </c>
      <c r="B126" s="83" t="s">
        <v>319</v>
      </c>
      <c r="C126" s="26" t="s">
        <v>332</v>
      </c>
      <c r="D126" s="26" t="s">
        <v>7</v>
      </c>
      <c r="E126" s="114">
        <v>1</v>
      </c>
      <c r="F126" s="26" t="s">
        <v>340</v>
      </c>
      <c r="G126" s="28">
        <v>68</v>
      </c>
      <c r="H126" s="28"/>
      <c r="I126" s="64" t="s">
        <v>545</v>
      </c>
      <c r="J126" s="65"/>
      <c r="K126" s="65"/>
      <c r="L126" s="66"/>
      <c r="M126" s="28"/>
      <c r="N126" s="119"/>
    </row>
    <row r="127" spans="1:14" s="113" customFormat="1" ht="18" hidden="1" customHeight="1">
      <c r="A127" s="30">
        <v>127</v>
      </c>
      <c r="B127" s="83" t="s">
        <v>319</v>
      </c>
      <c r="C127" s="26" t="s">
        <v>337</v>
      </c>
      <c r="D127" s="26" t="s">
        <v>7</v>
      </c>
      <c r="E127" s="114">
        <v>1</v>
      </c>
      <c r="F127" s="26" t="s">
        <v>339</v>
      </c>
      <c r="G127" s="28">
        <v>70</v>
      </c>
      <c r="H127" s="28"/>
      <c r="I127" s="64" t="s">
        <v>545</v>
      </c>
      <c r="J127" s="65"/>
      <c r="K127" s="65"/>
      <c r="L127" s="66"/>
      <c r="M127" s="28"/>
      <c r="N127" s="119"/>
    </row>
    <row r="128" spans="1:14" s="113" customFormat="1" ht="18" hidden="1" customHeight="1">
      <c r="A128" s="30">
        <v>128</v>
      </c>
      <c r="B128" s="83" t="s">
        <v>319</v>
      </c>
      <c r="C128" s="26" t="s">
        <v>338</v>
      </c>
      <c r="D128" s="26" t="s">
        <v>7</v>
      </c>
      <c r="E128" s="114">
        <v>1</v>
      </c>
      <c r="F128" s="26" t="s">
        <v>341</v>
      </c>
      <c r="G128" s="28">
        <v>71</v>
      </c>
      <c r="H128" s="28"/>
      <c r="I128" s="64" t="s">
        <v>545</v>
      </c>
      <c r="J128" s="65"/>
      <c r="K128" s="65"/>
      <c r="L128" s="66"/>
      <c r="M128" s="28"/>
      <c r="N128" s="119"/>
    </row>
    <row r="129" spans="1:14" s="113" customFormat="1" ht="18" hidden="1" customHeight="1">
      <c r="A129" s="30">
        <v>123</v>
      </c>
      <c r="B129" s="83" t="s">
        <v>319</v>
      </c>
      <c r="C129" s="26" t="s">
        <v>17</v>
      </c>
      <c r="D129" s="26" t="s">
        <v>7</v>
      </c>
      <c r="E129" s="114">
        <v>1</v>
      </c>
      <c r="F129" s="26" t="s">
        <v>339</v>
      </c>
      <c r="G129" s="28">
        <v>70</v>
      </c>
      <c r="H129" s="28"/>
      <c r="I129" s="64" t="s">
        <v>545</v>
      </c>
      <c r="J129" s="65"/>
      <c r="K129" s="65"/>
      <c r="L129" s="66"/>
      <c r="M129" s="28"/>
      <c r="N129" s="119"/>
    </row>
    <row r="130" spans="1:14" s="113" customFormat="1" ht="18" hidden="1" customHeight="1">
      <c r="A130" s="30">
        <v>122</v>
      </c>
      <c r="B130" s="83" t="s">
        <v>319</v>
      </c>
      <c r="C130" s="26" t="s">
        <v>18</v>
      </c>
      <c r="D130" s="26" t="s">
        <v>7</v>
      </c>
      <c r="E130" s="114">
        <v>1</v>
      </c>
      <c r="F130" s="26" t="s">
        <v>340</v>
      </c>
      <c r="G130" s="28">
        <v>68</v>
      </c>
      <c r="H130" s="28"/>
      <c r="I130" s="64" t="s">
        <v>545</v>
      </c>
      <c r="J130" s="65"/>
      <c r="K130" s="65"/>
      <c r="L130" s="66"/>
      <c r="M130" s="28"/>
      <c r="N130" s="119"/>
    </row>
    <row r="131" spans="1:14" s="113" customFormat="1" ht="18" hidden="1" customHeight="1">
      <c r="A131" s="30">
        <v>121</v>
      </c>
      <c r="B131" s="83" t="s">
        <v>319</v>
      </c>
      <c r="C131" s="26" t="s">
        <v>334</v>
      </c>
      <c r="D131" s="26" t="s">
        <v>7</v>
      </c>
      <c r="E131" s="114">
        <v>1</v>
      </c>
      <c r="F131" s="26" t="s">
        <v>339</v>
      </c>
      <c r="G131" s="28">
        <v>70</v>
      </c>
      <c r="H131" s="28"/>
      <c r="I131" s="64" t="s">
        <v>545</v>
      </c>
      <c r="J131" s="65"/>
      <c r="K131" s="65"/>
      <c r="L131" s="66"/>
      <c r="M131" s="28"/>
      <c r="N131" s="119"/>
    </row>
    <row r="132" spans="1:14" s="113" customFormat="1" ht="18" hidden="1" customHeight="1">
      <c r="A132" s="30">
        <v>120</v>
      </c>
      <c r="B132" s="83" t="s">
        <v>319</v>
      </c>
      <c r="C132" s="26" t="s">
        <v>333</v>
      </c>
      <c r="D132" s="26" t="s">
        <v>7</v>
      </c>
      <c r="E132" s="114">
        <v>1</v>
      </c>
      <c r="F132" s="26" t="s">
        <v>340</v>
      </c>
      <c r="G132" s="28">
        <v>68</v>
      </c>
      <c r="H132" s="28"/>
      <c r="I132" s="64" t="s">
        <v>545</v>
      </c>
      <c r="J132" s="65"/>
      <c r="K132" s="65"/>
      <c r="L132" s="66"/>
      <c r="M132" s="28"/>
      <c r="N132" s="119"/>
    </row>
    <row r="133" spans="1:14" s="113" customFormat="1" ht="18" customHeight="1">
      <c r="A133" s="30">
        <v>125</v>
      </c>
      <c r="B133" s="31" t="s">
        <v>311</v>
      </c>
      <c r="C133" s="26" t="s">
        <v>171</v>
      </c>
      <c r="D133" s="26" t="s">
        <v>7</v>
      </c>
      <c r="E133" s="114">
        <v>1</v>
      </c>
      <c r="F133" s="26" t="s">
        <v>343</v>
      </c>
      <c r="G133" s="28">
        <v>225</v>
      </c>
      <c r="H133" s="28"/>
      <c r="I133" s="64" t="s">
        <v>545</v>
      </c>
      <c r="J133" s="65"/>
      <c r="K133" s="65"/>
      <c r="L133" s="66"/>
      <c r="M133" s="28"/>
      <c r="N133" s="119"/>
    </row>
    <row r="134" spans="1:14" s="113" customFormat="1" ht="18" hidden="1" customHeight="1" thickBot="1">
      <c r="A134" s="120">
        <v>126</v>
      </c>
      <c r="B134" s="121" t="s">
        <v>311</v>
      </c>
      <c r="C134" s="36" t="s">
        <v>336</v>
      </c>
      <c r="D134" s="36" t="s">
        <v>7</v>
      </c>
      <c r="E134" s="125">
        <v>1</v>
      </c>
      <c r="F134" s="36" t="s">
        <v>344</v>
      </c>
      <c r="G134" s="37">
        <v>90</v>
      </c>
      <c r="H134" s="37"/>
      <c r="I134" s="94" t="s">
        <v>545</v>
      </c>
      <c r="J134" s="95"/>
      <c r="K134" s="95"/>
      <c r="L134" s="96"/>
      <c r="M134" s="37"/>
      <c r="N134" s="126"/>
    </row>
    <row r="135" spans="1:14" ht="15" hidden="1" thickBot="1">
      <c r="A135" s="5">
        <v>132</v>
      </c>
      <c r="B135" s="11"/>
      <c r="C135" s="12"/>
      <c r="D135" s="12"/>
      <c r="E135" s="12"/>
      <c r="F135" s="13"/>
      <c r="G135" s="13"/>
      <c r="H135" s="13"/>
      <c r="I135" s="14"/>
      <c r="J135" s="14"/>
      <c r="K135" s="14"/>
      <c r="L135" s="14"/>
      <c r="M135" s="14"/>
      <c r="N135" s="7"/>
    </row>
    <row r="136" spans="1:14" ht="15.75" hidden="1">
      <c r="A136" s="5">
        <v>132</v>
      </c>
      <c r="B136" s="9" t="s">
        <v>364</v>
      </c>
      <c r="C136" s="2" t="s">
        <v>20</v>
      </c>
      <c r="D136" s="2"/>
      <c r="E136" s="8"/>
      <c r="F136" s="2"/>
      <c r="G136" s="1"/>
      <c r="H136" s="1"/>
      <c r="I136" s="6"/>
      <c r="J136" s="6"/>
      <c r="K136" s="6"/>
      <c r="L136" s="6"/>
      <c r="M136" s="6"/>
      <c r="N136" s="4"/>
    </row>
    <row r="137" spans="1:14" ht="15.75" hidden="1">
      <c r="A137" s="5">
        <v>133</v>
      </c>
      <c r="B137" s="9" t="s">
        <v>364</v>
      </c>
      <c r="C137" s="2" t="s">
        <v>16</v>
      </c>
      <c r="D137" s="2"/>
      <c r="E137" s="8"/>
      <c r="F137" s="2"/>
      <c r="G137" s="1"/>
      <c r="H137" s="1"/>
      <c r="I137" s="6"/>
      <c r="J137" s="6"/>
      <c r="K137" s="6"/>
      <c r="L137" s="6"/>
      <c r="M137" s="6"/>
      <c r="N137" s="4"/>
    </row>
    <row r="138" spans="1:14" ht="15.75" hidden="1">
      <c r="A138" s="5">
        <v>134</v>
      </c>
      <c r="B138" s="9"/>
      <c r="C138" s="2"/>
      <c r="D138" s="2"/>
      <c r="E138" s="8"/>
      <c r="F138" s="2"/>
      <c r="G138" s="1"/>
      <c r="H138" s="1"/>
      <c r="I138" s="6"/>
      <c r="J138" s="6"/>
      <c r="K138" s="6"/>
      <c r="L138" s="6"/>
      <c r="M138" s="6"/>
      <c r="N138" s="4"/>
    </row>
    <row r="139" spans="1:14" ht="15.75" hidden="1">
      <c r="A139" s="5">
        <v>135</v>
      </c>
      <c r="B139" s="9"/>
      <c r="C139" s="2"/>
      <c r="D139" s="2"/>
      <c r="E139" s="8"/>
      <c r="F139" s="2"/>
      <c r="G139" s="1"/>
      <c r="H139" s="1"/>
      <c r="I139" s="6"/>
      <c r="J139" s="6"/>
      <c r="K139" s="6"/>
      <c r="L139" s="6"/>
      <c r="M139" s="6"/>
      <c r="N139" s="4"/>
    </row>
    <row r="140" spans="1:14" ht="15.75" hidden="1">
      <c r="A140" s="5">
        <v>136</v>
      </c>
      <c r="B140" s="9"/>
      <c r="C140" s="2"/>
      <c r="D140" s="2"/>
      <c r="E140" s="8"/>
      <c r="F140" s="2"/>
      <c r="G140" s="1"/>
      <c r="H140" s="1"/>
      <c r="I140" s="6"/>
      <c r="J140" s="6"/>
      <c r="K140" s="6"/>
      <c r="L140" s="6"/>
      <c r="M140" s="6"/>
      <c r="N140" s="4"/>
    </row>
    <row r="141" spans="1:14" ht="15.75" hidden="1">
      <c r="A141" s="5">
        <v>137</v>
      </c>
      <c r="B141" s="9"/>
      <c r="C141" s="2"/>
      <c r="D141" s="2"/>
      <c r="E141" s="8"/>
      <c r="F141" s="2"/>
      <c r="G141" s="1"/>
      <c r="H141" s="1"/>
      <c r="I141" s="6"/>
      <c r="J141" s="6"/>
      <c r="K141" s="6"/>
      <c r="L141" s="6"/>
      <c r="M141" s="6"/>
      <c r="N141" s="4"/>
    </row>
    <row r="142" spans="1:14" ht="15.75" hidden="1">
      <c r="A142" s="5">
        <v>138</v>
      </c>
      <c r="B142" s="9"/>
      <c r="C142" s="2"/>
      <c r="D142" s="2"/>
      <c r="E142" s="8"/>
      <c r="F142" s="2"/>
      <c r="G142" s="1"/>
      <c r="H142" s="1"/>
      <c r="I142" s="6"/>
      <c r="J142" s="6"/>
      <c r="K142" s="6"/>
      <c r="L142" s="6"/>
      <c r="M142" s="6"/>
      <c r="N142" s="4"/>
    </row>
    <row r="143" spans="1:14" ht="15.75" hidden="1">
      <c r="A143" s="15">
        <v>139</v>
      </c>
      <c r="B143" s="100"/>
      <c r="C143" s="101"/>
      <c r="D143" s="101"/>
      <c r="E143" s="102"/>
      <c r="F143" s="101"/>
      <c r="G143" s="103"/>
      <c r="H143" s="103"/>
      <c r="I143" s="104"/>
      <c r="J143" s="104"/>
      <c r="K143" s="104"/>
      <c r="L143" s="104"/>
      <c r="M143" s="104"/>
      <c r="N143" s="105"/>
    </row>
    <row r="144" spans="1:14" s="113" customFormat="1" ht="13.5" hidden="1" thickTop="1">
      <c r="A144" s="55">
        <v>124</v>
      </c>
      <c r="B144" s="106" t="s">
        <v>319</v>
      </c>
      <c r="C144" s="19" t="s">
        <v>335</v>
      </c>
      <c r="D144" s="19" t="s">
        <v>7</v>
      </c>
      <c r="E144" s="107">
        <v>1</v>
      </c>
      <c r="F144" s="19" t="s">
        <v>342</v>
      </c>
      <c r="G144" s="21">
        <v>70</v>
      </c>
      <c r="H144" s="21"/>
      <c r="I144" s="61" t="s">
        <v>545</v>
      </c>
      <c r="J144" s="62"/>
      <c r="K144" s="62"/>
      <c r="L144" s="63"/>
      <c r="M144" s="21"/>
      <c r="N144" s="112"/>
    </row>
    <row r="145" spans="1:14" s="113" customFormat="1" ht="12.75" hidden="1">
      <c r="A145" s="30">
        <v>131</v>
      </c>
      <c r="B145" s="83" t="s">
        <v>319</v>
      </c>
      <c r="C145" s="26" t="s">
        <v>180</v>
      </c>
      <c r="D145" s="26" t="s">
        <v>7</v>
      </c>
      <c r="E145" s="114">
        <v>1</v>
      </c>
      <c r="F145" s="26" t="s">
        <v>346</v>
      </c>
      <c r="G145" s="28">
        <v>60</v>
      </c>
      <c r="H145" s="28"/>
      <c r="I145" s="64" t="s">
        <v>545</v>
      </c>
      <c r="J145" s="65"/>
      <c r="K145" s="65"/>
      <c r="L145" s="66"/>
      <c r="M145" s="28"/>
      <c r="N145" s="119"/>
    </row>
    <row r="146" spans="1:14" s="113" customFormat="1" ht="12.75" hidden="1">
      <c r="A146" s="30">
        <v>129</v>
      </c>
      <c r="B146" s="83" t="s">
        <v>319</v>
      </c>
      <c r="C146" s="26" t="s">
        <v>188</v>
      </c>
      <c r="D146" s="26" t="s">
        <v>7</v>
      </c>
      <c r="E146" s="114">
        <v>1</v>
      </c>
      <c r="F146" s="26" t="s">
        <v>345</v>
      </c>
      <c r="G146" s="28">
        <v>50</v>
      </c>
      <c r="H146" s="28"/>
      <c r="I146" s="64" t="s">
        <v>545</v>
      </c>
      <c r="J146" s="65"/>
      <c r="K146" s="65"/>
      <c r="L146" s="66"/>
      <c r="M146" s="28"/>
      <c r="N146" s="119"/>
    </row>
    <row r="147" spans="1:14" s="113" customFormat="1" ht="13.5" hidden="1" thickBot="1">
      <c r="A147" s="120">
        <v>130</v>
      </c>
      <c r="B147" s="121" t="s">
        <v>311</v>
      </c>
      <c r="C147" s="36" t="s">
        <v>27</v>
      </c>
      <c r="D147" s="36" t="s">
        <v>7</v>
      </c>
      <c r="E147" s="125">
        <v>1</v>
      </c>
      <c r="F147" s="36" t="s">
        <v>347</v>
      </c>
      <c r="G147" s="37">
        <v>76</v>
      </c>
      <c r="H147" s="37"/>
      <c r="I147" s="94" t="s">
        <v>545</v>
      </c>
      <c r="J147" s="95"/>
      <c r="K147" s="95"/>
      <c r="L147" s="96"/>
      <c r="M147" s="37"/>
      <c r="N147" s="126"/>
    </row>
    <row r="148" spans="1:14" s="132" customFormat="1" ht="26.25" hidden="1" customHeight="1" thickTop="1" thickBot="1">
      <c r="A148" s="127"/>
      <c r="B148" s="122"/>
      <c r="C148" s="122"/>
      <c r="D148" s="122"/>
      <c r="E148" s="122"/>
      <c r="F148" s="122"/>
      <c r="G148" s="122"/>
      <c r="H148" s="122"/>
      <c r="I148" s="128">
        <f>COUNTA(I4:I147)</f>
        <v>84</v>
      </c>
      <c r="J148" s="129">
        <f t="shared" ref="J148:L148" si="0">COUNTA(J4:J147)</f>
        <v>0</v>
      </c>
      <c r="K148" s="129">
        <f t="shared" si="0"/>
        <v>51</v>
      </c>
      <c r="L148" s="130">
        <f t="shared" si="0"/>
        <v>0</v>
      </c>
      <c r="M148" s="122"/>
      <c r="N148" s="131"/>
    </row>
  </sheetData>
  <autoFilter ref="A2:M148" xr:uid="{00000000-0009-0000-0000-000002000000}">
    <filterColumn colId="3">
      <customFilters>
        <customFilter operator="notEqual" val=" "/>
      </customFilters>
    </filterColumn>
    <filterColumn colId="6">
      <filters>
        <filter val="120"/>
        <filter val="135"/>
        <filter val="225"/>
      </filters>
    </filterColumn>
  </autoFilter>
  <sortState xmlns:xlrd2="http://schemas.microsoft.com/office/spreadsheetml/2017/richdata2" ref="A4:N147">
    <sortCondition ref="D4:D147"/>
    <sortCondition ref="C4:C147"/>
    <sortCondition ref="B4:B147"/>
    <sortCondition ref="E4:E147"/>
  </sortState>
  <mergeCells count="12">
    <mergeCell ref="G2:G3"/>
    <mergeCell ref="H2:H3"/>
    <mergeCell ref="M2:M3"/>
    <mergeCell ref="N2:N3"/>
    <mergeCell ref="A1:F1"/>
    <mergeCell ref="A2:A3"/>
    <mergeCell ref="B2:B3"/>
    <mergeCell ref="C2:C3"/>
    <mergeCell ref="D2:D3"/>
    <mergeCell ref="E2:E3"/>
    <mergeCell ref="F2:F3"/>
    <mergeCell ref="I2:L2"/>
  </mergeCells>
  <phoneticPr fontId="3" type="noConversion"/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casting</vt:lpstr>
      <vt:lpstr>OLD Casting samsung</vt:lpstr>
      <vt:lpstr>TRIMMING</vt:lpstr>
      <vt:lpstr>casting!Print_Area</vt:lpstr>
      <vt:lpstr>'OLD Casting samsung'!Print_Area</vt:lpstr>
      <vt:lpstr>TRIMMING!Print_Area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116 NTB</dc:creator>
  <cp:lastModifiedBy>임재홍</cp:lastModifiedBy>
  <cp:lastPrinted>2025-12-25T06:57:40Z</cp:lastPrinted>
  <dcterms:created xsi:type="dcterms:W3CDTF">1997-03-26T05:47:56Z</dcterms:created>
  <dcterms:modified xsi:type="dcterms:W3CDTF">2026-05-21T09:11:29Z</dcterms:modified>
</cp:coreProperties>
</file>