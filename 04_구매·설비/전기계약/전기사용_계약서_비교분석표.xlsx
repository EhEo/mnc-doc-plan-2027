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계약서 비교 분석" sheetId="1" state="visible" r:id="rId3"/>
    <sheet name="전기요금 비교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<sst xmlns="http://schemas.openxmlformats.org/spreadsheetml/2006/main" count="237" uniqueCount="184">
  <si>
    <t xml:space="preserve">전기 사용 계약서 비교 분석표</t>
  </si>
  <si>
    <r>
      <rPr>
        <i val="true"/>
        <sz val="10"/>
        <color rgb="FF2F5496"/>
        <rFont val="Arial"/>
        <family val="0"/>
        <charset val="1"/>
      </rPr>
      <t xml:space="preserve">M&amp;C Electronics VINA ↔ </t>
    </r>
    <r>
      <rPr>
        <i val="true"/>
        <sz val="10"/>
        <color rgb="FF2F5496"/>
        <rFont val="DejaVu Sans"/>
        <family val="2"/>
      </rPr>
      <t xml:space="preserve">북부전력주식회사 </t>
    </r>
    <r>
      <rPr>
        <i val="true"/>
        <sz val="10"/>
        <color rgb="FF2F5496"/>
        <rFont val="Arial"/>
        <family val="0"/>
        <charset val="1"/>
      </rPr>
      <t xml:space="preserve">(Công ty Cổ phần Điện lực Miền Bắc)</t>
    </r>
  </si>
  <si>
    <t xml:space="preserve">No.</t>
  </si>
  <si>
    <t xml:space="preserve">항목</t>
  </si>
  <si>
    <r>
      <rPr>
        <b val="true"/>
        <sz val="11"/>
        <color rgb="FFFFFFFF"/>
        <rFont val="DejaVu Sans"/>
        <family val="2"/>
      </rPr>
      <t xml:space="preserve">이전 계약서
</t>
    </r>
    <r>
      <rPr>
        <b val="true"/>
        <sz val="11"/>
        <color rgb="FFFFFFFF"/>
        <rFont val="Arial"/>
        <family val="0"/>
        <charset val="1"/>
      </rPr>
      <t xml:space="preserve">(23/000145)</t>
    </r>
  </si>
  <si>
    <r>
      <rPr>
        <b val="true"/>
        <sz val="11"/>
        <color rgb="FFFFFFFF"/>
        <rFont val="DejaVu Sans"/>
        <family val="2"/>
      </rPr>
      <t xml:space="preserve">신규 계약서
</t>
    </r>
    <r>
      <rPr>
        <b val="true"/>
        <sz val="11"/>
        <color rgb="FFFFFFFF"/>
        <rFont val="Arial"/>
        <family val="0"/>
        <charset val="1"/>
      </rPr>
      <t xml:space="preserve">(26/000145)</t>
    </r>
  </si>
  <si>
    <t xml:space="preserve">변경구분</t>
  </si>
  <si>
    <r>
      <rPr>
        <b val="true"/>
        <sz val="11"/>
        <color rgb="FFFFFFFF"/>
        <rFont val="DejaVu Sans"/>
        <family val="2"/>
      </rPr>
      <t xml:space="preserve">특이사항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DejaVu Sans"/>
        <family val="2"/>
      </rPr>
      <t xml:space="preserve">분석</t>
    </r>
  </si>
  <si>
    <t xml:space="preserve">기본 사항</t>
  </si>
  <si>
    <t xml:space="preserve">계약번호</t>
  </si>
  <si>
    <t xml:space="preserve">23/000145</t>
  </si>
  <si>
    <t xml:space="preserve">26/000145</t>
  </si>
  <si>
    <t xml:space="preserve">변경</t>
  </si>
  <si>
    <t xml:space="preserve">신규 계약 체결에 따른 번호 변경</t>
  </si>
  <si>
    <t xml:space="preserve">계약일</t>
  </si>
  <si>
    <t xml:space="preserve">2023.03.12</t>
  </si>
  <si>
    <t xml:space="preserve">2026.03.12</t>
  </si>
  <si>
    <t xml:space="preserve">이전 계약 만료 후 갱신</t>
  </si>
  <si>
    <t xml:space="preserve">계약기간</t>
  </si>
  <si>
    <r>
      <rPr>
        <sz val="10"/>
        <rFont val="Arial"/>
        <family val="0"/>
        <charset val="1"/>
      </rPr>
      <t xml:space="preserve">2023.03.12 ~ 2026.03.11
(3</t>
    </r>
    <r>
      <rPr>
        <sz val="10"/>
        <rFont val="DejaVu Sans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</si>
  <si>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2026.03.12 ~ 2031.03.12
(5</t>
    </r>
    <r>
      <rPr>
        <sz val="10"/>
        <rFont val="DejaVu Sans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</si>
  <si>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C00000"/>
        <rFont val="DejaVu Sans"/>
        <family val="2"/>
      </rPr>
      <t xml:space="preserve">⚠️ 계약기간이 </t>
    </r>
    <r>
      <rPr>
        <b val="true"/>
        <sz val="10"/>
        <color rgb="FFC00000"/>
        <rFont val="Arial"/>
        <family val="0"/>
        <charset val="1"/>
      </rPr>
      <t xml:space="preserve">3</t>
    </r>
    <r>
      <rPr>
        <b val="true"/>
        <sz val="10"/>
        <color rgb="FFC00000"/>
        <rFont val="DejaVu Sans"/>
        <family val="2"/>
      </rPr>
      <t xml:space="preserve">년에서 </t>
    </r>
    <r>
      <rPr>
        <b val="true"/>
        <sz val="10"/>
        <color rgb="FFC00000"/>
        <rFont val="Arial"/>
        <family val="0"/>
        <charset val="1"/>
      </rPr>
      <t xml:space="preserve">5</t>
    </r>
    <r>
      <rPr>
        <b val="true"/>
        <sz val="10"/>
        <color rgb="FFC00000"/>
        <rFont val="DejaVu Sans"/>
        <family val="2"/>
      </rPr>
      <t xml:space="preserve">년으로 대폭 연장됨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DejaVu Sans"/>
        <family val="2"/>
      </rPr>
      <t xml:space="preserve">장기 구속력 증가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</si>
  <si>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벤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DejaVu Sans"/>
        <family val="2"/>
      </rPr>
      <t xml:space="preserve">대표자</t>
    </r>
  </si>
  <si>
    <t xml:space="preserve">KIM YOUNG JIN
(Phó Tổng Giám đốc)</t>
  </si>
  <si>
    <t xml:space="preserve">CHOI BYOUNGYOUN
(Phó Tổng Giám đốc)</t>
  </si>
  <si>
    <r>
      <rPr>
        <sz val="10"/>
        <rFont val="DejaVu Sans"/>
        <family val="2"/>
      </rPr>
      <t xml:space="preserve">대표이사 변경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위임장 등 서명권한 확인 필요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</si>
  <si>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벤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DejaVu Sans"/>
        <family val="2"/>
      </rPr>
      <t xml:space="preserve">주소</t>
    </r>
  </si>
  <si>
    <t xml:space="preserve">Phường Liên Bảo,
TP Vĩnh Yên, Vĩnh Phúc</t>
  </si>
  <si>
    <t xml:space="preserve">Phường Vĩnh Phúc,
Tỉnh Phú Thọ</t>
  </si>
  <si>
    <r>
      <rPr>
        <sz val="10"/>
        <rFont val="DejaVu Sans"/>
        <family val="2"/>
      </rPr>
      <t xml:space="preserve">벤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주소 표기 변경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행정구역 변경 가능성</t>
    </r>
    <r>
      <rPr>
        <sz val="10"/>
        <rFont val="Arial"/>
        <family val="0"/>
        <charset val="1"/>
      </rPr>
      <t xml:space="preserve">)</t>
    </r>
  </si>
  <si>
    <t xml:space="preserve">전력 사용 조건</t>
  </si>
  <si>
    <t xml:space="preserve">사용 목적</t>
  </si>
  <si>
    <r>
      <rPr>
        <sz val="10"/>
        <rFont val="DejaVu Sans"/>
        <family val="2"/>
      </rPr>
      <t xml:space="preserve">산 </t>
    </r>
    <r>
      <rPr>
        <sz val="10"/>
        <rFont val="Arial"/>
        <family val="0"/>
        <charset val="1"/>
      </rPr>
      <t xml:space="preserve">xuất linh kiện điện thoại
(</t>
    </r>
    <r>
      <rPr>
        <sz val="10"/>
        <rFont val="DejaVu Sans"/>
        <family val="2"/>
      </rPr>
      <t xml:space="preserve">전화부품 생산</t>
    </r>
    <r>
      <rPr>
        <sz val="10"/>
        <rFont val="Arial"/>
        <family val="0"/>
        <charset val="1"/>
      </rPr>
      <t xml:space="preserve">)</t>
    </r>
  </si>
  <si>
    <t xml:space="preserve">동일</t>
  </si>
  <si>
    <t xml:space="preserve">유지</t>
  </si>
  <si>
    <t xml:space="preserve">전압</t>
  </si>
  <si>
    <t xml:space="preserve">0.4kV (Dưới 6kV)</t>
  </si>
  <si>
    <t xml:space="preserve">400V (Dưới 6kV)</t>
  </si>
  <si>
    <r>
      <rPr>
        <sz val="10"/>
        <rFont val="DejaVu Sans"/>
        <family val="2"/>
      </rPr>
      <t xml:space="preserve">표기방식만 다름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실질 동일</t>
    </r>
  </si>
  <si>
    <r>
      <rPr>
        <b val="true"/>
        <sz val="10"/>
        <rFont val="DejaVu Sans"/>
        <family val="2"/>
      </rPr>
      <t xml:space="preserve">최대 공률 </t>
    </r>
    <r>
      <rPr>
        <b val="true"/>
        <sz val="10"/>
        <rFont val="Arial"/>
        <family val="0"/>
        <charset val="1"/>
      </rPr>
      <t xml:space="preserve">(Pmax)</t>
    </r>
  </si>
  <si>
    <t xml:space="preserve">6,200 kW</t>
  </si>
  <si>
    <r>
      <rPr>
        <b val="true"/>
        <sz val="10"/>
        <rFont val="DejaVu Sans"/>
        <family val="2"/>
      </rPr>
      <t xml:space="preserve">평균 공률 </t>
    </r>
    <r>
      <rPr>
        <b val="true"/>
        <sz val="10"/>
        <rFont val="Arial"/>
        <family val="0"/>
        <charset val="1"/>
      </rPr>
      <t xml:space="preserve">(PTB)</t>
    </r>
  </si>
  <si>
    <t xml:space="preserve">5,000 kW</t>
  </si>
  <si>
    <t xml:space="preserve">5,825 kW</t>
  </si>
  <si>
    <r>
      <rPr>
        <b val="true"/>
        <sz val="10"/>
        <color rgb="FFC00000"/>
        <rFont val="DejaVu Sans"/>
        <family val="2"/>
      </rPr>
      <t xml:space="preserve">⚠️ 평균 사용공률 </t>
    </r>
    <r>
      <rPr>
        <b val="true"/>
        <sz val="10"/>
        <color rgb="FFC00000"/>
        <rFont val="Arial"/>
        <family val="0"/>
        <charset val="1"/>
      </rPr>
      <t xml:space="preserve">16.5% </t>
    </r>
    <r>
      <rPr>
        <b val="true"/>
        <sz val="10"/>
        <color rgb="FFC00000"/>
        <rFont val="DejaVu Sans"/>
        <family val="2"/>
      </rPr>
      <t xml:space="preserve">증가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DejaVu Sans"/>
        <family val="2"/>
      </rPr>
      <t xml:space="preserve">실제 전력소비 증가 반영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</si>
  <si>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최소 공률 </t>
    </r>
    <r>
      <rPr>
        <b val="true"/>
        <sz val="10"/>
        <rFont val="Arial"/>
        <family val="0"/>
        <charset val="1"/>
      </rPr>
      <t xml:space="preserve">(Pmin)</t>
    </r>
  </si>
  <si>
    <t xml:space="preserve">4,200 kW</t>
  </si>
  <si>
    <t xml:space="preserve">5,200 kW</t>
  </si>
  <si>
    <r>
      <rPr>
        <b val="true"/>
        <sz val="10"/>
        <color rgb="FFC00000"/>
        <rFont val="DejaVu Sans"/>
        <family val="2"/>
      </rPr>
      <t xml:space="preserve">⚠️ 최소 공률 </t>
    </r>
    <r>
      <rPr>
        <b val="true"/>
        <sz val="10"/>
        <color rgb="FFC00000"/>
        <rFont val="Arial"/>
        <family val="0"/>
        <charset val="1"/>
      </rPr>
      <t xml:space="preserve">23.8% </t>
    </r>
    <r>
      <rPr>
        <b val="true"/>
        <sz val="10"/>
        <color rgb="FFC00000"/>
        <rFont val="DejaVu Sans"/>
        <family val="2"/>
      </rPr>
      <t xml:space="preserve">증가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DejaVu Sans"/>
        <family val="2"/>
      </rPr>
      <t xml:space="preserve">기저부하 상승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</si>
  <si>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평균 전력량 </t>
    </r>
    <r>
      <rPr>
        <b val="true"/>
        <sz val="10"/>
        <rFont val="Arial"/>
        <family val="0"/>
        <charset val="1"/>
      </rPr>
      <t xml:space="preserve">(Atb)</t>
    </r>
  </si>
  <si>
    <r>
      <rPr>
        <sz val="10"/>
        <rFont val="Arial"/>
        <family val="0"/>
        <charset val="1"/>
      </rPr>
      <t xml:space="preserve">3,600,000 kWh/</t>
    </r>
    <r>
      <rPr>
        <sz val="10"/>
        <rFont val="DejaVu Sans"/>
        <family val="2"/>
      </rPr>
      <t xml:space="preserve">월</t>
    </r>
  </si>
  <si>
    <r>
      <rPr>
        <sz val="10"/>
        <rFont val="Arial"/>
        <family val="0"/>
        <charset val="1"/>
      </rPr>
      <t xml:space="preserve">3,634,800 kWh/</t>
    </r>
    <r>
      <rPr>
        <sz val="10"/>
        <rFont val="DejaVu Sans"/>
        <family val="2"/>
      </rPr>
      <t xml:space="preserve">월</t>
    </r>
  </si>
  <si>
    <r>
      <rPr>
        <sz val="10"/>
        <rFont val="DejaVu Sans"/>
        <family val="2"/>
      </rPr>
      <t xml:space="preserve">월 평균 전력량 약 </t>
    </r>
    <r>
      <rPr>
        <sz val="10"/>
        <rFont val="Arial"/>
        <family val="0"/>
        <charset val="1"/>
      </rPr>
      <t xml:space="preserve">1% </t>
    </r>
    <r>
      <rPr>
        <sz val="10"/>
        <rFont val="DejaVu Sans"/>
        <family val="2"/>
      </rPr>
      <t xml:space="preserve">증가</t>
    </r>
  </si>
  <si>
    <r>
      <rPr>
        <b val="true"/>
        <sz val="10"/>
        <rFont val="DejaVu Sans"/>
        <family val="2"/>
      </rPr>
      <t xml:space="preserve">점 </t>
    </r>
    <r>
      <rPr>
        <b val="true"/>
        <sz val="10"/>
        <rFont val="Arial"/>
        <family val="0"/>
        <charset val="1"/>
      </rPr>
      <t xml:space="preserve">đấu nối
(</t>
    </r>
    <r>
      <rPr>
        <b val="true"/>
        <sz val="10"/>
        <rFont val="DejaVu Sans"/>
        <family val="2"/>
      </rPr>
      <t xml:space="preserve">접속점</t>
    </r>
    <r>
      <rPr>
        <b val="true"/>
        <sz val="10"/>
        <rFont val="Arial"/>
        <family val="0"/>
        <charset val="1"/>
      </rPr>
      <t xml:space="preserve">)</t>
    </r>
  </si>
  <si>
    <t xml:space="preserve">Cột số 11 lộ 488 E27.5</t>
  </si>
  <si>
    <t xml:space="preserve">Cột số 11 lộ 489 E27.5</t>
  </si>
  <si>
    <r>
      <rPr>
        <sz val="10"/>
        <rFont val="DejaVu Sans"/>
        <family val="2"/>
      </rPr>
      <t xml:space="preserve">배전선로 변경 </t>
    </r>
    <r>
      <rPr>
        <sz val="10"/>
        <rFont val="Arial"/>
        <family val="0"/>
        <charset val="1"/>
      </rPr>
      <t xml:space="preserve">(488→489). </t>
    </r>
    <r>
      <rPr>
        <sz val="10"/>
        <rFont val="DejaVu Sans"/>
        <family val="2"/>
      </rPr>
      <t xml:space="preserve">물리적 접속점 확인 필요</t>
    </r>
    <r>
      <rPr>
        <sz val="10"/>
        <rFont val="Arial"/>
        <family val="0"/>
        <charset val="1"/>
      </rPr>
      <t xml:space="preserve">.</t>
    </r>
  </si>
  <si>
    <r>
      <rPr>
        <b val="true"/>
        <sz val="11"/>
        <color rgb="FF2F5496"/>
        <rFont val="DejaVu Sans"/>
        <family val="2"/>
      </rPr>
      <t xml:space="preserve">계량 시스템 </t>
    </r>
    <r>
      <rPr>
        <b val="true"/>
        <sz val="11"/>
        <color rgb="FF2F5496"/>
        <rFont val="Arial"/>
        <family val="0"/>
        <charset val="1"/>
      </rPr>
      <t xml:space="preserve">(5</t>
    </r>
    <r>
      <rPr>
        <b val="true"/>
        <sz val="11"/>
        <color rgb="FF2F5496"/>
        <rFont val="DejaVu Sans"/>
        <family val="2"/>
      </rPr>
      <t xml:space="preserve">개 계량점</t>
    </r>
    <r>
      <rPr>
        <b val="true"/>
        <sz val="11"/>
        <color rgb="FF2F5496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</si>
  <si>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계량점</t>
    </r>
    <r>
      <rPr>
        <b val="true"/>
        <sz val="10"/>
        <rFont val="Arial"/>
        <family val="0"/>
        <charset val="1"/>
      </rPr>
      <t xml:space="preserve">1 (NPC02_14501)
TI </t>
    </r>
    <r>
      <rPr>
        <b val="true"/>
        <sz val="10"/>
        <rFont val="DejaVu Sans"/>
        <family val="2"/>
      </rPr>
      <t xml:space="preserve">비율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계수</t>
    </r>
  </si>
  <si>
    <t xml:space="preserve">5000/5A
×1000</t>
  </si>
  <si>
    <r>
      <rPr>
        <b val="true"/>
        <sz val="10"/>
        <rFont val="DejaVu Sans"/>
        <family val="2"/>
      </rPr>
      <t xml:space="preserve">계량점</t>
    </r>
    <r>
      <rPr>
        <b val="true"/>
        <sz val="10"/>
        <rFont val="Arial"/>
        <family val="0"/>
        <charset val="1"/>
      </rPr>
      <t xml:space="preserve">2 (NPC02_14502)
TI </t>
    </r>
    <r>
      <rPr>
        <b val="true"/>
        <sz val="10"/>
        <rFont val="DejaVu Sans"/>
        <family val="2"/>
      </rPr>
      <t xml:space="preserve">비율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계수</t>
    </r>
  </si>
  <si>
    <t xml:space="preserve">3000/5A
×600</t>
  </si>
  <si>
    <t xml:space="preserve">3200/5A
×640</t>
  </si>
  <si>
    <r>
      <rPr>
        <b val="true"/>
        <sz val="10"/>
        <color rgb="FFC00000"/>
        <rFont val="Arial"/>
        <family val="0"/>
        <charset val="1"/>
      </rPr>
      <t xml:space="preserve">⚠️ TI </t>
    </r>
    <r>
      <rPr>
        <b val="true"/>
        <sz val="10"/>
        <color rgb="FFC00000"/>
        <rFont val="DejaVu Sans"/>
        <family val="2"/>
      </rPr>
      <t xml:space="preserve">비율 변경</t>
    </r>
    <r>
      <rPr>
        <b val="true"/>
        <sz val="10"/>
        <color rgb="FFC00000"/>
        <rFont val="Arial"/>
        <family val="0"/>
        <charset val="1"/>
      </rPr>
      <t xml:space="preserve">: 3000→3200. </t>
    </r>
    <r>
      <rPr>
        <b val="true"/>
        <sz val="10"/>
        <color rgb="FFC00000"/>
        <rFont val="DejaVu Sans"/>
        <family val="2"/>
      </rPr>
      <t xml:space="preserve">계수 </t>
    </r>
    <r>
      <rPr>
        <b val="true"/>
        <sz val="10"/>
        <color rgb="FFC00000"/>
        <rFont val="Arial"/>
        <family val="0"/>
        <charset val="1"/>
      </rPr>
      <t xml:space="preserve">600→640. </t>
    </r>
    <r>
      <rPr>
        <b val="true"/>
        <sz val="10"/>
        <color rgb="FFC00000"/>
        <rFont val="DejaVu Sans"/>
        <family val="2"/>
      </rPr>
      <t xml:space="preserve">변압기 교체 또는 용량 변경 의미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</si>
  <si>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계량점</t>
    </r>
    <r>
      <rPr>
        <b val="true"/>
        <sz val="10"/>
        <rFont val="Arial"/>
        <family val="0"/>
        <charset val="1"/>
      </rPr>
      <t xml:space="preserve">3 (NPC02_14503)
TI </t>
    </r>
    <r>
      <rPr>
        <b val="true"/>
        <sz val="10"/>
        <rFont val="DejaVu Sans"/>
        <family val="2"/>
      </rPr>
      <t xml:space="preserve">비율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계수</t>
    </r>
  </si>
  <si>
    <t xml:space="preserve">2000/5A
×400</t>
  </si>
  <si>
    <r>
      <rPr>
        <b val="true"/>
        <sz val="10"/>
        <rFont val="DejaVu Sans"/>
        <family val="2"/>
      </rPr>
      <t xml:space="preserve">계량점</t>
    </r>
    <r>
      <rPr>
        <b val="true"/>
        <sz val="10"/>
        <rFont val="Arial"/>
        <family val="0"/>
        <charset val="1"/>
      </rPr>
      <t xml:space="preserve">4 (NPC02_14504)
TI </t>
    </r>
    <r>
      <rPr>
        <b val="true"/>
        <sz val="10"/>
        <rFont val="DejaVu Sans"/>
        <family val="2"/>
      </rPr>
      <t xml:space="preserve">비율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계수</t>
    </r>
  </si>
  <si>
    <t xml:space="preserve">1500/5A
×300</t>
  </si>
  <si>
    <r>
      <rPr>
        <b val="true"/>
        <sz val="10"/>
        <rFont val="DejaVu Sans"/>
        <family val="2"/>
      </rPr>
      <t xml:space="preserve">계량점</t>
    </r>
    <r>
      <rPr>
        <b val="true"/>
        <sz val="10"/>
        <rFont val="Arial"/>
        <family val="0"/>
        <charset val="1"/>
      </rPr>
      <t xml:space="preserve">5 (NPC02_14505)
TI </t>
    </r>
    <r>
      <rPr>
        <b val="true"/>
        <sz val="10"/>
        <rFont val="DejaVu Sans"/>
        <family val="2"/>
      </rPr>
      <t xml:space="preserve">비율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계수</t>
    </r>
  </si>
  <si>
    <r>
      <rPr>
        <b val="true"/>
        <sz val="11"/>
        <color rgb="FF2F5496"/>
        <rFont val="DejaVu Sans"/>
        <family val="2"/>
      </rPr>
      <t xml:space="preserve">전기요금 </t>
    </r>
    <r>
      <rPr>
        <b val="true"/>
        <sz val="11"/>
        <color rgb="FF2F5496"/>
        <rFont val="Arial"/>
        <family val="0"/>
        <charset val="1"/>
      </rPr>
      <t xml:space="preserve">(Giá điện)</t>
    </r>
  </si>
  <si>
    <r>
      <rPr>
        <b val="true"/>
        <sz val="10"/>
        <rFont val="DejaVu Sans"/>
        <family val="2"/>
      </rPr>
      <t xml:space="preserve">적용일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DejaVu Sans"/>
        <family val="2"/>
      </rPr>
      <t xml:space="preserve">근거</t>
    </r>
  </si>
  <si>
    <r>
      <rPr>
        <sz val="10"/>
        <rFont val="Arial"/>
        <family val="0"/>
        <charset val="1"/>
      </rPr>
      <t xml:space="preserve">2019.03.20</t>
    </r>
    <r>
      <rPr>
        <sz val="10"/>
        <rFont val="DejaVu Sans"/>
        <family val="2"/>
      </rPr>
      <t xml:space="preserve">부터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정부 규정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</si>
  <si>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2025.05.10</t>
    </r>
    <r>
      <rPr>
        <sz val="10"/>
        <rFont val="DejaVu Sans"/>
        <family val="2"/>
      </rPr>
      <t xml:space="preserve">부터
</t>
    </r>
    <r>
      <rPr>
        <sz val="10"/>
        <rFont val="Arial"/>
        <family val="0"/>
        <charset val="1"/>
      </rPr>
      <t xml:space="preserve">QĐ 1279/QĐ-BCT
(2025.05.09)</t>
    </r>
  </si>
  <si>
    <t xml:space="preserve">신규 전기요금 체계 적용</t>
  </si>
  <si>
    <r>
      <rPr>
        <b val="true"/>
        <sz val="10"/>
        <rFont val="DejaVu Sans"/>
        <family val="2"/>
      </rPr>
      <t xml:space="preserve">일반시간 요금 </t>
    </r>
    <r>
      <rPr>
        <b val="true"/>
        <sz val="10"/>
        <rFont val="Arial"/>
        <family val="0"/>
        <charset val="1"/>
      </rPr>
      <t xml:space="preserve">(BT)</t>
    </r>
  </si>
  <si>
    <t xml:space="preserve">1,685 đ/kWh</t>
  </si>
  <si>
    <t xml:space="preserve">1,987 đ/kWh</t>
  </si>
  <si>
    <r>
      <rPr>
        <b val="true"/>
        <sz val="10"/>
        <color rgb="FFC00000"/>
        <rFont val="Arial"/>
        <family val="0"/>
        <charset val="1"/>
      </rPr>
      <t xml:space="preserve">⚠️ 17.9% </t>
    </r>
    <r>
      <rPr>
        <b val="true"/>
        <sz val="10"/>
        <color rgb="FFC00000"/>
        <rFont val="DejaVu Sans"/>
        <family val="2"/>
      </rPr>
      <t xml:space="preserve">인상</t>
    </r>
  </si>
  <si>
    <r>
      <rPr>
        <b val="true"/>
        <sz val="10"/>
        <rFont val="DejaVu Sans"/>
        <family val="2"/>
      </rPr>
      <t xml:space="preserve">피크시간 요금 </t>
    </r>
    <r>
      <rPr>
        <b val="true"/>
        <sz val="10"/>
        <rFont val="Arial"/>
        <family val="0"/>
        <charset val="1"/>
      </rPr>
      <t xml:space="preserve">(CĐ)</t>
    </r>
  </si>
  <si>
    <t xml:space="preserve">3,076 đ/kWh</t>
  </si>
  <si>
    <t xml:space="preserve">3,640 đ/kWh</t>
  </si>
  <si>
    <r>
      <rPr>
        <b val="true"/>
        <sz val="10"/>
        <color rgb="FFC00000"/>
        <rFont val="Arial"/>
        <family val="0"/>
        <charset val="1"/>
      </rPr>
      <t xml:space="preserve">⚠️ 18.3% </t>
    </r>
    <r>
      <rPr>
        <b val="true"/>
        <sz val="10"/>
        <color rgb="FFC00000"/>
        <rFont val="DejaVu Sans"/>
        <family val="2"/>
      </rPr>
      <t xml:space="preserve">인상</t>
    </r>
  </si>
  <si>
    <r>
      <rPr>
        <b val="true"/>
        <sz val="10"/>
        <rFont val="DejaVu Sans"/>
        <family val="2"/>
      </rPr>
      <t xml:space="preserve">저부하시간 요금 </t>
    </r>
    <r>
      <rPr>
        <b val="true"/>
        <sz val="10"/>
        <rFont val="Arial"/>
        <family val="0"/>
        <charset val="1"/>
      </rPr>
      <t xml:space="preserve">(TĐ)</t>
    </r>
  </si>
  <si>
    <t xml:space="preserve">1,100 đ/kWh</t>
  </si>
  <si>
    <t xml:space="preserve">1,300 đ/kWh</t>
  </si>
  <si>
    <r>
      <rPr>
        <b val="true"/>
        <sz val="10"/>
        <color rgb="FFC00000"/>
        <rFont val="Arial"/>
        <family val="0"/>
        <charset val="1"/>
      </rPr>
      <t xml:space="preserve">⚠️ 18.2% </t>
    </r>
    <r>
      <rPr>
        <b val="true"/>
        <sz val="10"/>
        <color rgb="FFC00000"/>
        <rFont val="DejaVu Sans"/>
        <family val="2"/>
      </rPr>
      <t xml:space="preserve">인상</t>
    </r>
  </si>
  <si>
    <t xml:space="preserve">시간대 구분</t>
  </si>
  <si>
    <r>
      <rPr>
        <sz val="10"/>
        <rFont val="DejaVu Sans"/>
        <family val="2"/>
      </rPr>
      <t xml:space="preserve">동일 </t>
    </r>
    <r>
      <rPr>
        <sz val="10"/>
        <rFont val="Arial"/>
        <family val="0"/>
        <charset val="1"/>
      </rPr>
      <t xml:space="preserve">(BT/CĐ/TĐ)
</t>
    </r>
    <r>
      <rPr>
        <sz val="10"/>
        <rFont val="DejaVu Sans"/>
        <family val="2"/>
      </rPr>
      <t xml:space="preserve">일요일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고점 없음</t>
    </r>
  </si>
  <si>
    <t xml:space="preserve">시간대 구분 체계 변동 없음</t>
  </si>
  <si>
    <t xml:space="preserve">계약 보증 및 결제</t>
  </si>
  <si>
    <t xml:space="preserve">이행보증금</t>
  </si>
  <si>
    <r>
      <rPr>
        <sz val="10"/>
        <rFont val="Arial"/>
        <family val="0"/>
        <charset val="1"/>
      </rPr>
      <t xml:space="preserve">2,000,000,000 VND
(</t>
    </r>
    <r>
      <rPr>
        <sz val="10"/>
        <rFont val="DejaVu Sans"/>
        <family val="2"/>
      </rPr>
      <t xml:space="preserve">은행보증</t>
    </r>
    <r>
      <rPr>
        <sz val="10"/>
        <rFont val="Arial"/>
        <family val="0"/>
        <charset val="1"/>
      </rPr>
      <t xml:space="preserve">)</t>
    </r>
  </si>
  <si>
    <t xml:space="preserve">보증금 동일하나 전력량 증가 대비 상대적 비율 감소</t>
  </si>
  <si>
    <t xml:space="preserve">결제기한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</si>
  <si>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통보일 기준</t>
    </r>
    <r>
      <rPr>
        <sz val="10"/>
        <rFont val="Arial"/>
        <family val="0"/>
        <charset val="1"/>
      </rPr>
      <t xml:space="preserve">)</t>
    </r>
  </si>
  <si>
    <t xml:space="preserve">결제방법</t>
  </si>
  <si>
    <t xml:space="preserve">이체 ☑ 현금 ☑
기타 ☐</t>
  </si>
  <si>
    <t xml:space="preserve">이체 ☑ 현금 ☑
기타 ☑</t>
  </si>
  <si>
    <r>
      <rPr>
        <sz val="10"/>
        <rFont val="DejaVu Sans"/>
        <family val="2"/>
      </rPr>
      <t xml:space="preserve">기타 결제수단 추가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유연성 확대</t>
    </r>
    <r>
      <rPr>
        <sz val="10"/>
        <rFont val="Arial"/>
        <family val="0"/>
        <charset val="1"/>
      </rPr>
      <t xml:space="preserve">)</t>
    </r>
  </si>
  <si>
    <t xml:space="preserve">계약 구조 변경</t>
  </si>
  <si>
    <t xml:space="preserve">계약 구성</t>
  </si>
  <si>
    <r>
      <rPr>
        <sz val="10"/>
        <rFont val="DejaVu Sans"/>
        <family val="2"/>
      </rPr>
      <t xml:space="preserve">조항구체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조
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각종 부속문서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간소한 구조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</si>
  <si>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개 조항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체계적 구조</t>
    </r>
    <r>
      <rPr>
        <sz val="10"/>
        <rFont val="Arial"/>
        <family val="0"/>
        <charset val="1"/>
      </rPr>
      <t xml:space="preserve">)</t>
    </r>
  </si>
  <si>
    <t xml:space="preserve">대폭변경</t>
  </si>
  <si>
    <r>
      <rPr>
        <b val="true"/>
        <sz val="10"/>
        <color rgb="FFC00000"/>
        <rFont val="DejaVu Sans"/>
        <family val="2"/>
      </rPr>
      <t xml:space="preserve">⚠️ 계약서 구조가 대폭 상세화됨</t>
    </r>
    <r>
      <rPr>
        <b val="true"/>
        <sz val="10"/>
        <color rgb="FFC00000"/>
        <rFont val="Arial"/>
        <family val="0"/>
        <charset val="1"/>
      </rPr>
      <t xml:space="preserve">. 20</t>
    </r>
    <r>
      <rPr>
        <b val="true"/>
        <sz val="10"/>
        <color rgb="FFC00000"/>
        <rFont val="DejaVu Sans"/>
        <family val="2"/>
      </rPr>
      <t xml:space="preserve">개 조항으로 세분화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</si>
  <si>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정의 조항 </t>
    </r>
    <r>
      <rPr>
        <b val="true"/>
        <sz val="10"/>
        <rFont val="Arial"/>
        <family val="0"/>
        <charset val="1"/>
      </rPr>
      <t xml:space="preserve">(Điều 1)</t>
    </r>
  </si>
  <si>
    <t xml:space="preserve">없음</t>
  </si>
  <si>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개 용어 정의
신규 추가</t>
    </r>
  </si>
  <si>
    <t xml:space="preserve">신규</t>
  </si>
  <si>
    <r>
      <rPr>
        <b val="true"/>
        <sz val="10"/>
        <color rgb="FFC00000"/>
        <rFont val="DejaVu Sans"/>
        <family val="2"/>
      </rPr>
      <t xml:space="preserve">⚠️ 법적 명확성 강화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DejaVu Sans"/>
        <family val="2"/>
      </rPr>
      <t xml:space="preserve">주요 용어 정의 추가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</si>
  <si>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보증조항 </t>
    </r>
    <r>
      <rPr>
        <b val="true"/>
        <sz val="10"/>
        <rFont val="Arial"/>
        <family val="0"/>
        <charset val="1"/>
      </rPr>
      <t xml:space="preserve">(Điều 8)</t>
    </r>
  </si>
  <si>
    <t xml:space="preserve">간략한 보증 규정</t>
  </si>
  <si>
    <r>
      <rPr>
        <sz val="10"/>
        <rFont val="DejaVu Sans"/>
        <family val="2"/>
      </rPr>
      <t xml:space="preserve">상세한 보증 절차
</t>
    </r>
    <r>
      <rPr>
        <sz val="10"/>
        <rFont val="Arial"/>
        <family val="0"/>
        <charset val="1"/>
      </rPr>
      <t xml:space="preserve">(8.1~8.8)</t>
    </r>
  </si>
  <si>
    <r>
      <rPr>
        <b val="true"/>
        <sz val="10"/>
        <color rgb="FFC00000"/>
        <rFont val="DejaVu Sans"/>
        <family val="2"/>
      </rPr>
      <t xml:space="preserve">⚠️ 보증금 처리</t>
    </r>
    <r>
      <rPr>
        <b val="true"/>
        <sz val="10"/>
        <color rgb="FFC00000"/>
        <rFont val="Arial"/>
        <family val="0"/>
        <charset val="1"/>
      </rPr>
      <t xml:space="preserve">/</t>
    </r>
    <r>
      <rPr>
        <b val="true"/>
        <sz val="10"/>
        <color rgb="FFC00000"/>
        <rFont val="DejaVu Sans"/>
        <family val="2"/>
      </rPr>
      <t xml:space="preserve">환수 절차가 매우 상세해짐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DejaVu Sans"/>
        <family val="2"/>
      </rPr>
      <t xml:space="preserve">벤</t>
    </r>
    <r>
      <rPr>
        <b val="true"/>
        <sz val="10"/>
        <color rgb="FFC00000"/>
        <rFont val="Arial"/>
        <family val="0"/>
        <charset val="1"/>
      </rPr>
      <t xml:space="preserve">B</t>
    </r>
    <r>
      <rPr>
        <b val="true"/>
        <sz val="10"/>
        <color rgb="FFC00000"/>
        <rFont val="DejaVu Sans"/>
        <family val="2"/>
      </rPr>
      <t xml:space="preserve">에게 불리한 조항 포함 가능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</si>
  <si>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위약금 </t>
    </r>
    <r>
      <rPr>
        <b val="true"/>
        <sz val="10"/>
        <rFont val="Arial"/>
        <family val="0"/>
        <charset val="1"/>
      </rPr>
      <t xml:space="preserve">(Điều 16)</t>
    </r>
  </si>
  <si>
    <r>
      <rPr>
        <sz val="10"/>
        <rFont val="Arial"/>
        <family val="0"/>
        <charset val="1"/>
      </rPr>
      <t xml:space="preserve">8% </t>
    </r>
    <r>
      <rPr>
        <sz val="10"/>
        <rFont val="DejaVu Sans"/>
        <family val="2"/>
      </rPr>
      <t xml:space="preserve">위약금 규정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간략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</si>
  <si>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8% </t>
    </r>
    <r>
      <rPr>
        <sz val="10"/>
        <rFont val="DejaVu Sans"/>
        <family val="2"/>
      </rPr>
      <t xml:space="preserve">위약금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상세 절차
</t>
    </r>
    <r>
      <rPr>
        <sz val="10"/>
        <rFont val="Arial"/>
        <family val="0"/>
        <charset val="1"/>
      </rPr>
      <t xml:space="preserve">(16.1~16.4)</t>
    </r>
  </si>
  <si>
    <r>
      <rPr>
        <sz val="10"/>
        <rFont val="DejaVu Sans"/>
        <family val="2"/>
      </rPr>
      <t xml:space="preserve">위약금 계산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지연이자 절차 상세화</t>
    </r>
  </si>
  <si>
    <r>
      <rPr>
        <b val="true"/>
        <sz val="10"/>
        <rFont val="DejaVu Sans"/>
        <family val="2"/>
      </rPr>
      <t xml:space="preserve">불가항력 </t>
    </r>
    <r>
      <rPr>
        <b val="true"/>
        <sz val="10"/>
        <rFont val="Arial"/>
        <family val="0"/>
        <charset val="1"/>
      </rPr>
      <t xml:space="preserve">(Điều 10)</t>
    </r>
  </si>
  <si>
    <r>
      <rPr>
        <sz val="10"/>
        <rFont val="DejaVu Sans"/>
        <family val="2"/>
      </rPr>
      <t xml:space="preserve">간략 규정
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이전 계약 </t>
    </r>
    <r>
      <rPr>
        <sz val="10"/>
        <rFont val="Arial"/>
        <family val="0"/>
        <charset val="1"/>
      </rPr>
      <t xml:space="preserve">Điều 2.12)</t>
    </r>
  </si>
  <si>
    <r>
      <rPr>
        <sz val="10"/>
        <rFont val="DejaVu Sans"/>
        <family val="2"/>
      </rPr>
      <t xml:space="preserve">상세 규정
</t>
    </r>
    <r>
      <rPr>
        <sz val="10"/>
        <rFont val="Arial"/>
        <family val="0"/>
        <charset val="1"/>
      </rPr>
      <t xml:space="preserve">(180</t>
    </r>
    <r>
      <rPr>
        <sz val="10"/>
        <rFont val="DejaVu Sans"/>
        <family val="2"/>
      </rPr>
      <t xml:space="preserve">일 연속시 해지권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</si>
  <si>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color rgb="FFC00000"/>
        <rFont val="Arial"/>
        <family val="0"/>
        <charset val="1"/>
      </rPr>
      <t xml:space="preserve">⚠️ 180</t>
    </r>
    <r>
      <rPr>
        <b val="true"/>
        <sz val="10"/>
        <color rgb="FFC00000"/>
        <rFont val="DejaVu Sans"/>
        <family val="2"/>
      </rPr>
      <t xml:space="preserve">일 연속 불가항력시 일방 해지 가능</t>
    </r>
    <r>
      <rPr>
        <b val="true"/>
        <sz val="10"/>
        <color rgb="FFC00000"/>
        <rFont val="Arial"/>
        <family val="0"/>
        <charset val="1"/>
      </rPr>
      <t xml:space="preserve">. 60</t>
    </r>
    <r>
      <rPr>
        <b val="true"/>
        <sz val="10"/>
        <color rgb="FFC00000"/>
        <rFont val="DejaVu Sans"/>
        <family val="2"/>
      </rPr>
      <t xml:space="preserve">일전 서면통보 필요</t>
    </r>
    <r>
      <rPr>
        <b val="true"/>
        <sz val="10"/>
        <color rgb="FFC00000"/>
        <rFont val="Arial"/>
        <family val="0"/>
        <charset val="1"/>
      </rPr>
      <t xml:space="preserve">.</t>
    </r>
  </si>
  <si>
    <t xml:space="preserve">통지 및 커뮤니케이션</t>
  </si>
  <si>
    <t xml:space="preserve">통보 방법</t>
  </si>
  <si>
    <r>
      <rPr>
        <sz val="10"/>
        <rFont val="DejaVu Sans"/>
        <family val="2"/>
      </rPr>
      <t xml:space="preserve">문서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문자</t>
    </r>
    <r>
      <rPr>
        <sz val="10"/>
        <rFont val="Arial"/>
        <family val="0"/>
        <charset val="1"/>
      </rPr>
      <t xml:space="preserve">,
</t>
    </r>
    <r>
      <rPr>
        <sz val="10"/>
        <rFont val="DejaVu Sans"/>
        <family val="2"/>
      </rPr>
      <t xml:space="preserve">대중매체</t>
    </r>
  </si>
  <si>
    <r>
      <rPr>
        <sz val="10"/>
        <rFont val="DejaVu Sans"/>
        <family val="2"/>
      </rPr>
      <t xml:space="preserve">문서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전화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문자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이메일</t>
    </r>
    <r>
      <rPr>
        <sz val="10"/>
        <rFont val="Arial"/>
        <family val="0"/>
        <charset val="1"/>
      </rPr>
      <t xml:space="preserve">,
Zalo, Brandname SMS,
</t>
    </r>
    <r>
      <rPr>
        <sz val="10"/>
        <rFont val="DejaVu Sans"/>
        <family val="2"/>
      </rPr>
      <t xml:space="preserve">웹사이트</t>
    </r>
  </si>
  <si>
    <r>
      <rPr>
        <sz val="10"/>
        <rFont val="DejaVu Sans"/>
        <family val="2"/>
      </rPr>
      <t xml:space="preserve">디지털 통신수단 대폭 추가</t>
    </r>
    <r>
      <rPr>
        <sz val="10"/>
        <rFont val="Arial"/>
        <family val="0"/>
        <charset val="1"/>
      </rPr>
      <t xml:space="preserve">. Zalo </t>
    </r>
    <r>
      <rPr>
        <sz val="10"/>
        <rFont val="DejaVu Sans"/>
        <family val="2"/>
      </rPr>
      <t xml:space="preserve">앱 포함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</si>
  <si>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담당자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벤</t>
    </r>
    <r>
      <rPr>
        <b val="true"/>
        <sz val="10"/>
        <rFont val="Arial"/>
        <family val="0"/>
        <charset val="1"/>
      </rPr>
      <t xml:space="preserve">B)</t>
    </r>
  </si>
  <si>
    <t xml:space="preserve">1. Nguyễn Viết Luân
2. Bùi Văn Ngọc</t>
  </si>
  <si>
    <t xml:space="preserve">1. Nguyễn Viết Luân</t>
  </si>
  <si>
    <r>
      <rPr>
        <sz val="10"/>
        <rFont val="DejaVu Sans"/>
        <family val="2"/>
      </rPr>
      <t xml:space="preserve">담당자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명 축소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비상시 연락 체계 확인 필요</t>
    </r>
    <r>
      <rPr>
        <sz val="10"/>
        <rFont val="Arial"/>
        <family val="0"/>
        <charset val="1"/>
      </rPr>
      <t xml:space="preserve">.</t>
    </r>
  </si>
  <si>
    <t xml:space="preserve">사용목적 변경 통보</t>
  </si>
  <si>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일전 통보</t>
    </r>
  </si>
  <si>
    <t xml:space="preserve">해지 및 분쟁 해결</t>
  </si>
  <si>
    <r>
      <rPr>
        <b val="true"/>
        <sz val="10"/>
        <rFont val="DejaVu Sans"/>
        <family val="2"/>
      </rPr>
      <t xml:space="preserve">벤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DejaVu Sans"/>
        <family val="2"/>
      </rPr>
      <t xml:space="preserve">일방해지 사유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</si>
  <si>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개월 미사용시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</si>
  <si>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개월 미사용시</t>
    </r>
  </si>
  <si>
    <r>
      <rPr>
        <sz val="10"/>
        <rFont val="DejaVu Sans"/>
        <family val="2"/>
      </rPr>
      <t xml:space="preserve">벤</t>
    </r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에게 유리하게 변경 </t>
    </r>
    <r>
      <rPr>
        <sz val="10"/>
        <rFont val="Arial"/>
        <family val="0"/>
        <charset val="1"/>
      </rPr>
      <t xml:space="preserve">(3</t>
    </r>
    <r>
      <rPr>
        <sz val="10"/>
        <rFont val="DejaVu Sans"/>
        <family val="2"/>
      </rPr>
      <t xml:space="preserve">개월→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</si>
  <si>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해지 절차</t>
  </si>
  <si>
    <t xml:space="preserve">간략 규정</t>
  </si>
  <si>
    <r>
      <rPr>
        <sz val="10"/>
        <rFont val="DejaVu Sans"/>
        <family val="2"/>
      </rPr>
      <t xml:space="preserve">상세 절차 </t>
    </r>
    <r>
      <rPr>
        <sz val="10"/>
        <rFont val="Arial"/>
        <family val="0"/>
        <charset val="1"/>
      </rPr>
      <t xml:space="preserve">(Điều 17)
17.1~17.2</t>
    </r>
  </si>
  <si>
    <r>
      <rPr>
        <b val="true"/>
        <sz val="10"/>
        <color rgb="FFC00000"/>
        <rFont val="DejaVu Sans"/>
        <family val="2"/>
      </rPr>
      <t xml:space="preserve">⚠️ 해지 통보</t>
    </r>
    <r>
      <rPr>
        <b val="true"/>
        <sz val="10"/>
        <color rgb="FFC00000"/>
        <rFont val="Arial"/>
        <family val="0"/>
        <charset val="1"/>
      </rPr>
      <t xml:space="preserve">/</t>
    </r>
    <r>
      <rPr>
        <b val="true"/>
        <sz val="10"/>
        <color rgb="FFC00000"/>
        <rFont val="DejaVu Sans"/>
        <family val="2"/>
      </rPr>
      <t xml:space="preserve">처리 절차 대폭 상세화</t>
    </r>
  </si>
  <si>
    <t xml:space="preserve">분쟁 해결</t>
  </si>
  <si>
    <r>
      <rPr>
        <sz val="10"/>
        <rFont val="DejaVu Sans"/>
        <family val="2"/>
      </rPr>
      <t xml:space="preserve">협상→제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자→법원</t>
    </r>
  </si>
  <si>
    <r>
      <rPr>
        <sz val="10"/>
        <rFont val="Arial"/>
        <family val="0"/>
        <charset val="1"/>
      </rPr>
      <t xml:space="preserve">90</t>
    </r>
    <r>
      <rPr>
        <sz val="10"/>
        <rFont val="DejaVu Sans"/>
        <family val="2"/>
      </rPr>
      <t xml:space="preserve">일 협상→법원</t>
    </r>
  </si>
  <si>
    <r>
      <rPr>
        <sz val="10"/>
        <rFont val="DejaVu Sans"/>
        <family val="2"/>
      </rPr>
      <t xml:space="preserve">분쟁 해결 기한 명시 </t>
    </r>
    <r>
      <rPr>
        <sz val="10"/>
        <rFont val="Arial"/>
        <family val="0"/>
        <charset val="1"/>
      </rPr>
      <t xml:space="preserve">(90</t>
    </r>
    <r>
      <rPr>
        <sz val="10"/>
        <rFont val="DejaVu Sans"/>
        <family val="2"/>
      </rPr>
      <t xml:space="preserve">일</t>
    </r>
    <r>
      <rPr>
        <sz val="10"/>
        <rFont val="Arial"/>
        <family val="0"/>
        <charset val="1"/>
      </rPr>
      <t xml:space="preserve">). </t>
    </r>
    <r>
      <rPr>
        <sz val="10"/>
        <rFont val="DejaVu Sans"/>
        <family val="2"/>
      </rPr>
      <t xml:space="preserve">제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자 조정 단계 삭제</t>
    </r>
    <r>
      <rPr>
        <sz val="10"/>
        <rFont val="Arial"/>
        <family val="0"/>
        <charset val="1"/>
      </rPr>
      <t xml:space="preserve">.</t>
    </r>
  </si>
  <si>
    <t xml:space="preserve">준거법</t>
  </si>
  <si>
    <r>
      <rPr>
        <sz val="10"/>
        <rFont val="DejaVu Sans"/>
        <family val="2"/>
      </rPr>
      <t xml:space="preserve">베트남법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암묵적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</si>
  <si>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베트남법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명시적</t>
    </r>
    <r>
      <rPr>
        <sz val="10"/>
        <rFont val="Arial"/>
        <family val="0"/>
        <charset val="1"/>
      </rPr>
      <t xml:space="preserve">)
Điều 13</t>
    </r>
  </si>
  <si>
    <t xml:space="preserve">준거법 조항 명시적 추가</t>
  </si>
  <si>
    <t xml:space="preserve">신규 추가 조항</t>
  </si>
  <si>
    <r>
      <rPr>
        <b val="true"/>
        <sz val="10"/>
        <rFont val="DejaVu Sans"/>
        <family val="2"/>
      </rPr>
      <t xml:space="preserve">보안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DejaVu Sans"/>
        <family val="2"/>
      </rPr>
      <t xml:space="preserve">정보보호 </t>
    </r>
    <r>
      <rPr>
        <b val="true"/>
        <sz val="10"/>
        <rFont val="Arial"/>
        <family val="0"/>
        <charset val="1"/>
      </rPr>
      <t xml:space="preserve">(14.2.j)</t>
    </r>
  </si>
  <si>
    <t xml:space="preserve">계약 정보 보안 의무
신규 추가</t>
  </si>
  <si>
    <t xml:space="preserve">양 당사자 정보보호 의무 신설</t>
  </si>
  <si>
    <r>
      <rPr>
        <b val="true"/>
        <sz val="10"/>
        <rFont val="DejaVu Sans"/>
        <family val="2"/>
      </rPr>
      <t xml:space="preserve">권리양도 제한 </t>
    </r>
    <r>
      <rPr>
        <b val="true"/>
        <sz val="10"/>
        <rFont val="Arial"/>
        <family val="0"/>
        <charset val="1"/>
      </rPr>
      <t xml:space="preserve">(14.2.i)</t>
    </r>
  </si>
  <si>
    <r>
      <rPr>
        <sz val="10"/>
        <rFont val="DejaVu Sans"/>
        <family val="2"/>
      </rPr>
      <t xml:space="preserve">벤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승인 없이
권리양도 금지</t>
    </r>
  </si>
  <si>
    <r>
      <rPr>
        <b val="true"/>
        <sz val="10"/>
        <color rgb="FFC00000"/>
        <rFont val="DejaVu Sans"/>
        <family val="2"/>
      </rPr>
      <t xml:space="preserve">⚠️ 벤</t>
    </r>
    <r>
      <rPr>
        <b val="true"/>
        <sz val="10"/>
        <color rgb="FFC00000"/>
        <rFont val="Arial"/>
        <family val="0"/>
        <charset val="1"/>
      </rPr>
      <t xml:space="preserve">B</t>
    </r>
    <r>
      <rPr>
        <b val="true"/>
        <sz val="10"/>
        <color rgb="FFC00000"/>
        <rFont val="DejaVu Sans"/>
        <family val="2"/>
      </rPr>
      <t xml:space="preserve">의 계약상 지위 양도 제한</t>
    </r>
    <r>
      <rPr>
        <b val="true"/>
        <sz val="10"/>
        <color rgb="FFC00000"/>
        <rFont val="Arial"/>
        <family val="0"/>
        <charset val="1"/>
      </rPr>
      <t xml:space="preserve">. M&amp;A</t>
    </r>
    <r>
      <rPr>
        <b val="true"/>
        <sz val="10"/>
        <color rgb="FFC00000"/>
        <rFont val="DejaVu Sans"/>
        <family val="2"/>
      </rPr>
      <t xml:space="preserve">시 주의 필요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</si>
  <si>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전기요금 자동변경 </t>
    </r>
    <r>
      <rPr>
        <b val="true"/>
        <sz val="10"/>
        <rFont val="Arial"/>
        <family val="0"/>
        <charset val="1"/>
      </rPr>
      <t xml:space="preserve">(9.4)</t>
    </r>
  </si>
  <si>
    <t xml:space="preserve">정부 요금변경시
자동 적용</t>
  </si>
  <si>
    <r>
      <rPr>
        <b val="true"/>
        <sz val="10"/>
        <color rgb="FFC00000"/>
        <rFont val="DejaVu Sans"/>
        <family val="2"/>
      </rPr>
      <t xml:space="preserve">⚠️ 요금 인상시 자동 반영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DejaVu Sans"/>
        <family val="2"/>
      </rPr>
      <t xml:space="preserve">별도 계약 변경 불필요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</si>
  <si>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b val="true"/>
        <sz val="10"/>
        <rFont val="DejaVu Sans"/>
        <family val="2"/>
      </rPr>
      <t xml:space="preserve">지점사용 제한 </t>
    </r>
    <r>
      <rPr>
        <b val="true"/>
        <sz val="10"/>
        <rFont val="Arial"/>
        <family val="0"/>
        <charset val="1"/>
      </rPr>
      <t xml:space="preserve">(3.5)</t>
    </r>
  </si>
  <si>
    <r>
      <rPr>
        <sz val="10"/>
        <rFont val="DejaVu Sans"/>
        <family val="2"/>
      </rPr>
      <t xml:space="preserve">소유권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사용권 상실시
벤</t>
    </r>
    <r>
      <rPr>
        <sz val="10"/>
        <rFont val="Arial"/>
        <family val="0"/>
        <charset val="1"/>
      </rPr>
      <t xml:space="preserve">A </t>
    </r>
    <r>
      <rPr>
        <sz val="10"/>
        <rFont val="DejaVu Sans"/>
        <family val="2"/>
      </rPr>
      <t xml:space="preserve">해지권</t>
    </r>
  </si>
  <si>
    <r>
      <rPr>
        <b val="true"/>
        <sz val="10"/>
        <color rgb="FFC00000"/>
        <rFont val="DejaVu Sans"/>
        <family val="2"/>
      </rPr>
      <t xml:space="preserve">⚠️ 부지 소유권</t>
    </r>
    <r>
      <rPr>
        <b val="true"/>
        <sz val="10"/>
        <color rgb="FFC00000"/>
        <rFont val="Arial"/>
        <family val="0"/>
        <charset val="1"/>
      </rPr>
      <t xml:space="preserve">/</t>
    </r>
    <r>
      <rPr>
        <b val="true"/>
        <sz val="10"/>
        <color rgb="FFC00000"/>
        <rFont val="DejaVu Sans"/>
        <family val="2"/>
      </rPr>
      <t xml:space="preserve">사용권 관련 새로운 해지사유 추가</t>
    </r>
  </si>
  <si>
    <r>
      <rPr>
        <b val="true"/>
        <sz val="10"/>
        <rFont val="DejaVu Sans"/>
        <family val="2"/>
      </rPr>
      <t xml:space="preserve">보증금 연간조정 </t>
    </r>
    <r>
      <rPr>
        <b val="true"/>
        <sz val="10"/>
        <rFont val="Arial"/>
        <family val="0"/>
        <charset val="1"/>
      </rPr>
      <t xml:space="preserve">(8.4)</t>
    </r>
  </si>
  <si>
    <r>
      <rPr>
        <sz val="10"/>
        <rFont val="DejaVu Sans"/>
        <family val="2"/>
      </rPr>
      <t xml:space="preserve">매년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 전년 실적
기준 보증금 조정</t>
    </r>
  </si>
  <si>
    <t xml:space="preserve">⚠️ 사용량 증가시 보증금 추가 납부 가능성</t>
  </si>
  <si>
    <r>
      <rPr>
        <b val="true"/>
        <sz val="14"/>
        <color rgb="FFFFFFFF"/>
        <rFont val="DejaVu Sans"/>
        <family val="2"/>
      </rPr>
      <t xml:space="preserve">전기요금 비교 </t>
    </r>
    <r>
      <rPr>
        <b val="true"/>
        <sz val="14"/>
        <color rgb="FFFFFFFF"/>
        <rFont val="Arial"/>
        <family val="0"/>
        <charset val="1"/>
      </rPr>
      <t xml:space="preserve">(đ/kWh, VAT </t>
    </r>
    <r>
      <rPr>
        <b val="true"/>
        <sz val="14"/>
        <color rgb="FFFFFFFF"/>
        <rFont val="DejaVu Sans"/>
        <family val="2"/>
      </rPr>
      <t xml:space="preserve">미포함</t>
    </r>
    <r>
      <rPr>
        <b val="true"/>
        <sz val="14"/>
        <color rgb="FFFFFFFF"/>
        <rFont val="Arial"/>
        <family val="0"/>
        <charset val="1"/>
      </rPr>
      <t xml:space="preserve">)</t>
    </r>
  </si>
  <si>
    <t xml:space="preserve">시간대</t>
  </si>
  <si>
    <r>
      <rPr>
        <b val="true"/>
        <sz val="11"/>
        <color rgb="FFFFFFFF"/>
        <rFont val="DejaVu Sans"/>
        <family val="2"/>
      </rPr>
      <t xml:space="preserve">이전 계약
</t>
    </r>
    <r>
      <rPr>
        <b val="true"/>
        <sz val="11"/>
        <color rgb="FFFFFFFF"/>
        <rFont val="Arial"/>
        <family val="0"/>
        <charset val="1"/>
      </rPr>
      <t xml:space="preserve">(2019.03.20~)</t>
    </r>
  </si>
  <si>
    <r>
      <rPr>
        <b val="true"/>
        <sz val="11"/>
        <color rgb="FFFFFFFF"/>
        <rFont val="DejaVu Sans"/>
        <family val="2"/>
      </rPr>
      <t xml:space="preserve">신규 계약
</t>
    </r>
    <r>
      <rPr>
        <b val="true"/>
        <sz val="11"/>
        <color rgb="FFFFFFFF"/>
        <rFont val="Arial"/>
        <family val="0"/>
        <charset val="1"/>
      </rPr>
      <t xml:space="preserve">(2025.05.10~)</t>
    </r>
  </si>
  <si>
    <t xml:space="preserve">인상액</t>
  </si>
  <si>
    <t xml:space="preserve">인상률</t>
  </si>
  <si>
    <r>
      <rPr>
        <b val="true"/>
        <sz val="11"/>
        <rFont val="DejaVu Sans"/>
        <family val="2"/>
      </rPr>
      <t xml:space="preserve">일반시간 </t>
    </r>
    <r>
      <rPr>
        <b val="true"/>
        <sz val="11"/>
        <rFont val="Arial"/>
        <family val="0"/>
        <charset val="1"/>
      </rPr>
      <t xml:space="preserve">(BT)</t>
    </r>
  </si>
  <si>
    <r>
      <rPr>
        <b val="true"/>
        <sz val="11"/>
        <rFont val="DejaVu Sans"/>
        <family val="2"/>
      </rPr>
      <t xml:space="preserve">피크시간 </t>
    </r>
    <r>
      <rPr>
        <b val="true"/>
        <sz val="11"/>
        <rFont val="Arial"/>
        <family val="0"/>
        <charset val="1"/>
      </rPr>
      <t xml:space="preserve">(CĐ)</t>
    </r>
  </si>
  <si>
    <r>
      <rPr>
        <b val="true"/>
        <sz val="11"/>
        <rFont val="DejaVu Sans"/>
        <family val="2"/>
      </rPr>
      <t xml:space="preserve">저부하시간 </t>
    </r>
    <r>
      <rPr>
        <b val="true"/>
        <sz val="11"/>
        <rFont val="Arial"/>
        <family val="0"/>
        <charset val="1"/>
      </rPr>
      <t xml:space="preserve">(TĐ)</t>
    </r>
  </si>
  <si>
    <r>
      <rPr>
        <b val="true"/>
        <sz val="11"/>
        <color rgb="FF2F5496"/>
        <rFont val="DejaVu Sans"/>
        <family val="2"/>
      </rPr>
      <t xml:space="preserve">월 예상 전기요금 변동 추정 </t>
    </r>
    <r>
      <rPr>
        <b val="true"/>
        <sz val="11"/>
        <color rgb="FF2F5496"/>
        <rFont val="Arial"/>
        <family val="0"/>
        <charset val="1"/>
      </rPr>
      <t xml:space="preserve">(Atb 3,634,800 kWh </t>
    </r>
    <r>
      <rPr>
        <b val="true"/>
        <sz val="11"/>
        <color rgb="FF2F5496"/>
        <rFont val="DejaVu Sans"/>
        <family val="2"/>
      </rPr>
      <t xml:space="preserve">기준</t>
    </r>
    <r>
      <rPr>
        <b val="true"/>
        <sz val="11"/>
        <color rgb="FF2F5496"/>
        <rFont val="Arial"/>
        <family val="0"/>
        <charset val="1"/>
      </rPr>
      <t xml:space="preserve">, </t>
    </r>
    <r>
      <rPr>
        <b val="true"/>
        <sz val="11"/>
        <color rgb="FF2F5496"/>
        <rFont val="DejaVu Sans"/>
        <family val="2"/>
      </rPr>
      <t xml:space="preserve">산출용 가중평균</t>
    </r>
    <r>
      <rPr>
        <b val="true"/>
        <sz val="11"/>
        <color rgb="FF2F5496"/>
        <rFont val="Arial"/>
        <family val="0"/>
        <charset val="1"/>
      </rPr>
      <t xml:space="preserve">)</t>
    </r>
  </si>
  <si>
    <t xml:space="preserve">구분</t>
  </si>
  <si>
    <r>
      <rPr>
        <b val="true"/>
        <sz val="11"/>
        <color rgb="FFFFFFFF"/>
        <rFont val="DejaVu Sans"/>
        <family val="2"/>
      </rPr>
      <t xml:space="preserve">이전 계약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추정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</si>
  <si>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신규 계약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추정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</si>
  <si>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차이</t>
  </si>
  <si>
    <t xml:space="preserve">증가율</t>
  </si>
  <si>
    <r>
      <rPr>
        <b val="true"/>
        <sz val="10"/>
        <rFont val="DejaVu Sans"/>
        <family val="2"/>
      </rPr>
      <t xml:space="preserve">가중평균 단가
</t>
    </r>
    <r>
      <rPr>
        <b val="true"/>
        <sz val="10"/>
        <rFont val="Arial"/>
        <family val="0"/>
        <charset val="1"/>
      </rPr>
      <t xml:space="preserve">(đ/kWh)</t>
    </r>
  </si>
  <si>
    <r>
      <rPr>
        <b val="true"/>
        <sz val="10"/>
        <rFont val="DejaVu Sans"/>
        <family val="2"/>
      </rPr>
      <t xml:space="preserve">월 전기요금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백만 </t>
    </r>
    <r>
      <rPr>
        <b val="true"/>
        <sz val="10"/>
        <rFont val="Arial"/>
        <family val="0"/>
        <charset val="1"/>
      </rPr>
      <t xml:space="preserve">VND)</t>
    </r>
  </si>
  <si>
    <r>
      <rPr>
        <i val="true"/>
        <sz val="9"/>
        <color rgb="FF666666"/>
        <rFont val="DejaVu Sans"/>
        <family val="2"/>
      </rPr>
      <t xml:space="preserve">※ 가중평균은 일반시간 </t>
    </r>
    <r>
      <rPr>
        <i val="true"/>
        <sz val="9"/>
        <color rgb="FF666666"/>
        <rFont val="Arial"/>
        <family val="0"/>
        <charset val="1"/>
      </rPr>
      <t xml:space="preserve">50%, </t>
    </r>
    <r>
      <rPr>
        <i val="true"/>
        <sz val="9"/>
        <color rgb="FF666666"/>
        <rFont val="DejaVu Sans"/>
        <family val="2"/>
      </rPr>
      <t xml:space="preserve">피크시간 </t>
    </r>
    <r>
      <rPr>
        <i val="true"/>
        <sz val="9"/>
        <color rgb="FF666666"/>
        <rFont val="Arial"/>
        <family val="0"/>
        <charset val="1"/>
      </rPr>
      <t xml:space="preserve">25%, </t>
    </r>
    <r>
      <rPr>
        <i val="true"/>
        <sz val="9"/>
        <color rgb="FF666666"/>
        <rFont val="DejaVu Sans"/>
        <family val="2"/>
      </rPr>
      <t xml:space="preserve">저부하시간 </t>
    </r>
    <r>
      <rPr>
        <i val="true"/>
        <sz val="9"/>
        <color rgb="FF666666"/>
        <rFont val="Arial"/>
        <family val="0"/>
        <charset val="1"/>
      </rPr>
      <t xml:space="preserve">25%</t>
    </r>
    <r>
      <rPr>
        <i val="true"/>
        <sz val="9"/>
        <color rgb="FF666666"/>
        <rFont val="DejaVu Sans"/>
        <family val="2"/>
      </rPr>
      <t xml:space="preserve">로 가정한 추정치입니다</t>
    </r>
    <r>
      <rPr>
        <i val="true"/>
        <sz val="9"/>
        <color rgb="FF66666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</si>
</sst>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i val="true"/>
      <sz val="10"/>
      <color rgb="FF2F5496"/>
      <name val="Arial"/>
      <family val="0"/>
      <charset val="1"/>
    </font>
    <font>
      <i val="true"/>
      <sz val="10"/>
      <color rgb="FF2F5496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2F5496"/>
      <name val="DejaVu Sans"/>
      <family val="2"/>
    </font>
    <font>
      <sz val="10"/>
      <name val="Arial"/>
      <family val="0"/>
      <charset val="1"/>
    </font>
    <font>
      <b val="true"/>
      <sz val="10"/>
      <name val="DejaVu Sans"/>
      <family val="2"/>
    </font>
    <font>
      <sz val="10"/>
      <name val="DejaVu Sans"/>
      <family val="2"/>
    </font>
    <font>
      <b val="true"/>
      <sz val="10"/>
      <color rgb="FFC00000"/>
      <name val="DejaVu Sans"/>
      <family val="2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DejaVu Sans"/>
      <family val="2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color rgb="FF666666"/>
      <name val="DejaVu Sans"/>
      <family val="2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2F5496"/>
      </patternFill>
    </fill>
    <fill>
      <patternFill patternType="solid">
        <fgColor rgb="FFD6E4F0"/>
        <bgColor rgb="FFE2EFDA"/>
      </patternFill>
    </fill>
    <fill>
      <patternFill patternType="solid">
        <fgColor rgb="FFFFF2CC"/>
        <bgColor rgb="FFFCE4EC"/>
      </patternFill>
    </fill>
    <fill>
      <patternFill patternType="solid">
        <fgColor rgb="FFFCE4EC"/>
        <bgColor rgb="FFFFF2CC"/>
      </patternFill>
    </fill>
    <fill>
      <patternFill patternType="solid">
        <fgColor rgb="FFE2EFDA"/>
        <bgColor rgb="FFD6E4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4" min="3" style="0" width="35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7.9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4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4.75" hidden="false" customHeight="true" outlineLevel="0" collapsed="false">
      <c r="A5" s="5" t="s">
        <v>8</v>
      </c>
      <c r="B5" s="5"/>
      <c r="C5" s="5"/>
      <c r="D5" s="5"/>
      <c r="E5" s="5"/>
      <c r="F5" s="5"/>
    </row>
    <row r="6" customFormat="false" ht="45" hidden="false" customHeight="true" outlineLevel="0" collapsed="false">
      <c r="A6" s="6" t="n">
        <v>1</v>
      </c>
      <c r="B6" s="7" t="s">
        <v>9</v>
      </c>
      <c r="C6" s="8" t="s">
        <v>10</v>
      </c>
      <c r="D6" s="8" t="s">
        <v>11</v>
      </c>
      <c r="E6" s="9" t="s">
        <v>12</v>
      </c>
      <c r="F6" s="10" t="s">
        <v>13</v>
      </c>
    </row>
    <row r="7" customFormat="false" ht="45" hidden="false" customHeight="true" outlineLevel="0" collapsed="false">
      <c r="A7" s="6" t="n">
        <v>2</v>
      </c>
      <c r="B7" s="7" t="s">
        <v>14</v>
      </c>
      <c r="C7" s="8" t="s">
        <v>15</v>
      </c>
      <c r="D7" s="8" t="s">
        <v>16</v>
      </c>
      <c r="E7" s="9" t="s">
        <v>12</v>
      </c>
      <c r="F7" s="10" t="s">
        <v>17</v>
      </c>
    </row>
    <row r="8" customFormat="false" ht="45" hidden="false" customHeight="true" outlineLevel="0" collapsed="false">
      <c r="A8" s="6" t="n">
        <v>3</v>
      </c>
      <c r="B8" s="7" t="s">
        <v>18</v>
      </c>
      <c r="C8" s="8" t="s">
        <v>19</v>
      </c>
      <c r="D8" s="8" t="s">
        <v>20</v>
      </c>
      <c r="E8" s="9" t="s">
        <v>12</v>
      </c>
      <c r="F8" s="11" t="s">
        <v>21</v>
      </c>
    </row>
    <row r="9" customFormat="false" ht="45" hidden="false" customHeight="true" outlineLevel="0" collapsed="false">
      <c r="A9" s="6" t="n">
        <v>4</v>
      </c>
      <c r="B9" s="7" t="s">
        <v>22</v>
      </c>
      <c r="C9" s="8" t="s">
        <v>23</v>
      </c>
      <c r="D9" s="8" t="s">
        <v>24</v>
      </c>
      <c r="E9" s="9" t="s">
        <v>12</v>
      </c>
      <c r="F9" s="10" t="s">
        <v>25</v>
      </c>
    </row>
    <row r="10" customFormat="false" ht="45" hidden="false" customHeight="true" outlineLevel="0" collapsed="false">
      <c r="A10" s="6" t="n">
        <v>5</v>
      </c>
      <c r="B10" s="7" t="s">
        <v>26</v>
      </c>
      <c r="C10" s="8" t="s">
        <v>27</v>
      </c>
      <c r="D10" s="8" t="s">
        <v>28</v>
      </c>
      <c r="E10" s="9" t="s">
        <v>12</v>
      </c>
      <c r="F10" s="10" t="s">
        <v>29</v>
      </c>
    </row>
    <row r="11" customFormat="false" ht="24.75" hidden="false" customHeight="true" outlineLevel="0" collapsed="false">
      <c r="A11" s="5" t="s">
        <v>30</v>
      </c>
      <c r="B11" s="5"/>
      <c r="C11" s="5"/>
      <c r="D11" s="5"/>
      <c r="E11" s="5"/>
      <c r="F11" s="5"/>
    </row>
    <row r="12" customFormat="false" ht="45" hidden="false" customHeight="true" outlineLevel="0" collapsed="false">
      <c r="A12" s="12" t="n">
        <v>6</v>
      </c>
      <c r="B12" s="13" t="s">
        <v>31</v>
      </c>
      <c r="C12" s="14" t="s">
        <v>32</v>
      </c>
      <c r="D12" s="14" t="s">
        <v>33</v>
      </c>
      <c r="E12" s="15" t="s">
        <v>34</v>
      </c>
      <c r="F12" s="14"/>
    </row>
    <row r="13" customFormat="false" ht="45" hidden="false" customHeight="true" outlineLevel="0" collapsed="false">
      <c r="A13" s="12" t="n">
        <v>7</v>
      </c>
      <c r="B13" s="13" t="s">
        <v>35</v>
      </c>
      <c r="C13" s="16" t="s">
        <v>36</v>
      </c>
      <c r="D13" s="16" t="s">
        <v>37</v>
      </c>
      <c r="E13" s="15" t="s">
        <v>34</v>
      </c>
      <c r="F13" s="14" t="s">
        <v>38</v>
      </c>
    </row>
    <row r="14" customFormat="false" ht="45" hidden="false" customHeight="true" outlineLevel="0" collapsed="false">
      <c r="A14" s="12" t="n">
        <v>8</v>
      </c>
      <c r="B14" s="13" t="s">
        <v>39</v>
      </c>
      <c r="C14" s="16" t="s">
        <v>40</v>
      </c>
      <c r="D14" s="16" t="s">
        <v>40</v>
      </c>
      <c r="E14" s="15" t="s">
        <v>34</v>
      </c>
      <c r="F14" s="16"/>
    </row>
    <row r="15" customFormat="false" ht="45" hidden="false" customHeight="true" outlineLevel="0" collapsed="false">
      <c r="A15" s="6" t="n">
        <v>9</v>
      </c>
      <c r="B15" s="7" t="s">
        <v>41</v>
      </c>
      <c r="C15" s="8" t="s">
        <v>42</v>
      </c>
      <c r="D15" s="8" t="s">
        <v>43</v>
      </c>
      <c r="E15" s="9" t="s">
        <v>12</v>
      </c>
      <c r="F15" s="11" t="s">
        <v>44</v>
      </c>
    </row>
    <row r="16" customFormat="false" ht="45" hidden="false" customHeight="true" outlineLevel="0" collapsed="false">
      <c r="A16" s="6" t="n">
        <v>10</v>
      </c>
      <c r="B16" s="7" t="s">
        <v>45</v>
      </c>
      <c r="C16" s="8" t="s">
        <v>46</v>
      </c>
      <c r="D16" s="8" t="s">
        <v>47</v>
      </c>
      <c r="E16" s="9" t="s">
        <v>12</v>
      </c>
      <c r="F16" s="11" t="s">
        <v>48</v>
      </c>
    </row>
    <row r="17" customFormat="false" ht="45" hidden="false" customHeight="true" outlineLevel="0" collapsed="false">
      <c r="A17" s="6" t="n">
        <v>11</v>
      </c>
      <c r="B17" s="7" t="s">
        <v>49</v>
      </c>
      <c r="C17" s="8" t="s">
        <v>50</v>
      </c>
      <c r="D17" s="8" t="s">
        <v>51</v>
      </c>
      <c r="E17" s="9" t="s">
        <v>12</v>
      </c>
      <c r="F17" s="10" t="s">
        <v>52</v>
      </c>
    </row>
    <row r="18" customFormat="false" ht="45" hidden="false" customHeight="true" outlineLevel="0" collapsed="false">
      <c r="A18" s="6" t="n">
        <v>12</v>
      </c>
      <c r="B18" s="7" t="s">
        <v>53</v>
      </c>
      <c r="C18" s="8" t="s">
        <v>54</v>
      </c>
      <c r="D18" s="8" t="s">
        <v>55</v>
      </c>
      <c r="E18" s="9" t="s">
        <v>12</v>
      </c>
      <c r="F18" s="10" t="s">
        <v>56</v>
      </c>
    </row>
    <row r="19" customFormat="false" ht="24.75" hidden="false" customHeight="true" outlineLevel="0" collapsed="false">
      <c r="A19" s="5" t="s">
        <v>57</v>
      </c>
      <c r="B19" s="5"/>
      <c r="C19" s="5"/>
      <c r="D19" s="5"/>
      <c r="E19" s="5"/>
      <c r="F19" s="5"/>
    </row>
    <row r="20" customFormat="false" ht="45" hidden="false" customHeight="true" outlineLevel="0" collapsed="false">
      <c r="A20" s="12" t="n">
        <v>13</v>
      </c>
      <c r="B20" s="13" t="s">
        <v>58</v>
      </c>
      <c r="C20" s="16" t="s">
        <v>59</v>
      </c>
      <c r="D20" s="16" t="s">
        <v>59</v>
      </c>
      <c r="E20" s="15" t="s">
        <v>34</v>
      </c>
      <c r="F20" s="16"/>
    </row>
    <row r="21" customFormat="false" ht="45" hidden="false" customHeight="true" outlineLevel="0" collapsed="false">
      <c r="A21" s="6" t="n">
        <v>14</v>
      </c>
      <c r="B21" s="7" t="s">
        <v>60</v>
      </c>
      <c r="C21" s="8" t="s">
        <v>61</v>
      </c>
      <c r="D21" s="8" t="s">
        <v>62</v>
      </c>
      <c r="E21" s="9" t="s">
        <v>12</v>
      </c>
      <c r="F21" s="17" t="s">
        <v>63</v>
      </c>
    </row>
    <row r="22" customFormat="false" ht="45" hidden="false" customHeight="true" outlineLevel="0" collapsed="false">
      <c r="A22" s="12" t="n">
        <v>15</v>
      </c>
      <c r="B22" s="13" t="s">
        <v>64</v>
      </c>
      <c r="C22" s="16" t="s">
        <v>65</v>
      </c>
      <c r="D22" s="16" t="s">
        <v>65</v>
      </c>
      <c r="E22" s="15" t="s">
        <v>34</v>
      </c>
      <c r="F22" s="16"/>
    </row>
    <row r="23" customFormat="false" ht="45" hidden="false" customHeight="true" outlineLevel="0" collapsed="false">
      <c r="A23" s="12" t="n">
        <v>16</v>
      </c>
      <c r="B23" s="13" t="s">
        <v>66</v>
      </c>
      <c r="C23" s="16" t="s">
        <v>67</v>
      </c>
      <c r="D23" s="16" t="s">
        <v>67</v>
      </c>
      <c r="E23" s="15" t="s">
        <v>34</v>
      </c>
      <c r="F23" s="16"/>
    </row>
    <row r="24" customFormat="false" ht="45" hidden="false" customHeight="true" outlineLevel="0" collapsed="false">
      <c r="A24" s="12" t="n">
        <v>17</v>
      </c>
      <c r="B24" s="13" t="s">
        <v>68</v>
      </c>
      <c r="C24" s="16" t="s">
        <v>67</v>
      </c>
      <c r="D24" s="16" t="s">
        <v>67</v>
      </c>
      <c r="E24" s="15" t="s">
        <v>34</v>
      </c>
      <c r="F24" s="16"/>
    </row>
    <row r="25" customFormat="false" ht="24.75" hidden="false" customHeight="true" outlineLevel="0" collapsed="false">
      <c r="A25" s="5" t="s">
        <v>69</v>
      </c>
      <c r="B25" s="5"/>
      <c r="C25" s="5"/>
      <c r="D25" s="5"/>
      <c r="E25" s="5"/>
      <c r="F25" s="5"/>
    </row>
    <row r="26" customFormat="false" ht="45" hidden="false" customHeight="true" outlineLevel="0" collapsed="false">
      <c r="A26" s="6" t="n">
        <v>18</v>
      </c>
      <c r="B26" s="7" t="s">
        <v>70</v>
      </c>
      <c r="C26" s="8" t="s">
        <v>71</v>
      </c>
      <c r="D26" s="8" t="s">
        <v>72</v>
      </c>
      <c r="E26" s="9" t="s">
        <v>12</v>
      </c>
      <c r="F26" s="10" t="s">
        <v>73</v>
      </c>
    </row>
    <row r="27" customFormat="false" ht="45" hidden="false" customHeight="true" outlineLevel="0" collapsed="false">
      <c r="A27" s="6" t="n">
        <v>19</v>
      </c>
      <c r="B27" s="7" t="s">
        <v>74</v>
      </c>
      <c r="C27" s="8" t="s">
        <v>75</v>
      </c>
      <c r="D27" s="8" t="s">
        <v>76</v>
      </c>
      <c r="E27" s="9" t="s">
        <v>12</v>
      </c>
      <c r="F27" s="17" t="s">
        <v>77</v>
      </c>
    </row>
    <row r="28" customFormat="false" ht="45" hidden="false" customHeight="true" outlineLevel="0" collapsed="false">
      <c r="A28" s="6" t="n">
        <v>20</v>
      </c>
      <c r="B28" s="7" t="s">
        <v>78</v>
      </c>
      <c r="C28" s="8" t="s">
        <v>79</v>
      </c>
      <c r="D28" s="8" t="s">
        <v>80</v>
      </c>
      <c r="E28" s="9" t="s">
        <v>12</v>
      </c>
      <c r="F28" s="17" t="s">
        <v>81</v>
      </c>
    </row>
    <row r="29" customFormat="false" ht="45" hidden="false" customHeight="true" outlineLevel="0" collapsed="false">
      <c r="A29" s="6" t="n">
        <v>21</v>
      </c>
      <c r="B29" s="7" t="s">
        <v>82</v>
      </c>
      <c r="C29" s="8" t="s">
        <v>83</v>
      </c>
      <c r="D29" s="8" t="s">
        <v>84</v>
      </c>
      <c r="E29" s="9" t="s">
        <v>12</v>
      </c>
      <c r="F29" s="17" t="s">
        <v>85</v>
      </c>
    </row>
    <row r="30" customFormat="false" ht="45" hidden="false" customHeight="true" outlineLevel="0" collapsed="false">
      <c r="A30" s="12" t="n">
        <v>22</v>
      </c>
      <c r="B30" s="13" t="s">
        <v>86</v>
      </c>
      <c r="C30" s="14" t="s">
        <v>87</v>
      </c>
      <c r="D30" s="14" t="s">
        <v>33</v>
      </c>
      <c r="E30" s="15" t="s">
        <v>34</v>
      </c>
      <c r="F30" s="14" t="s">
        <v>88</v>
      </c>
    </row>
    <row r="31" customFormat="false" ht="24.75" hidden="false" customHeight="true" outlineLevel="0" collapsed="false">
      <c r="A31" s="5" t="s">
        <v>89</v>
      </c>
      <c r="B31" s="5"/>
      <c r="C31" s="5"/>
      <c r="D31" s="5"/>
      <c r="E31" s="5"/>
      <c r="F31" s="5"/>
    </row>
    <row r="32" customFormat="false" ht="45" hidden="false" customHeight="true" outlineLevel="0" collapsed="false">
      <c r="A32" s="12" t="n">
        <v>23</v>
      </c>
      <c r="B32" s="13" t="s">
        <v>90</v>
      </c>
      <c r="C32" s="16" t="s">
        <v>91</v>
      </c>
      <c r="D32" s="16" t="s">
        <v>91</v>
      </c>
      <c r="E32" s="15" t="s">
        <v>34</v>
      </c>
      <c r="F32" s="14" t="s">
        <v>92</v>
      </c>
    </row>
    <row r="33" customFormat="false" ht="45" hidden="false" customHeight="true" outlineLevel="0" collapsed="false">
      <c r="A33" s="12" t="n">
        <v>24</v>
      </c>
      <c r="B33" s="13" t="s">
        <v>93</v>
      </c>
      <c r="C33" s="16" t="s">
        <v>94</v>
      </c>
      <c r="D33" s="16" t="s">
        <v>94</v>
      </c>
      <c r="E33" s="15" t="s">
        <v>34</v>
      </c>
      <c r="F33" s="16"/>
    </row>
    <row r="34" customFormat="false" ht="45" hidden="false" customHeight="true" outlineLevel="0" collapsed="false">
      <c r="A34" s="6" t="n">
        <v>25</v>
      </c>
      <c r="B34" s="7" t="s">
        <v>95</v>
      </c>
      <c r="C34" s="10" t="s">
        <v>96</v>
      </c>
      <c r="D34" s="10" t="s">
        <v>97</v>
      </c>
      <c r="E34" s="9" t="s">
        <v>12</v>
      </c>
      <c r="F34" s="10" t="s">
        <v>98</v>
      </c>
    </row>
    <row r="35" customFormat="false" ht="24.75" hidden="false" customHeight="true" outlineLevel="0" collapsed="false">
      <c r="A35" s="5" t="s">
        <v>99</v>
      </c>
      <c r="B35" s="5"/>
      <c r="C35" s="5"/>
      <c r="D35" s="5"/>
      <c r="E35" s="5"/>
      <c r="F35" s="5"/>
    </row>
    <row r="36" customFormat="false" ht="45" hidden="false" customHeight="true" outlineLevel="0" collapsed="false">
      <c r="A36" s="6" t="n">
        <v>26</v>
      </c>
      <c r="B36" s="7" t="s">
        <v>100</v>
      </c>
      <c r="C36" s="10" t="s">
        <v>101</v>
      </c>
      <c r="D36" s="8" t="s">
        <v>102</v>
      </c>
      <c r="E36" s="9" t="s">
        <v>103</v>
      </c>
      <c r="F36" s="11" t="s">
        <v>104</v>
      </c>
    </row>
    <row r="37" customFormat="false" ht="45" hidden="false" customHeight="true" outlineLevel="0" collapsed="false">
      <c r="A37" s="18" t="n">
        <v>27</v>
      </c>
      <c r="B37" s="19" t="s">
        <v>105</v>
      </c>
      <c r="C37" s="20" t="s">
        <v>106</v>
      </c>
      <c r="D37" s="21" t="s">
        <v>107</v>
      </c>
      <c r="E37" s="22" t="s">
        <v>108</v>
      </c>
      <c r="F37" s="11" t="s">
        <v>109</v>
      </c>
    </row>
    <row r="38" customFormat="false" ht="45" hidden="false" customHeight="true" outlineLevel="0" collapsed="false">
      <c r="A38" s="6" t="n">
        <v>28</v>
      </c>
      <c r="B38" s="7" t="s">
        <v>110</v>
      </c>
      <c r="C38" s="10" t="s">
        <v>111</v>
      </c>
      <c r="D38" s="10" t="s">
        <v>112</v>
      </c>
      <c r="E38" s="9" t="s">
        <v>103</v>
      </c>
      <c r="F38" s="11" t="s">
        <v>113</v>
      </c>
    </row>
    <row r="39" customFormat="false" ht="45" hidden="false" customHeight="true" outlineLevel="0" collapsed="false">
      <c r="A39" s="6" t="n">
        <v>29</v>
      </c>
      <c r="B39" s="7" t="s">
        <v>114</v>
      </c>
      <c r="C39" s="8" t="s">
        <v>115</v>
      </c>
      <c r="D39" s="8" t="s">
        <v>116</v>
      </c>
      <c r="E39" s="9" t="s">
        <v>103</v>
      </c>
      <c r="F39" s="10" t="s">
        <v>117</v>
      </c>
    </row>
    <row r="40" customFormat="false" ht="45" hidden="false" customHeight="true" outlineLevel="0" collapsed="false">
      <c r="A40" s="6" t="n">
        <v>30</v>
      </c>
      <c r="B40" s="7" t="s">
        <v>118</v>
      </c>
      <c r="C40" s="10" t="s">
        <v>119</v>
      </c>
      <c r="D40" s="10" t="s">
        <v>120</v>
      </c>
      <c r="E40" s="9" t="s">
        <v>103</v>
      </c>
      <c r="F40" s="17" t="s">
        <v>121</v>
      </c>
    </row>
    <row r="41" customFormat="false" ht="24.75" hidden="false" customHeight="true" outlineLevel="0" collapsed="false">
      <c r="A41" s="5" t="s">
        <v>122</v>
      </c>
      <c r="B41" s="5"/>
      <c r="C41" s="5"/>
      <c r="D41" s="5"/>
      <c r="E41" s="5"/>
      <c r="F41" s="5"/>
    </row>
    <row r="42" customFormat="false" ht="45" hidden="false" customHeight="true" outlineLevel="0" collapsed="false">
      <c r="A42" s="6" t="n">
        <v>31</v>
      </c>
      <c r="B42" s="7" t="s">
        <v>123</v>
      </c>
      <c r="C42" s="10" t="s">
        <v>124</v>
      </c>
      <c r="D42" s="10" t="s">
        <v>125</v>
      </c>
      <c r="E42" s="9" t="s">
        <v>12</v>
      </c>
      <c r="F42" s="10" t="s">
        <v>126</v>
      </c>
    </row>
    <row r="43" customFormat="false" ht="45" hidden="false" customHeight="true" outlineLevel="0" collapsed="false">
      <c r="A43" s="6" t="n">
        <v>32</v>
      </c>
      <c r="B43" s="7" t="s">
        <v>127</v>
      </c>
      <c r="C43" s="8" t="s">
        <v>128</v>
      </c>
      <c r="D43" s="8" t="s">
        <v>129</v>
      </c>
      <c r="E43" s="9" t="s">
        <v>12</v>
      </c>
      <c r="F43" s="10" t="s">
        <v>130</v>
      </c>
    </row>
    <row r="44" customFormat="false" ht="45" hidden="false" customHeight="true" outlineLevel="0" collapsed="false">
      <c r="A44" s="12" t="n">
        <v>33</v>
      </c>
      <c r="B44" s="13" t="s">
        <v>131</v>
      </c>
      <c r="C44" s="16" t="s">
        <v>132</v>
      </c>
      <c r="D44" s="16" t="s">
        <v>132</v>
      </c>
      <c r="E44" s="15" t="s">
        <v>34</v>
      </c>
      <c r="F44" s="16"/>
    </row>
    <row r="45" customFormat="false" ht="24.75" hidden="false" customHeight="true" outlineLevel="0" collapsed="false">
      <c r="A45" s="5" t="s">
        <v>133</v>
      </c>
      <c r="B45" s="5"/>
      <c r="C45" s="5"/>
      <c r="D45" s="5"/>
      <c r="E45" s="5"/>
      <c r="F45" s="5"/>
    </row>
    <row r="46" customFormat="false" ht="45" hidden="false" customHeight="true" outlineLevel="0" collapsed="false">
      <c r="A46" s="6" t="n">
        <v>34</v>
      </c>
      <c r="B46" s="7" t="s">
        <v>134</v>
      </c>
      <c r="C46" s="8" t="s">
        <v>135</v>
      </c>
      <c r="D46" s="8" t="s">
        <v>136</v>
      </c>
      <c r="E46" s="9" t="s">
        <v>12</v>
      </c>
      <c r="F46" s="10" t="s">
        <v>137</v>
      </c>
    </row>
    <row r="47" customFormat="false" ht="45" hidden="false" customHeight="true" outlineLevel="0" collapsed="false">
      <c r="A47" s="6" t="n">
        <v>35</v>
      </c>
      <c r="B47" s="7" t="s">
        <v>138</v>
      </c>
      <c r="C47" s="10" t="s">
        <v>139</v>
      </c>
      <c r="D47" s="10" t="s">
        <v>140</v>
      </c>
      <c r="E47" s="9" t="s">
        <v>103</v>
      </c>
      <c r="F47" s="11" t="s">
        <v>141</v>
      </c>
    </row>
    <row r="48" customFormat="false" ht="45" hidden="false" customHeight="true" outlineLevel="0" collapsed="false">
      <c r="A48" s="6" t="n">
        <v>36</v>
      </c>
      <c r="B48" s="7" t="s">
        <v>142</v>
      </c>
      <c r="C48" s="10" t="s">
        <v>143</v>
      </c>
      <c r="D48" s="8" t="s">
        <v>144</v>
      </c>
      <c r="E48" s="9" t="s">
        <v>12</v>
      </c>
      <c r="F48" s="10" t="s">
        <v>145</v>
      </c>
    </row>
    <row r="49" customFormat="false" ht="45" hidden="false" customHeight="true" outlineLevel="0" collapsed="false">
      <c r="A49" s="6" t="n">
        <v>37</v>
      </c>
      <c r="B49" s="7" t="s">
        <v>146</v>
      </c>
      <c r="C49" s="10" t="s">
        <v>147</v>
      </c>
      <c r="D49" s="10" t="s">
        <v>148</v>
      </c>
      <c r="E49" s="9" t="s">
        <v>12</v>
      </c>
      <c r="F49" s="10" t="s">
        <v>149</v>
      </c>
    </row>
    <row r="50" customFormat="false" ht="24.75" hidden="false" customHeight="true" outlineLevel="0" collapsed="false">
      <c r="A50" s="5" t="s">
        <v>150</v>
      </c>
      <c r="B50" s="5"/>
      <c r="C50" s="5"/>
      <c r="D50" s="5"/>
      <c r="E50" s="5"/>
      <c r="F50" s="5"/>
    </row>
    <row r="51" customFormat="false" ht="45" hidden="false" customHeight="true" outlineLevel="0" collapsed="false">
      <c r="A51" s="18" t="n">
        <v>38</v>
      </c>
      <c r="B51" s="19" t="s">
        <v>151</v>
      </c>
      <c r="C51" s="20" t="s">
        <v>106</v>
      </c>
      <c r="D51" s="20" t="s">
        <v>152</v>
      </c>
      <c r="E51" s="22" t="s">
        <v>108</v>
      </c>
      <c r="F51" s="20" t="s">
        <v>153</v>
      </c>
    </row>
    <row r="52" customFormat="false" ht="45" hidden="false" customHeight="true" outlineLevel="0" collapsed="false">
      <c r="A52" s="18" t="n">
        <v>39</v>
      </c>
      <c r="B52" s="19" t="s">
        <v>154</v>
      </c>
      <c r="C52" s="20" t="s">
        <v>106</v>
      </c>
      <c r="D52" s="20" t="s">
        <v>155</v>
      </c>
      <c r="E52" s="22" t="s">
        <v>108</v>
      </c>
      <c r="F52" s="11" t="s">
        <v>156</v>
      </c>
    </row>
    <row r="53" customFormat="false" ht="45" hidden="false" customHeight="true" outlineLevel="0" collapsed="false">
      <c r="A53" s="18" t="n">
        <v>40</v>
      </c>
      <c r="B53" s="19" t="s">
        <v>157</v>
      </c>
      <c r="C53" s="20" t="s">
        <v>106</v>
      </c>
      <c r="D53" s="20" t="s">
        <v>158</v>
      </c>
      <c r="E53" s="22" t="s">
        <v>108</v>
      </c>
      <c r="F53" s="11" t="s">
        <v>159</v>
      </c>
    </row>
    <row r="54" customFormat="false" ht="45" hidden="false" customHeight="true" outlineLevel="0" collapsed="false">
      <c r="A54" s="18" t="n">
        <v>41</v>
      </c>
      <c r="B54" s="19" t="s">
        <v>160</v>
      </c>
      <c r="C54" s="20" t="s">
        <v>106</v>
      </c>
      <c r="D54" s="20" t="s">
        <v>161</v>
      </c>
      <c r="E54" s="22" t="s">
        <v>108</v>
      </c>
      <c r="F54" s="11" t="s">
        <v>162</v>
      </c>
    </row>
    <row r="55" customFormat="false" ht="45" hidden="false" customHeight="true" outlineLevel="0" collapsed="false">
      <c r="A55" s="18" t="n">
        <v>42</v>
      </c>
      <c r="B55" s="19" t="s">
        <v>163</v>
      </c>
      <c r="C55" s="20" t="s">
        <v>106</v>
      </c>
      <c r="D55" s="20" t="s">
        <v>164</v>
      </c>
      <c r="E55" s="22" t="s">
        <v>108</v>
      </c>
      <c r="F55" s="11" t="s">
        <v>165</v>
      </c>
    </row>
  </sheetData>
  <mergeCells count="11">
    <mergeCell ref="A1:F1"/>
    <mergeCell ref="A2:F2"/>
    <mergeCell ref="A5:F5"/>
    <mergeCell ref="A11:F11"/>
    <mergeCell ref="A19:F19"/>
    <mergeCell ref="A25:F25"/>
    <mergeCell ref="A31:F31"/>
    <mergeCell ref="A35:F35"/>
    <mergeCell ref="A41:F41"/>
    <mergeCell ref="A45:F45"/>
    <mergeCell ref="A50:F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8"/>
    <col collapsed="false" customWidth="true" hidden="false" outlineLevel="0" max="5" min="4" style="0" width="15"/>
  </cols>
  <sheetData>
    <row r="1" customFormat="false" ht="17.9" hidden="false" customHeight="true" outlineLevel="0" collapsed="false">
      <c r="A1" s="1" t="s">
        <v>166</v>
      </c>
      <c r="B1" s="1"/>
      <c r="C1" s="1"/>
      <c r="D1" s="1"/>
      <c r="E1" s="1"/>
    </row>
    <row r="3" customFormat="false" ht="27.6" hidden="false" customHeight="false" outlineLevel="0" collapsed="false">
      <c r="A3" s="4" t="s">
        <v>167</v>
      </c>
      <c r="B3" s="4" t="s">
        <v>168</v>
      </c>
      <c r="C3" s="4" t="s">
        <v>169</v>
      </c>
      <c r="D3" s="4" t="s">
        <v>170</v>
      </c>
      <c r="E3" s="4" t="s">
        <v>171</v>
      </c>
    </row>
    <row r="4" customFormat="false" ht="15" hidden="false" customHeight="false" outlineLevel="0" collapsed="false">
      <c r="A4" s="23" t="s">
        <v>172</v>
      </c>
      <c r="B4" s="24" t="n">
        <v>1685</v>
      </c>
      <c r="C4" s="24" t="n">
        <v>1987</v>
      </c>
      <c r="D4" s="24" t="n">
        <f aca="false">C4-B4</f>
        <v>302</v>
      </c>
      <c r="E4" s="25" t="n">
        <f aca="false">(C4-B4)/B4</f>
        <v>0.179228486646884</v>
      </c>
    </row>
    <row r="5" customFormat="false" ht="15" hidden="false" customHeight="false" outlineLevel="0" collapsed="false">
      <c r="A5" s="23" t="s">
        <v>173</v>
      </c>
      <c r="B5" s="24" t="n">
        <v>3076</v>
      </c>
      <c r="C5" s="24" t="n">
        <v>3640</v>
      </c>
      <c r="D5" s="24" t="n">
        <f aca="false">C5-B5</f>
        <v>564</v>
      </c>
      <c r="E5" s="25" t="n">
        <f aca="false">(C5-B5)/B5</f>
        <v>0.183355006501951</v>
      </c>
    </row>
    <row r="6" customFormat="false" ht="15" hidden="false" customHeight="false" outlineLevel="0" collapsed="false">
      <c r="A6" s="23" t="s">
        <v>174</v>
      </c>
      <c r="B6" s="24" t="n">
        <v>1100</v>
      </c>
      <c r="C6" s="24" t="n">
        <v>1300</v>
      </c>
      <c r="D6" s="24" t="n">
        <f aca="false">C6-B6</f>
        <v>200</v>
      </c>
      <c r="E6" s="25" t="n">
        <f aca="false">(C6-B6)/B6</f>
        <v>0.181818181818182</v>
      </c>
    </row>
    <row r="8" customFormat="false" ht="15" hidden="false" customHeight="true" outlineLevel="0" collapsed="false">
      <c r="A8" s="26" t="s">
        <v>175</v>
      </c>
      <c r="B8" s="26"/>
      <c r="C8" s="26"/>
      <c r="D8" s="26"/>
      <c r="E8" s="26"/>
    </row>
    <row r="9" customFormat="false" ht="15" hidden="false" customHeight="false" outlineLevel="0" collapsed="false">
      <c r="A9" s="4" t="s">
        <v>176</v>
      </c>
      <c r="B9" s="4" t="s">
        <v>177</v>
      </c>
      <c r="C9" s="4" t="s">
        <v>178</v>
      </c>
      <c r="D9" s="4" t="s">
        <v>179</v>
      </c>
      <c r="E9" s="4" t="s">
        <v>180</v>
      </c>
    </row>
    <row r="10" customFormat="false" ht="30" hidden="false" customHeight="true" outlineLevel="0" collapsed="false">
      <c r="A10" s="15" t="s">
        <v>181</v>
      </c>
      <c r="B10" s="27" t="n">
        <f aca="false">B4*0.5+B5*0.25+B6*0.25</f>
        <v>1886.5</v>
      </c>
      <c r="C10" s="27" t="n">
        <f aca="false">C4*0.5+C5*0.25+C6*0.25</f>
        <v>2228.5</v>
      </c>
      <c r="D10" s="27" t="n">
        <f aca="false">C10-B10</f>
        <v>342</v>
      </c>
      <c r="E10" s="28" t="n">
        <f aca="false">(C10-B10)/B10</f>
        <v>0.181288099655447</v>
      </c>
    </row>
    <row r="11" customFormat="false" ht="30" hidden="false" customHeight="true" outlineLevel="0" collapsed="false">
      <c r="A11" s="15" t="s">
        <v>182</v>
      </c>
      <c r="B11" s="27" t="n">
        <f aca="false">B10*3634800/1000000</f>
        <v>6857.0502</v>
      </c>
      <c r="C11" s="27" t="n">
        <f aca="false">C10*3634800/1000000</f>
        <v>8100.1518</v>
      </c>
      <c r="D11" s="27" t="n">
        <f aca="false">C11-B11</f>
        <v>1243.1016</v>
      </c>
      <c r="E11" s="28" t="n">
        <f aca="false">(C11-B11)/B11</f>
        <v>0.181288099655447</v>
      </c>
    </row>
    <row r="13" customFormat="false" ht="11.9" hidden="false" customHeight="false" outlineLevel="0" collapsed="false">
      <c r="A13" s="29" t="s">
        <v>183</v>
      </c>
      <c r="B13" s="29"/>
      <c r="C13" s="29"/>
      <c r="D13" s="29"/>
      <c r="E13" s="29"/>
    </row>
  </sheetData>
  <mergeCells count="3">
    <mergeCell ref="A1:E1"/>
    <mergeCell ref="A8:E8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2026-03-19T10:32:49Z</dcterms:created>
  <dc:creator>openpyxl</dc:creator>
  <dc:description/>
  <dc:language>en-US</dc:language>
  <cp:lastModifiedBy/>
  <dcterms:modified xsi:type="dcterms:W3CDTF">2026-03-19T10:32:49Z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