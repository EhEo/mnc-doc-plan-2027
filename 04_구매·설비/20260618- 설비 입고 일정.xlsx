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filterPrivacy="1" codeName="ThisWorkbook"/>
  <xr:revisionPtr revIDLastSave="9" documentId="13_ncr:1_{0B34DCC7-A890-4276-85EB-FACDF5E2D6F7}" xr6:coauthVersionLast="47" xr6:coauthVersionMax="47" xr10:uidLastSave="{1B9A7595-327C-45E2-A8DD-F19442C4D8B1}"/>
  <bookViews>
    <workbookView xWindow="28680" yWindow="-120" windowWidth="29040" windowHeight="15720" xr2:uid="{00000000-000D-0000-FFFF-FFFF00000000}"/>
  </bookViews>
  <sheets>
    <sheet name="RP" sheetId="1" r:id="rId1"/>
  </sheets>
  <definedNames>
    <definedName name="_xlnm._FilterDatabase" localSheetId="0" hidden="1">RP!$B$3:$M$3</definedName>
    <definedName name="_xlnm.Print_Area" localSheetId="0">RP!$A$3:$T$3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8" i="1" l="1"/>
  <c r="F18" i="1"/>
  <c r="I7" i="1"/>
  <c r="G6" i="1"/>
  <c r="G7" i="1"/>
  <c r="F15" i="1"/>
  <c r="H6" i="1"/>
  <c r="I6" i="1" s="1"/>
  <c r="J6" i="1" s="1"/>
  <c r="K6" i="1" s="1"/>
  <c r="J5" i="1"/>
  <c r="K5" i="1" s="1"/>
  <c r="J17" i="1"/>
  <c r="H17" i="1"/>
  <c r="G11" i="1"/>
  <c r="G12" i="1"/>
  <c r="G13" i="1"/>
  <c r="G14" i="1"/>
  <c r="G17" i="1"/>
  <c r="G8" i="1"/>
  <c r="G9" i="1"/>
  <c r="J10" i="1"/>
  <c r="G10" i="1"/>
  <c r="I16" i="1"/>
  <c r="J16" i="1" s="1"/>
  <c r="K16" i="1" s="1"/>
  <c r="I8" i="1"/>
  <c r="J8" i="1" s="1"/>
  <c r="K8" i="1" s="1"/>
  <c r="I9" i="1"/>
  <c r="J9" i="1" s="1"/>
  <c r="K9" i="1" s="1"/>
  <c r="I15" i="1"/>
  <c r="J15" i="1" s="1"/>
  <c r="K15" i="1" s="1"/>
  <c r="I4" i="1"/>
  <c r="J4" i="1" s="1"/>
  <c r="K4" i="1" s="1"/>
  <c r="J12" i="1"/>
  <c r="K12" i="1" s="1"/>
  <c r="J13" i="1"/>
  <c r="K13" i="1" s="1"/>
  <c r="J11" i="1"/>
  <c r="K11" i="1" s="1"/>
  <c r="I14" i="1"/>
  <c r="J7" i="1" l="1"/>
  <c r="K17" i="1"/>
  <c r="K7" i="1"/>
  <c r="I10" i="1"/>
  <c r="H10" i="1" s="1"/>
  <c r="K14" i="1"/>
</calcChain>
</file>

<file path=xl/sharedStrings.xml><?xml version="1.0" encoding="utf-8"?>
<sst xmlns="http://schemas.openxmlformats.org/spreadsheetml/2006/main" count="55" uniqueCount="40">
  <si>
    <t>Term</t>
  </si>
  <si>
    <t>DAP</t>
  </si>
  <si>
    <t>Q'ty</t>
  </si>
  <si>
    <t xml:space="preserve">No </t>
  </si>
  <si>
    <t>Item Name</t>
  </si>
  <si>
    <t>PO date</t>
  </si>
  <si>
    <t>Pack date</t>
  </si>
  <si>
    <t>ETD</t>
  </si>
  <si>
    <t>ETA Port</t>
  </si>
  <si>
    <t>ETA M&amp;C</t>
  </si>
  <si>
    <t>Vendor</t>
  </si>
  <si>
    <t>설비 입고 일정</t>
  </si>
  <si>
    <t>FOB</t>
  </si>
  <si>
    <t>Toyo 350 ton</t>
  </si>
  <si>
    <t>TOYO INNOVEX Co., Ltd.</t>
  </si>
  <si>
    <t xml:space="preserve">Furnace </t>
  </si>
  <si>
    <t>C.I.F</t>
  </si>
  <si>
    <t>SHINJIN FURNACE MACHINERY CO., LTD</t>
  </si>
  <si>
    <t>MAKINO ASIA PTE LTD</t>
  </si>
  <si>
    <t>KOMATECH CO., LTD</t>
  </si>
  <si>
    <t>SODICK CO., LTD</t>
  </si>
  <si>
    <t xml:space="preserve">MAKINO CNC Vertical Machining Center. Model: V33i </t>
  </si>
  <si>
    <t>CNC Die sinker. Model AL40G- 방전기 설비</t>
  </si>
  <si>
    <t>CNC wire cut. Model AL600G - 와이어 설비</t>
  </si>
  <si>
    <t>Vertical tapping center. Model KT420A- Komatech태핑</t>
  </si>
  <si>
    <t>Servo Sprayer ZDP-Y02- Yizumi 400T</t>
  </si>
  <si>
    <t>Modebao Flexible Manufacturing Automation System V1.0</t>
  </si>
  <si>
    <t xml:space="preserve">Shenzhen Modebao Technology Co., Ltd. </t>
  </si>
  <si>
    <t>FUHENGHUI TECHNOLOGY (HK) Co., Ltd</t>
  </si>
  <si>
    <t>Guangdong Zhengda Songyuan Intelligent Technology Co., Ltd</t>
  </si>
  <si>
    <t>3+2 axis</t>
  </si>
  <si>
    <t>Amout</t>
  </si>
  <si>
    <t>Price</t>
  </si>
  <si>
    <t>CMM</t>
  </si>
  <si>
    <t>2026.06.17</t>
  </si>
  <si>
    <t>2D scanner</t>
    <phoneticPr fontId="5" type="noConversion"/>
  </si>
  <si>
    <t>70% 지불 후 2주</t>
    <phoneticPr fontId="5" type="noConversion"/>
  </si>
  <si>
    <t xml:space="preserve">Furnace </t>
    <phoneticPr fontId="5" type="noConversion"/>
  </si>
  <si>
    <t>일정 조정</t>
    <phoneticPr fontId="5" type="noConversion"/>
  </si>
  <si>
    <t>TD5L- 35M5 Automatic Extractor
(used)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</si>
</sst>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(&quot;$&quot;* #,##0.00_);_(&quot;$&quot;* \(#,##0.00\);_(&quot;$&quot;* &quot;-&quot;??_);_(@_)"/>
    <numFmt numFmtId="177" formatCode="_(* #,##0.00_);_(* \(#,##0.00\);_(* &quot;-&quot;??_);_(@_)"/>
    <numFmt numFmtId="178" formatCode="_(* #,##0_);_(* \(#,##0\);_(* &quot;-&quot;??_);_(@_)"/>
    <numFmt numFmtId="179" formatCode="[$-409]d\-mmm;@"/>
    <numFmt numFmtId="180" formatCode="_(&quot;$&quot;* #,##0_);_(&quot;$&quot;* \(#,##0\);_(&quot;$&quot;* &quot;-&quot;??_);_(@_)"/>
    <numFmt numFmtId="181" formatCode="_-[$$-409]* #,##0_ ;_-[$$-409]* \-#,##0\ ;_-[$$-409]* &quot;-&quot;??_ ;_-@_ "/>
  </numFmts>
  <fonts count="10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indexed="8"/>
      <name val="맑은 고딕"/>
      <family val="2"/>
      <scheme val="minor"/>
    </font>
    <font>
      <sz val="10"/>
      <name val="Arial"/>
      <family val="2"/>
    </font>
    <font>
      <sz val="8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ajor"/>
    </font>
    <font>
      <b/>
      <sz val="36"/>
      <color theme="1"/>
      <name val="맑은 고딕"/>
      <family val="3"/>
      <charset val="129"/>
      <scheme val="major"/>
    </font>
    <font>
      <b/>
      <sz val="20"/>
      <color theme="1"/>
      <name val="맑은 고딕"/>
      <family val="3"/>
      <charset val="129"/>
      <scheme val="major"/>
    </font>
    <font>
      <sz val="11"/>
      <name val="맑은 고딕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177" fontId="2" fillId="0" borderId="0" applyFont="0" applyFill="0" applyBorder="0" applyAlignment="0" applyProtection="0"/>
    <xf numFmtId="0" fontId="3" fillId="0" borderId="0"/>
    <xf numFmtId="0" fontId="4" fillId="0" borderId="0"/>
    <xf numFmtId="176" fontId="2" fillId="0" borderId="0" applyFont="0" applyFill="0" applyBorder="0" applyAlignment="0" applyProtection="0"/>
  </cellStyleXfs>
  <cellXfs count="39">
    <xf numFmtId="0" fontId="0" fillId="0" borderId="0" xfId="0"/>
    <xf numFmtId="0" fontId="6" fillId="2" borderId="0" xfId="0" applyFont="1" applyFill="1"/>
    <xf numFmtId="0" fontId="7" fillId="2" borderId="0" xfId="0" applyFont="1" applyFill="1" applyAlignment="1">
      <alignment vertic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left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178" fontId="1" fillId="3" borderId="3" xfId="1" applyNumberFormat="1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left" vertical="center"/>
    </xf>
    <xf numFmtId="3" fontId="0" fillId="2" borderId="0" xfId="1" applyNumberFormat="1" applyFont="1" applyFill="1" applyBorder="1" applyAlignment="1">
      <alignment horizontal="center"/>
    </xf>
    <xf numFmtId="179" fontId="0" fillId="2" borderId="0" xfId="0" applyNumberFormat="1" applyFill="1" applyAlignment="1">
      <alignment horizontal="right"/>
    </xf>
    <xf numFmtId="179" fontId="9" fillId="2" borderId="0" xfId="0" applyNumberFormat="1" applyFont="1" applyFill="1" applyAlignment="1">
      <alignment horizontal="right"/>
    </xf>
    <xf numFmtId="0" fontId="0" fillId="0" borderId="1" xfId="0" applyBorder="1" applyAlignment="1">
      <alignment horizontal="left" vertical="center"/>
    </xf>
    <xf numFmtId="3" fontId="0" fillId="0" borderId="1" xfId="1" applyNumberFormat="1" applyFont="1" applyBorder="1" applyAlignment="1">
      <alignment horizontal="center" vertical="center"/>
    </xf>
    <xf numFmtId="179" fontId="0" fillId="0" borderId="1" xfId="0" applyNumberFormat="1" applyBorder="1" applyAlignment="1">
      <alignment horizontal="right" vertical="center"/>
    </xf>
    <xf numFmtId="179" fontId="0" fillId="2" borderId="1" xfId="0" applyNumberFormat="1" applyFill="1" applyBorder="1" applyAlignment="1">
      <alignment horizontal="right" vertical="center"/>
    </xf>
    <xf numFmtId="3" fontId="0" fillId="0" borderId="5" xfId="1" applyNumberFormat="1" applyFont="1" applyBorder="1" applyAlignment="1">
      <alignment horizontal="center" vertical="center"/>
    </xf>
    <xf numFmtId="179" fontId="0" fillId="0" borderId="5" xfId="0" applyNumberFormat="1" applyBorder="1" applyAlignment="1">
      <alignment horizontal="right" vertical="center"/>
    </xf>
    <xf numFmtId="0" fontId="0" fillId="0" borderId="7" xfId="0" applyBorder="1" applyAlignment="1">
      <alignment horizontal="left" vertical="center"/>
    </xf>
    <xf numFmtId="3" fontId="0" fillId="0" borderId="7" xfId="1" applyNumberFormat="1" applyFont="1" applyBorder="1" applyAlignment="1">
      <alignment horizontal="center" vertical="center"/>
    </xf>
    <xf numFmtId="179" fontId="0" fillId="0" borderId="7" xfId="0" applyNumberFormat="1" applyBorder="1" applyAlignment="1">
      <alignment horizontal="right" vertical="center"/>
    </xf>
    <xf numFmtId="179" fontId="0" fillId="2" borderId="7" xfId="0" applyNumberFormat="1" applyFill="1" applyBorder="1" applyAlignment="1">
      <alignment horizontal="right" vertical="center"/>
    </xf>
    <xf numFmtId="0" fontId="9" fillId="2" borderId="6" xfId="0" applyFont="1" applyFill="1" applyBorder="1" applyAlignment="1">
      <alignment horizontal="center" vertical="center"/>
    </xf>
    <xf numFmtId="0" fontId="0" fillId="0" borderId="5" xfId="0" applyBorder="1" applyAlignment="1">
      <alignment horizontal="left" vertical="center" wrapText="1"/>
    </xf>
    <xf numFmtId="0" fontId="0" fillId="2" borderId="0" xfId="0" applyFill="1" applyAlignment="1">
      <alignment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7" xfId="0" applyBorder="1" applyAlignment="1">
      <alignment horizontal="left" vertical="center" wrapText="1"/>
    </xf>
    <xf numFmtId="180" fontId="0" fillId="0" borderId="7" xfId="4" applyNumberFormat="1" applyFont="1" applyBorder="1" applyAlignment="1">
      <alignment horizontal="right" vertical="center"/>
    </xf>
    <xf numFmtId="0" fontId="9" fillId="2" borderId="10" xfId="0" applyFont="1" applyFill="1" applyBorder="1" applyAlignment="1">
      <alignment horizontal="center" vertical="center"/>
    </xf>
    <xf numFmtId="181" fontId="0" fillId="0" borderId="5" xfId="0" applyNumberFormat="1" applyBorder="1" applyAlignment="1">
      <alignment horizontal="right" vertical="center"/>
    </xf>
    <xf numFmtId="179" fontId="0" fillId="2" borderId="11" xfId="0" applyNumberFormat="1" applyFill="1" applyBorder="1" applyAlignment="1">
      <alignment horizontal="center" vertical="center"/>
    </xf>
    <xf numFmtId="179" fontId="0" fillId="2" borderId="12" xfId="0" applyNumberFormat="1" applyFill="1" applyBorder="1" applyAlignment="1">
      <alignment horizontal="center" vertical="center"/>
    </xf>
    <xf numFmtId="179" fontId="0" fillId="2" borderId="13" xfId="0" applyNumberFormat="1" applyFill="1" applyBorder="1" applyAlignment="1">
      <alignment horizontal="center" vertical="center"/>
    </xf>
    <xf numFmtId="179" fontId="0" fillId="4" borderId="1" xfId="0" applyNumberFormat="1" applyFill="1" applyBorder="1" applyAlignment="1">
      <alignment horizontal="right" vertical="center"/>
    </xf>
    <xf numFmtId="179" fontId="0" fillId="4" borderId="7" xfId="0" applyNumberFormat="1" applyFill="1" applyBorder="1" applyAlignment="1">
      <alignment horizontal="right" vertical="center"/>
    </xf>
  </cellXfs>
  <cellStyles count="5">
    <cellStyle name="Normal 11" xfId="3" xr:uid="{00000000-0005-0000-0000-000002000000}"/>
    <cellStyle name="Normal 2" xfId="2" xr:uid="{00000000-0005-0000-0000-000003000000}"/>
    <cellStyle name="쉼표" xfId="1" builtinId="3"/>
    <cellStyle name="통화" xfId="4" builtinId="4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2:S21"/>
  <sheetViews>
    <sheetView tabSelected="1" zoomScaleNormal="100" workbookViewId="0">
      <selection activeCell="C26" sqref="C26"/>
    </sheetView>
  </sheetViews>
  <sheetFormatPr defaultColWidth="9.125" defaultRowHeight="16.5" x14ac:dyDescent="0.3"/>
  <cols>
    <col min="1" max="1" width="2.625" style="3" customWidth="1"/>
    <col min="2" max="2" width="7.125" style="3" customWidth="1"/>
    <col min="3" max="3" width="52.375" style="3" customWidth="1"/>
    <col min="4" max="4" width="7.375" style="3" customWidth="1"/>
    <col min="5" max="5" width="9.875" style="4" customWidth="1"/>
    <col min="6" max="7" width="14.875" style="4" customWidth="1"/>
    <col min="8" max="10" width="9.875" style="4" customWidth="1"/>
    <col min="11" max="11" width="10" style="4" customWidth="1"/>
    <col min="12" max="12" width="55.875" style="4" hidden="1" customWidth="1"/>
    <col min="13" max="13" width="9.75" style="4" customWidth="1"/>
    <col min="14" max="16384" width="9.125" style="3"/>
  </cols>
  <sheetData>
    <row r="2" spans="2:19" s="1" customFormat="1" ht="38.25" customHeight="1" thickBot="1" x14ac:dyDescent="0.4">
      <c r="B2" s="11" t="s">
        <v>11</v>
      </c>
      <c r="C2" s="2"/>
      <c r="D2" s="2"/>
      <c r="E2" s="2"/>
      <c r="F2" s="2"/>
      <c r="G2" s="2"/>
      <c r="H2" s="2"/>
      <c r="I2" s="2"/>
      <c r="J2" s="2"/>
      <c r="M2" s="27" t="s">
        <v>34</v>
      </c>
      <c r="N2" s="2"/>
      <c r="O2" s="2"/>
      <c r="P2" s="2"/>
      <c r="Q2" s="2"/>
      <c r="R2" s="2"/>
      <c r="S2" s="2"/>
    </row>
    <row r="3" spans="2:19" s="5" customFormat="1" ht="24" customHeight="1" x14ac:dyDescent="0.3">
      <c r="B3" s="7" t="s">
        <v>3</v>
      </c>
      <c r="C3" s="8" t="s">
        <v>4</v>
      </c>
      <c r="D3" s="9" t="s">
        <v>2</v>
      </c>
      <c r="E3" s="8" t="s">
        <v>5</v>
      </c>
      <c r="F3" s="8" t="s">
        <v>32</v>
      </c>
      <c r="G3" s="8" t="s">
        <v>31</v>
      </c>
      <c r="H3" s="8" t="s">
        <v>6</v>
      </c>
      <c r="I3" s="8" t="s">
        <v>7</v>
      </c>
      <c r="J3" s="8" t="s">
        <v>8</v>
      </c>
      <c r="K3" s="8" t="s">
        <v>9</v>
      </c>
      <c r="L3" s="8" t="s">
        <v>10</v>
      </c>
      <c r="M3" s="10" t="s">
        <v>0</v>
      </c>
    </row>
    <row r="4" spans="2:19" ht="21" customHeight="1" x14ac:dyDescent="0.3">
      <c r="B4" s="25">
        <v>1</v>
      </c>
      <c r="C4" s="15" t="s">
        <v>37</v>
      </c>
      <c r="D4" s="16">
        <v>2</v>
      </c>
      <c r="E4" s="17">
        <v>46147</v>
      </c>
      <c r="F4" s="31"/>
      <c r="G4" s="17"/>
      <c r="H4" s="18">
        <v>46176</v>
      </c>
      <c r="I4" s="18">
        <f>+H4+3</f>
        <v>46179</v>
      </c>
      <c r="J4" s="18">
        <f>+I4+7</f>
        <v>46186</v>
      </c>
      <c r="K4" s="37">
        <f>+J4+4</f>
        <v>46190</v>
      </c>
      <c r="L4" s="15" t="s">
        <v>17</v>
      </c>
      <c r="M4" s="28" t="s">
        <v>16</v>
      </c>
    </row>
    <row r="5" spans="2:19" ht="21" customHeight="1" x14ac:dyDescent="0.3">
      <c r="B5" s="25">
        <v>2</v>
      </c>
      <c r="C5" s="21" t="s">
        <v>25</v>
      </c>
      <c r="D5" s="22">
        <v>2</v>
      </c>
      <c r="E5" s="23">
        <v>46174</v>
      </c>
      <c r="F5" s="31"/>
      <c r="G5" s="23"/>
      <c r="H5" s="24">
        <v>46183</v>
      </c>
      <c r="I5" s="24">
        <v>46183</v>
      </c>
      <c r="J5" s="24">
        <f>+H5+8</f>
        <v>46191</v>
      </c>
      <c r="K5" s="24">
        <f>+J5+4</f>
        <v>46195</v>
      </c>
      <c r="L5" s="21" t="s">
        <v>29</v>
      </c>
      <c r="M5" s="28" t="s">
        <v>1</v>
      </c>
    </row>
    <row r="6" spans="2:19" ht="33" customHeight="1" x14ac:dyDescent="0.3">
      <c r="B6" s="25">
        <v>3</v>
      </c>
      <c r="C6" s="30" t="s">
        <v>39</v>
      </c>
      <c r="D6" s="22">
        <v>1</v>
      </c>
      <c r="E6" s="23">
        <v>46182</v>
      </c>
      <c r="F6" s="31">
        <v>5380</v>
      </c>
      <c r="G6" s="31">
        <f t="shared" ref="G6:G9" si="0">+F6*D6</f>
        <v>5380</v>
      </c>
      <c r="H6" s="24">
        <f>+E6+9</f>
        <v>46191</v>
      </c>
      <c r="I6" s="24">
        <f>+H6</f>
        <v>46191</v>
      </c>
      <c r="J6" s="24">
        <f>+I6+5</f>
        <v>46196</v>
      </c>
      <c r="K6" s="24">
        <f>+J6+3</f>
        <v>46199</v>
      </c>
      <c r="L6" s="21" t="s">
        <v>28</v>
      </c>
      <c r="M6" s="29" t="s">
        <v>1</v>
      </c>
    </row>
    <row r="7" spans="2:19" ht="21" customHeight="1" x14ac:dyDescent="0.3">
      <c r="B7" s="25">
        <v>4</v>
      </c>
      <c r="C7" s="15" t="s">
        <v>13</v>
      </c>
      <c r="D7" s="16">
        <v>2</v>
      </c>
      <c r="E7" s="17">
        <v>46056</v>
      </c>
      <c r="F7" s="31">
        <v>134098</v>
      </c>
      <c r="G7" s="31">
        <f t="shared" si="0"/>
        <v>268196</v>
      </c>
      <c r="H7" s="18">
        <v>46185</v>
      </c>
      <c r="I7" s="18">
        <f>+H7+2</f>
        <v>46187</v>
      </c>
      <c r="J7" s="18">
        <f>+I7+9</f>
        <v>46196</v>
      </c>
      <c r="K7" s="18">
        <f t="shared" ref="K7:K14" si="1">+J7+3</f>
        <v>46199</v>
      </c>
      <c r="L7" s="15" t="s">
        <v>14</v>
      </c>
      <c r="M7" s="28" t="s">
        <v>12</v>
      </c>
    </row>
    <row r="8" spans="2:19" ht="21" customHeight="1" x14ac:dyDescent="0.3">
      <c r="B8" s="25">
        <v>5</v>
      </c>
      <c r="C8" s="21" t="s">
        <v>30</v>
      </c>
      <c r="D8" s="22">
        <v>3</v>
      </c>
      <c r="E8" s="23">
        <v>46185</v>
      </c>
      <c r="F8" s="31">
        <v>17670</v>
      </c>
      <c r="G8" s="31">
        <f t="shared" si="0"/>
        <v>53010</v>
      </c>
      <c r="H8" s="24">
        <v>46206</v>
      </c>
      <c r="I8" s="24">
        <f>+H8+1</f>
        <v>46207</v>
      </c>
      <c r="J8" s="24">
        <f>+I8+7</f>
        <v>46214</v>
      </c>
      <c r="K8" s="24">
        <f>+J8+3</f>
        <v>46217</v>
      </c>
      <c r="L8" s="21"/>
      <c r="M8" s="28" t="s">
        <v>12</v>
      </c>
    </row>
    <row r="9" spans="2:19" ht="21" customHeight="1" x14ac:dyDescent="0.3">
      <c r="B9" s="25">
        <v>6</v>
      </c>
      <c r="C9" s="21" t="s">
        <v>30</v>
      </c>
      <c r="D9" s="22">
        <v>2</v>
      </c>
      <c r="E9" s="23">
        <v>46185</v>
      </c>
      <c r="F9" s="31">
        <v>17670</v>
      </c>
      <c r="G9" s="31">
        <f t="shared" si="0"/>
        <v>35340</v>
      </c>
      <c r="H9" s="24">
        <v>46223</v>
      </c>
      <c r="I9" s="24">
        <f>+H9+1</f>
        <v>46224</v>
      </c>
      <c r="J9" s="24">
        <f>+I9+7</f>
        <v>46231</v>
      </c>
      <c r="K9" s="24">
        <f>+J9+3</f>
        <v>46234</v>
      </c>
      <c r="L9" s="21"/>
      <c r="M9" s="28" t="s">
        <v>12</v>
      </c>
    </row>
    <row r="10" spans="2:19" ht="21" customHeight="1" x14ac:dyDescent="0.3">
      <c r="B10" s="25">
        <v>7</v>
      </c>
      <c r="C10" s="15" t="s">
        <v>15</v>
      </c>
      <c r="D10" s="22">
        <v>2</v>
      </c>
      <c r="E10" s="23">
        <v>46186</v>
      </c>
      <c r="F10" s="31">
        <v>35000</v>
      </c>
      <c r="G10" s="31">
        <f>+F10*D10</f>
        <v>70000</v>
      </c>
      <c r="H10" s="24">
        <f>+I10</f>
        <v>46218</v>
      </c>
      <c r="I10" s="24">
        <f>+J10-7</f>
        <v>46218</v>
      </c>
      <c r="J10" s="24">
        <f>+K10-3</f>
        <v>46225</v>
      </c>
      <c r="K10" s="38">
        <v>46228</v>
      </c>
      <c r="L10" s="21"/>
      <c r="M10" s="28" t="s">
        <v>16</v>
      </c>
      <c r="O10" s="3" t="s">
        <v>38</v>
      </c>
    </row>
    <row r="11" spans="2:19" ht="21" customHeight="1" x14ac:dyDescent="0.3">
      <c r="B11" s="25">
        <v>8</v>
      </c>
      <c r="C11" s="21" t="s">
        <v>23</v>
      </c>
      <c r="D11" s="22">
        <v>1</v>
      </c>
      <c r="E11" s="23">
        <v>46156</v>
      </c>
      <c r="F11" s="31">
        <v>125000</v>
      </c>
      <c r="G11" s="31">
        <f t="shared" ref="G11:G17" si="2">+F11*D11</f>
        <v>125000</v>
      </c>
      <c r="H11" s="24"/>
      <c r="I11" s="38">
        <v>46249</v>
      </c>
      <c r="J11" s="38">
        <f>+I11+8</f>
        <v>46257</v>
      </c>
      <c r="K11" s="38">
        <f t="shared" si="1"/>
        <v>46260</v>
      </c>
      <c r="L11" s="21" t="s">
        <v>20</v>
      </c>
      <c r="M11" s="28" t="s">
        <v>12</v>
      </c>
    </row>
    <row r="12" spans="2:19" ht="21" customHeight="1" x14ac:dyDescent="0.3">
      <c r="B12" s="25">
        <v>9</v>
      </c>
      <c r="C12" s="21" t="s">
        <v>22</v>
      </c>
      <c r="D12" s="22">
        <v>1</v>
      </c>
      <c r="E12" s="23">
        <v>46156</v>
      </c>
      <c r="F12" s="31">
        <v>113000</v>
      </c>
      <c r="G12" s="31">
        <f t="shared" si="2"/>
        <v>113000</v>
      </c>
      <c r="H12" s="24"/>
      <c r="I12" s="38">
        <v>46249</v>
      </c>
      <c r="J12" s="38">
        <f t="shared" ref="J12:J13" si="3">+I12+8</f>
        <v>46257</v>
      </c>
      <c r="K12" s="38">
        <f t="shared" si="1"/>
        <v>46260</v>
      </c>
      <c r="L12" s="21" t="s">
        <v>20</v>
      </c>
      <c r="M12" s="28" t="s">
        <v>12</v>
      </c>
    </row>
    <row r="13" spans="2:19" ht="21" customHeight="1" x14ac:dyDescent="0.3">
      <c r="B13" s="25">
        <v>10</v>
      </c>
      <c r="C13" s="21" t="s">
        <v>22</v>
      </c>
      <c r="D13" s="22">
        <v>3</v>
      </c>
      <c r="E13" s="23">
        <v>46156</v>
      </c>
      <c r="F13" s="31">
        <v>113000</v>
      </c>
      <c r="G13" s="31">
        <f t="shared" si="2"/>
        <v>339000</v>
      </c>
      <c r="H13" s="24"/>
      <c r="I13" s="24">
        <v>46280</v>
      </c>
      <c r="J13" s="24">
        <f t="shared" si="3"/>
        <v>46288</v>
      </c>
      <c r="K13" s="24">
        <f t="shared" si="1"/>
        <v>46291</v>
      </c>
      <c r="L13" s="21" t="s">
        <v>20</v>
      </c>
      <c r="M13" s="28" t="s">
        <v>12</v>
      </c>
    </row>
    <row r="14" spans="2:19" ht="21" customHeight="1" x14ac:dyDescent="0.3">
      <c r="B14" s="25">
        <v>11</v>
      </c>
      <c r="C14" s="21" t="s">
        <v>24</v>
      </c>
      <c r="D14" s="22">
        <v>4</v>
      </c>
      <c r="E14" s="23">
        <v>46161</v>
      </c>
      <c r="F14" s="31">
        <v>59500</v>
      </c>
      <c r="G14" s="31">
        <f t="shared" si="2"/>
        <v>238000</v>
      </c>
      <c r="H14" s="24">
        <v>46278</v>
      </c>
      <c r="I14" s="24">
        <f>+H14+2</f>
        <v>46280</v>
      </c>
      <c r="J14" s="24">
        <v>46287</v>
      </c>
      <c r="K14" s="24">
        <f t="shared" si="1"/>
        <v>46290</v>
      </c>
      <c r="L14" s="21" t="s">
        <v>19</v>
      </c>
      <c r="M14" s="28" t="s">
        <v>12</v>
      </c>
    </row>
    <row r="15" spans="2:19" ht="22.5" customHeight="1" x14ac:dyDescent="0.3">
      <c r="B15" s="25">
        <v>12</v>
      </c>
      <c r="C15" s="21" t="s">
        <v>21</v>
      </c>
      <c r="D15" s="22">
        <v>2</v>
      </c>
      <c r="E15" s="23">
        <v>46153</v>
      </c>
      <c r="F15" s="31">
        <f>+G15/2</f>
        <v>203500</v>
      </c>
      <c r="G15" s="31">
        <v>407000</v>
      </c>
      <c r="H15" s="24">
        <v>46284</v>
      </c>
      <c r="I15" s="24">
        <f>+H15+1</f>
        <v>46285</v>
      </c>
      <c r="J15" s="24">
        <f>+I15+8</f>
        <v>46293</v>
      </c>
      <c r="K15" s="24">
        <f t="shared" ref="K15" si="4">+J15+3</f>
        <v>46296</v>
      </c>
      <c r="L15" s="21" t="s">
        <v>18</v>
      </c>
      <c r="M15" s="28" t="s">
        <v>16</v>
      </c>
    </row>
    <row r="16" spans="2:19" ht="22.5" customHeight="1" x14ac:dyDescent="0.3">
      <c r="B16" s="25">
        <v>13</v>
      </c>
      <c r="C16" s="30" t="s">
        <v>26</v>
      </c>
      <c r="D16" s="22">
        <v>1</v>
      </c>
      <c r="E16" s="23">
        <v>46182</v>
      </c>
      <c r="F16" s="31">
        <v>363000</v>
      </c>
      <c r="G16" s="31">
        <v>363000</v>
      </c>
      <c r="H16" s="24">
        <v>46258</v>
      </c>
      <c r="I16" s="24">
        <f>+H16+2</f>
        <v>46260</v>
      </c>
      <c r="J16" s="24">
        <f>+I16+7</f>
        <v>46267</v>
      </c>
      <c r="K16" s="24">
        <f>+J16+4</f>
        <v>46271</v>
      </c>
      <c r="L16" s="21" t="s">
        <v>27</v>
      </c>
      <c r="M16" s="29" t="s">
        <v>12</v>
      </c>
    </row>
    <row r="17" spans="2:13" ht="22.5" customHeight="1" x14ac:dyDescent="0.3">
      <c r="B17" s="25">
        <v>14</v>
      </c>
      <c r="C17" s="30" t="s">
        <v>33</v>
      </c>
      <c r="D17" s="22">
        <v>1</v>
      </c>
      <c r="E17" s="23">
        <v>46189</v>
      </c>
      <c r="F17" s="31">
        <v>63000</v>
      </c>
      <c r="G17" s="31">
        <f t="shared" si="2"/>
        <v>63000</v>
      </c>
      <c r="H17" s="24">
        <f>+I17-2</f>
        <v>46273</v>
      </c>
      <c r="I17" s="24">
        <v>46275</v>
      </c>
      <c r="J17" s="24">
        <f>+I17+7</f>
        <v>46282</v>
      </c>
      <c r="K17" s="24">
        <f>+J17+4</f>
        <v>46286</v>
      </c>
      <c r="L17" s="21"/>
      <c r="M17" s="29" t="s">
        <v>12</v>
      </c>
    </row>
    <row r="18" spans="2:13" ht="22.5" customHeight="1" thickBot="1" x14ac:dyDescent="0.35">
      <c r="B18" s="32">
        <v>15</v>
      </c>
      <c r="C18" s="26" t="s">
        <v>35</v>
      </c>
      <c r="D18" s="19">
        <v>1</v>
      </c>
      <c r="E18" s="20"/>
      <c r="F18" s="33">
        <f>1800000000/26000</f>
        <v>69230.769230769234</v>
      </c>
      <c r="G18" s="33">
        <f>1800000000/26000</f>
        <v>69230.769230769234</v>
      </c>
      <c r="H18" s="34" t="s">
        <v>36</v>
      </c>
      <c r="I18" s="35"/>
      <c r="J18" s="35"/>
      <c r="K18" s="35"/>
      <c r="L18" s="35"/>
      <c r="M18" s="36"/>
    </row>
    <row r="19" spans="2:13" ht="21" customHeight="1" x14ac:dyDescent="0.3">
      <c r="B19" s="4"/>
      <c r="C19" s="6"/>
      <c r="D19" s="12"/>
      <c r="E19" s="13"/>
      <c r="F19" s="13"/>
      <c r="G19" s="13"/>
      <c r="H19" s="13"/>
      <c r="I19" s="13"/>
      <c r="J19" s="13"/>
      <c r="K19" s="14"/>
      <c r="L19" s="6"/>
    </row>
    <row r="20" spans="2:13" x14ac:dyDescent="0.3">
      <c r="D20" s="6"/>
    </row>
    <row r="21" spans="2:13" x14ac:dyDescent="0.3">
      <c r="D21" s="6"/>
    </row>
  </sheetData>
  <mergeCells count="1">
    <mergeCell ref="H18:M18"/>
  </mergeCells>
  <phoneticPr fontId="5" type="noConversion"/>
  <pageMargins left="0.7" right="0.7" top="0.75" bottom="0.75" header="0.3" footer="0.3"/>
  <pageSetup paperSize="9" scale="25" orientation="portrait" r:id="rId1"/>
  <customProperties>
    <customPr name="BudgetSheetCodeName" r:id="rId2"/>
  </customProperties>
  <ignoredErrors>
    <ignoredError sqref="I15:K15" formula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DataSources/>
</file>

<file path=customXml/itemProps1.xml><?xml version="1.0" encoding="utf-8"?>
<ds:datastoreItem xmlns:ds="http://schemas.openxmlformats.org/officeDocument/2006/customXml" ds:itemID="{99AE5FE1-DE30-4BC4-ACE1-138AB1CEB9F5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RP</vt:lpstr>
      <vt:lpstr>RP!Print_Area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2026-06-17T03:31:24Z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UFIDA_U9App_DataSourceXMLPart">
    <vt:lpwstr>{99AE5FE1-DE30-4BC4-ACE1-138AB1CEB9F5}</vt:lpwstr>
  </property>
</Properties>
</file>